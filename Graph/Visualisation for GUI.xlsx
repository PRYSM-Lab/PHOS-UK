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GUI/"/>
    </mc:Choice>
  </mc:AlternateContent>
  <xr:revisionPtr revIDLastSave="6" documentId="8_{C21640A9-116F-4D24-A263-D7718C86A9D9}" xr6:coauthVersionLast="47" xr6:coauthVersionMax="47" xr10:uidLastSave="{F81B78D7-CF32-4D3C-A058-1348FF0ED2B9}"/>
  <bookViews>
    <workbookView xWindow="57492" yWindow="-108" windowWidth="29016" windowHeight="15696" activeTab="4" xr2:uid="{CD58CC9A-8A6C-4130-8DB3-C8B8CB5716A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</calcChain>
</file>

<file path=xl/sharedStrings.xml><?xml version="1.0" encoding="utf-8"?>
<sst xmlns="http://schemas.openxmlformats.org/spreadsheetml/2006/main" count="91" uniqueCount="65">
  <si>
    <t>SMRCC</t>
  </si>
  <si>
    <t>T2</t>
  </si>
  <si>
    <t>t</t>
  </si>
  <si>
    <t>ATRCCS</t>
  </si>
  <si>
    <t>BGCCS</t>
  </si>
  <si>
    <t>WE</t>
  </si>
  <si>
    <t>FC</t>
  </si>
  <si>
    <t>CCGTCCS</t>
  </si>
  <si>
    <t>CAPEX</t>
  </si>
  <si>
    <t>OPEX</t>
  </si>
  <si>
    <t>Carbon Cost</t>
  </si>
  <si>
    <t>Import Cost</t>
  </si>
  <si>
    <t>United Kingdom</t>
  </si>
  <si>
    <t xml:space="preserve">Ireland </t>
  </si>
  <si>
    <t>Denmark</t>
  </si>
  <si>
    <t>Norway</t>
  </si>
  <si>
    <t>Belgium</t>
  </si>
  <si>
    <t>Netherlands</t>
  </si>
  <si>
    <t>France</t>
  </si>
  <si>
    <t>IFA</t>
  </si>
  <si>
    <t>MOYLE</t>
  </si>
  <si>
    <t>BRITNED</t>
  </si>
  <si>
    <t>EWIC</t>
  </si>
  <si>
    <t>NEMO</t>
  </si>
  <si>
    <t>ELECLINK</t>
  </si>
  <si>
    <t>IFA2</t>
  </si>
  <si>
    <t>NSN</t>
  </si>
  <si>
    <t>GREENLINK</t>
  </si>
  <si>
    <t>FABLINK</t>
  </si>
  <si>
    <t>VIKINGLINK</t>
  </si>
  <si>
    <t>NORTHCONNECT</t>
  </si>
  <si>
    <t>Netherland</t>
  </si>
  <si>
    <t>Ireland</t>
  </si>
  <si>
    <t>EA</t>
  </si>
  <si>
    <t>EM</t>
  </si>
  <si>
    <t>NE</t>
  </si>
  <si>
    <t>NT</t>
  </si>
  <si>
    <t>NW</t>
  </si>
  <si>
    <t>SC</t>
  </si>
  <si>
    <t>SE</t>
  </si>
  <si>
    <t>WM</t>
  </si>
  <si>
    <t>WN</t>
  </si>
  <si>
    <t>WS</t>
  </si>
  <si>
    <t>GasBoiler</t>
  </si>
  <si>
    <t>ASHP</t>
  </si>
  <si>
    <t>Hydrogen Boiler</t>
  </si>
  <si>
    <t>SO</t>
  </si>
  <si>
    <t>SW</t>
  </si>
  <si>
    <t>NO</t>
  </si>
  <si>
    <t>Scenario</t>
  </si>
  <si>
    <t>Probability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</si>
  <si>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</si>
  <si>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</si>
  <si>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</si>
  <si>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</si>
  <si>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</si>
  <si>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</si>
  <si>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</si>
  <si>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</si>
  <si>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</si>
  <si>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</si>
  <si>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Expected</t>
  </si>
  <si>
    <t xml:space="preserve">Objective function </t>
  </si>
  <si>
    <t>SMRCCS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</si>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</sst>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2">
    <cellStyle name="Normal" xfId="0" builtinId="0"/>
    <cellStyle name="Normal 2" xfId="1" xr:uid="{066C35EB-D92D-47F3-B1C7-5C4527E424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Sheet2!$C$4:$E$4</c:f>
              <c:numCache>
                <c:formatCode>General</c:formatCod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numCache>
            </c:numRef>
          </c:cat>
          <c:val>
            <c:numRef>
              <c:f>Sheet2!$C$5:$E$5</c:f>
              <c:numCache>
                <c:formatCode>General</c:formatCode>
                <c:ptCount val="3"/>
                <c:pt idx="0">
                  <c:v>12871616773.010071</c:v>
                </c:pt>
                <c:pt idx="1">
                  <c:v>0</c:v>
                </c:pt>
                <c:pt idx="2">
                  <c:v>89785185757.044632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5-4993-8880-63032FAAA7F7}"/>
            </c:ext>
          </c:extLst>
        </c:ser>
        <c:ser>
          <c:idx val="1"/>
          <c:order val="1"/>
          <c:tx>
            <c:strRef>
              <c:f>Sheet2!$B$6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Sheet2!$C$4:$E$4</c:f>
              <c:numCache>
                <c:formatCode>General</c:formatCod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numCache>
            </c:numRef>
          </c:cat>
          <c:val>
            <c:numRef>
              <c:f>Sheet2!$C$6:$E$6</c:f>
              <c:numCache>
                <c:formatCode>General</c:formatCode>
                <c:ptCount val="3"/>
                <c:pt idx="0">
                  <c:v>27059571821.4846</c:v>
                </c:pt>
                <c:pt idx="1">
                  <c:v>31934723130.220501</c:v>
                </c:pt>
                <c:pt idx="2">
                  <c:v>47799669257.953163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5-4993-8880-63032FAAA7F7}"/>
            </c:ext>
          </c:extLst>
        </c:ser>
        <c:ser>
          <c:idx val="2"/>
          <c:order val="2"/>
          <c:tx>
            <c:strRef>
              <c:f>Sheet2!$B$7</c:f>
              <c:strCache>
                <c:ptCount val="1"/>
                <c:pt idx="0">
                  <c:v>Carbon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Sheet2!$C$4:$E$4</c:f>
              <c:numCache>
                <c:formatCode>General</c:formatCod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numCache>
            </c:numRef>
          </c:cat>
          <c:val>
            <c:numRef>
              <c:f>Sheet2!$C$7:$E$7</c:f>
              <c:numCache>
                <c:formatCode>General</c:formatCode>
                <c:ptCount val="3"/>
                <c:pt idx="0">
                  <c:v>5269403205.8488197</c:v>
                </c:pt>
                <c:pt idx="1">
                  <c:v>791126271.21088123</c:v>
                </c:pt>
                <c:pt idx="2">
                  <c:v>-85089710.444356799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25-4993-8880-63032FAAA7F7}"/>
            </c:ext>
          </c:extLst>
        </c:ser>
        <c:ser>
          <c:idx val="3"/>
          <c:order val="3"/>
          <c:tx>
            <c:strRef>
              <c:f>Sheet2!$B$8</c:f>
              <c:strCache>
                <c:ptCount val="1"/>
                <c:pt idx="0">
                  <c:v>Import 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Sheet2!$C$4:$E$4</c:f>
              <c:numCache>
                <c:formatCode>General</c:formatCod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numCache>
            </c:numRef>
          </c:cat>
          <c:val>
            <c:numRef>
              <c:f>Sheet2!$C$8:$E$8</c:f>
              <c:numCache>
                <c:formatCode>General</c:formatCode>
                <c:ptCount val="3"/>
                <c:pt idx="0">
                  <c:v>-2277135209.280715</c:v>
                </c:pt>
                <c:pt idx="1">
                  <c:v>-2277135209.280715</c:v>
                </c:pt>
                <c:pt idx="2">
                  <c:v>-2558768106.7755799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25-4993-8880-63032FAAA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809391"/>
        <c:axId val="1109989103"/>
      </c:barChart>
      <c:catAx>
        <c:axId val="88380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89103"/>
        <c:crosses val="autoZero"/>
        <c:auto val="1"/>
        <c:lblAlgn val="ctr"/>
        <c:lblOffset val="100"/>
        <c:noMultiLvlLbl val="0"/>
      </c:catAx>
      <c:valAx>
        <c:axId val="11099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0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744770133006661E-2"/>
          <c:y val="7.7519379844961239E-2"/>
          <c:w val="0.80730582935065565"/>
          <c:h val="0.829675883537813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Objective function </c:v>
                </c:pt>
              </c:strCache>
            </c:strRef>
          </c:tx>
          <c:spPr>
            <a:solidFill>
              <a:srgbClr val="0070C0">
                <a:alpha val="76000"/>
              </a:srgbClr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3">
                  <a:lumMod val="40000"/>
                  <a:lumOff val="60000"/>
                  <a:alpha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820-4BD0-9E0A-B0864EBFBFB6}"/>
              </c:ext>
            </c:extLst>
          </c:dPt>
          <c:cat>
            <c:strRef>
              <c:f>Sheet5!$A$2:$A$12</c:f>
              <c:strCache>
                <c:ptCount val="11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Expected</c:v>
                </c:pt>
              </c:strCache>
            </c:strRef>
          </c:cat>
          <c:val>
            <c:numRef>
              <c:f>Sheet5!$B$2:$B$12</c:f>
              <c:numCache>
                <c:formatCode>0</c:formatCode>
                <c:ptCount val="11"/>
                <c:pt idx="0">
                  <c:v>15000000000</c:v>
                </c:pt>
                <c:pt idx="1">
                  <c:v>50000000000</c:v>
                </c:pt>
                <c:pt idx="2">
                  <c:v>20000000000</c:v>
                </c:pt>
                <c:pt idx="3">
                  <c:v>30000000000</c:v>
                </c:pt>
                <c:pt idx="4">
                  <c:v>25000000000</c:v>
                </c:pt>
                <c:pt idx="5">
                  <c:v>40000000000</c:v>
                </c:pt>
                <c:pt idx="6">
                  <c:v>32000000000</c:v>
                </c:pt>
                <c:pt idx="7">
                  <c:v>45000000000</c:v>
                </c:pt>
                <c:pt idx="8">
                  <c:v>34000000000</c:v>
                </c:pt>
                <c:pt idx="9">
                  <c:v>36000000000</c:v>
                </c:pt>
                <c:pt idx="10">
                  <c:v>33000000000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0-4BD0-9E0A-B0864EBF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2726671"/>
        <c:axId val="902728591"/>
      </c:barChart>
      <c:lineChart>
        <c:grouping val="standard"/>
        <c:varyColors val="0"/>
        <c:ser>
          <c:idx val="1"/>
          <c:order val="1"/>
          <c:tx>
            <c:strRef>
              <c:f>Sheet5!$C$1</c:f>
              <c:strCache>
                <c:ptCount val="1"/>
                <c:pt idx="0">
                  <c:v>Probability</c:v>
                </c:pt>
              </c:strCache>
            </c:strRef>
          </c:tx>
          <c:spPr>
            <a:ln w="28575" cap="flat">
              <a:solidFill>
                <a:srgbClr val="FF0000">
                  <a:alpha val="53000"/>
                </a:srgb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Sheet5!$A$2:$A$12</c:f>
              <c:strCache>
                <c:ptCount val="11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Expected</c:v>
                </c:pt>
              </c:strCache>
            </c:strRef>
          </c:cat>
          <c:val>
            <c:numRef>
              <c:f>Sheet5!$C$2:$C$12</c:f>
              <c:numCache>
                <c:formatCode>General</c:formatCode>
                <c:ptCount val="11"/>
                <c:pt idx="0">
                  <c:v>0.05</c:v>
                </c:pt>
                <c:pt idx="1">
                  <c:v>9.2999999999999999E-2</c:v>
                </c:pt>
                <c:pt idx="2">
                  <c:v>0.08</c:v>
                </c:pt>
                <c:pt idx="3">
                  <c:v>0.15</c:v>
                </c:pt>
                <c:pt idx="4">
                  <c:v>0.12</c:v>
                </c:pt>
                <c:pt idx="5">
                  <c:v>0.1</c:v>
                </c:pt>
                <c:pt idx="6">
                  <c:v>0.115</c:v>
                </c:pt>
                <c:pt idx="7">
                  <c:v>8.8999999999999996E-2</c:v>
                </c:pt>
                <c:pt idx="8">
                  <c:v>0.12</c:v>
                </c:pt>
                <c:pt idx="9">
                  <c:v>8.3000000000000004E-2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0-4BD0-9E0A-B0864EBF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495887"/>
        <c:axId val="915496367"/>
      </c:lineChart>
      <c:catAx>
        <c:axId val="902726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oca"/>
                <a:ea typeface="+mn-ea"/>
                <a:cs typeface="+mn-cs"/>
              </a:defRPr>
            </a:pPr>
            <a:endParaRPr lang="en-US"/>
          </a:p>
        </c:txPr>
        <c:crossAx val="902728591"/>
        <c:crosses val="autoZero"/>
        <c:auto val="1"/>
        <c:lblAlgn val="ctr"/>
        <c:lblOffset val="100"/>
        <c:noMultiLvlLbl val="0"/>
      </c:catAx>
      <c:valAx>
        <c:axId val="9027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Helvetoca"/>
                    <a:ea typeface="+mn-ea"/>
                    <a:cs typeface="+mn-cs"/>
                  </a:defRPr>
                </a:pPr>
                <a:r>
                  <a:rPr lang="en-GB" sz="1100" b="1"/>
                  <a:t>Objective Function Value (£ Billion)</a:t>
                </a:r>
              </a:p>
            </c:rich>
          </c:tx>
          <c:layout>
            <c:manualLayout>
              <c:xMode val="edge"/>
              <c:yMode val="edge"/>
              <c:x val="1.6564581167374547E-2"/>
              <c:y val="0.24486643753214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Helvetoca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oca"/>
                <a:ea typeface="+mn-ea"/>
                <a:cs typeface="+mn-cs"/>
              </a:defRPr>
            </a:pPr>
            <a:endParaRPr lang="en-US"/>
          </a:p>
        </c:txPr>
        <c:crossAx val="902726671"/>
        <c:crosses val="autoZero"/>
        <c:crossBetween val="between"/>
        <c:dispUnits>
          <c:builtInUnit val="billions"/>
        </c:dispUnits>
      </c:valAx>
      <c:valAx>
        <c:axId val="9154963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Helvetoca"/>
                    <a:ea typeface="+mn-ea"/>
                    <a:cs typeface="+mn-cs"/>
                  </a:defRPr>
                </a:pPr>
                <a:r>
                  <a:rPr lang="en-GB" sz="1100" b="1"/>
                  <a:t>Scenario Probability</a:t>
                </a:r>
              </a:p>
            </c:rich>
          </c:tx>
          <c:layout>
            <c:manualLayout>
              <c:xMode val="edge"/>
              <c:yMode val="edge"/>
              <c:x val="0.95231062468266181"/>
              <c:y val="0.34743150798328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Helvetoca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oca"/>
                <a:ea typeface="+mn-ea"/>
                <a:cs typeface="+mn-cs"/>
              </a:defRPr>
            </a:pPr>
            <a:endParaRPr lang="en-US"/>
          </a:p>
        </c:txPr>
        <c:crossAx val="915495887"/>
        <c:crosses val="max"/>
        <c:crossBetween val="between"/>
      </c:valAx>
      <c:catAx>
        <c:axId val="915495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5496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293174349308991"/>
          <c:y val="1.7805385764962729E-2"/>
          <c:w val="0.38869107584683954"/>
          <c:h val="5.0930776209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Helvetoca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oca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0</xdr:row>
      <xdr:rowOff>0</xdr:rowOff>
    </xdr:from>
    <xdr:to>
      <xdr:col>15</xdr:col>
      <xdr:colOff>655320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40CCB-A07C-BC2F-5F9C-746D2E8FB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1</xdr:row>
      <xdr:rowOff>125730</xdr:rowOff>
    </xdr:from>
    <xdr:to>
      <xdr:col>14</xdr:col>
      <xdr:colOff>365760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0B29D-D2AF-87DD-206C-79238163D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12EC-0CCE-4E4D-8A02-3FDFB69911D4}">
  <dimension ref="B2:E12"/>
  <sheetViews>
    <sheetView workbookViewId="0">
      <selection activeCell="B7" sqref="B7:E10"/>
    </sheetView>
  </sheetViews>
  <sheetFormatPr defaultRowHeight="15" x14ac:dyDescent="0.25"/>
  <cols>
    <col min="2" max="2" width="12.36328125" bestFit="1" customWidth="1"/>
  </cols>
  <sheetData>
    <row r="2" spans="2:5" x14ac:dyDescent="0.25">
      <c r="C2" t="s">
        <v>1</v>
      </c>
      <c r="D2" t="s">
        <v>2</v>
      </c>
    </row>
    <row r="3" spans="2:5" x14ac:dyDescent="0.25">
      <c r="B3" t="s">
        <v>0</v>
      </c>
      <c r="C3">
        <v>344</v>
      </c>
      <c r="D3">
        <v>442</v>
      </c>
      <c r="E3">
        <v>767</v>
      </c>
    </row>
    <row r="4" spans="2:5" x14ac:dyDescent="0.25">
      <c r="B4" t="s">
        <v>3</v>
      </c>
      <c r="C4">
        <v>760</v>
      </c>
      <c r="D4">
        <v>1151</v>
      </c>
      <c r="E4">
        <v>1618</v>
      </c>
    </row>
    <row r="5" spans="2:5" x14ac:dyDescent="0.25">
      <c r="B5" t="s">
        <v>4</v>
      </c>
      <c r="C5">
        <v>472</v>
      </c>
      <c r="D5">
        <v>790</v>
      </c>
      <c r="E5">
        <v>1253</v>
      </c>
    </row>
    <row r="6" spans="2:5" x14ac:dyDescent="0.25">
      <c r="B6" t="s">
        <v>5</v>
      </c>
      <c r="C6">
        <v>7</v>
      </c>
      <c r="D6">
        <v>450</v>
      </c>
      <c r="E6">
        <v>821</v>
      </c>
    </row>
    <row r="11" spans="2:5" x14ac:dyDescent="0.25">
      <c r="B11" t="s">
        <v>6</v>
      </c>
      <c r="C11">
        <v>0</v>
      </c>
      <c r="D11">
        <v>218</v>
      </c>
      <c r="E11">
        <v>1144</v>
      </c>
    </row>
    <row r="12" spans="2:5" x14ac:dyDescent="0.25">
      <c r="B12" t="s">
        <v>7</v>
      </c>
      <c r="C12">
        <v>0</v>
      </c>
      <c r="D12">
        <v>3964</v>
      </c>
      <c r="E12">
        <v>1296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089A-1471-4FBD-85C3-671EDA20DD22}">
  <dimension ref="B4:E10"/>
  <sheetViews>
    <sheetView workbookViewId="0">
      <selection activeCell="B4" sqref="B4:E8"/>
    </sheetView>
  </sheetViews>
  <sheetFormatPr defaultRowHeight="15" x14ac:dyDescent="0.25"/>
  <cols>
    <col min="2" max="2" width="20.6328125" customWidth="1"/>
    <col min="3" max="4" width="9" bestFit="1" customWidth="1"/>
  </cols>
  <sheetData>
    <row r="4" spans="2:5" x14ac:dyDescent="0.25">
      <c r="C4">
        <v>2030</v>
      </c>
      <c r="D4">
        <v>2040</v>
      </c>
      <c r="E4">
        <v>2050</v>
      </c>
    </row>
    <row r="5" spans="2:5" ht="15.6" x14ac:dyDescent="0.3">
      <c r="B5" t="s">
        <v>8</v>
      </c>
      <c r="C5" s="1">
        <v>12871616773.010071</v>
      </c>
      <c r="D5">
        <v>0</v>
      </c>
      <c r="E5" s="1">
        <v>89785185757.044632</v>
      </c>
    </row>
    <row r="6" spans="2:5" ht="15.6" x14ac:dyDescent="0.3">
      <c r="B6" t="s">
        <v>9</v>
      </c>
      <c r="C6" s="1">
        <v>27059571821.4846</v>
      </c>
      <c r="D6" s="1">
        <v>31934723130.220501</v>
      </c>
      <c r="E6" s="1">
        <v>47799669257.953163</v>
      </c>
    </row>
    <row r="7" spans="2:5" ht="15.6" x14ac:dyDescent="0.3">
      <c r="B7" t="s">
        <v>10</v>
      </c>
      <c r="C7" s="1">
        <v>5269403205.8488197</v>
      </c>
      <c r="D7" s="1">
        <v>791126271.21088123</v>
      </c>
      <c r="E7" s="1">
        <v>-85089710.444356799</v>
      </c>
    </row>
    <row r="8" spans="2:5" ht="15.6" x14ac:dyDescent="0.3">
      <c r="B8" t="s">
        <v>11</v>
      </c>
      <c r="C8" s="1">
        <v>-2277135209.280715</v>
      </c>
      <c r="D8" s="1">
        <v>-2277135209.280715</v>
      </c>
      <c r="E8" s="1">
        <v>-2558768106.7755799</v>
      </c>
    </row>
    <row r="9" spans="2:5" ht="15.6" x14ac:dyDescent="0.3">
      <c r="C9" s="1"/>
      <c r="E9" s="1"/>
    </row>
    <row r="10" spans="2:5" ht="15.6" x14ac:dyDescent="0.3">
      <c r="C10" s="1"/>
      <c r="D10" s="1"/>
      <c r="E1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E478-DF23-4BF4-A9F1-9C75D3CF8A77}">
  <dimension ref="B3:C24"/>
  <sheetViews>
    <sheetView topLeftCell="A13" zoomScale="115" zoomScaleNormal="115" workbookViewId="0">
      <selection activeCell="D19" sqref="D19"/>
    </sheetView>
  </sheetViews>
  <sheetFormatPr defaultRowHeight="15" x14ac:dyDescent="0.25"/>
  <cols>
    <col min="2" max="2" width="13.36328125" bestFit="1" customWidth="1"/>
  </cols>
  <sheetData>
    <row r="3" spans="2:3" x14ac:dyDescent="0.25">
      <c r="B3" t="s">
        <v>12</v>
      </c>
    </row>
    <row r="4" spans="2:3" x14ac:dyDescent="0.25">
      <c r="B4" t="s">
        <v>13</v>
      </c>
      <c r="C4">
        <v>10</v>
      </c>
    </row>
    <row r="5" spans="2:3" x14ac:dyDescent="0.25">
      <c r="B5" t="s">
        <v>14</v>
      </c>
      <c r="C5">
        <v>10</v>
      </c>
    </row>
    <row r="6" spans="2:3" x14ac:dyDescent="0.25">
      <c r="B6" t="s">
        <v>15</v>
      </c>
      <c r="C6">
        <v>10</v>
      </c>
    </row>
    <row r="7" spans="2:3" x14ac:dyDescent="0.25">
      <c r="B7" t="s">
        <v>16</v>
      </c>
      <c r="C7">
        <v>10</v>
      </c>
    </row>
    <row r="8" spans="2:3" x14ac:dyDescent="0.25">
      <c r="B8" t="s">
        <v>17</v>
      </c>
      <c r="C8">
        <v>10</v>
      </c>
    </row>
    <row r="9" spans="2:3" x14ac:dyDescent="0.25">
      <c r="B9" t="s">
        <v>18</v>
      </c>
      <c r="C9">
        <v>10</v>
      </c>
    </row>
    <row r="13" spans="2:3" ht="15.6" x14ac:dyDescent="0.3">
      <c r="B13" s="2" t="s">
        <v>19</v>
      </c>
      <c r="C13" t="s">
        <v>18</v>
      </c>
    </row>
    <row r="14" spans="2:3" ht="15.6" x14ac:dyDescent="0.3">
      <c r="B14" s="2" t="s">
        <v>20</v>
      </c>
      <c r="C14" t="s">
        <v>32</v>
      </c>
    </row>
    <row r="15" spans="2:3" ht="15.6" x14ac:dyDescent="0.3">
      <c r="B15" s="2" t="s">
        <v>21</v>
      </c>
      <c r="C15" t="s">
        <v>31</v>
      </c>
    </row>
    <row r="16" spans="2:3" ht="15.6" x14ac:dyDescent="0.3">
      <c r="B16" s="2" t="s">
        <v>22</v>
      </c>
      <c r="C16" t="s">
        <v>32</v>
      </c>
    </row>
    <row r="17" spans="2:3" ht="15.6" x14ac:dyDescent="0.3">
      <c r="B17" s="2" t="s">
        <v>23</v>
      </c>
      <c r="C17" t="s">
        <v>16</v>
      </c>
    </row>
    <row r="18" spans="2:3" ht="15.6" x14ac:dyDescent="0.3">
      <c r="B18" s="2" t="s">
        <v>24</v>
      </c>
      <c r="C18" t="s">
        <v>18</v>
      </c>
    </row>
    <row r="19" spans="2:3" ht="15.6" x14ac:dyDescent="0.3">
      <c r="B19" s="2" t="s">
        <v>25</v>
      </c>
      <c r="C19" t="s">
        <v>18</v>
      </c>
    </row>
    <row r="20" spans="2:3" ht="15.6" x14ac:dyDescent="0.3">
      <c r="B20" s="2" t="s">
        <v>26</v>
      </c>
      <c r="C20" t="s">
        <v>15</v>
      </c>
    </row>
    <row r="21" spans="2:3" ht="15.6" x14ac:dyDescent="0.3">
      <c r="B21" s="2" t="s">
        <v>27</v>
      </c>
      <c r="C21" t="s">
        <v>32</v>
      </c>
    </row>
    <row r="22" spans="2:3" ht="15.6" x14ac:dyDescent="0.3">
      <c r="B22" s="2" t="s">
        <v>28</v>
      </c>
      <c r="C22" t="s">
        <v>18</v>
      </c>
    </row>
    <row r="23" spans="2:3" ht="15.6" x14ac:dyDescent="0.3">
      <c r="B23" s="2" t="s">
        <v>29</v>
      </c>
      <c r="C23" t="s">
        <v>14</v>
      </c>
    </row>
    <row r="24" spans="2:3" ht="15.6" x14ac:dyDescent="0.3">
      <c r="B24" s="2" t="s">
        <v>30</v>
      </c>
      <c r="C2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3F49-B0DC-4652-BB3B-648FE214114E}">
  <dimension ref="B2:E15"/>
  <sheetViews>
    <sheetView workbookViewId="0">
      <selection activeCell="B3" sqref="B3:B15"/>
    </sheetView>
  </sheetViews>
  <sheetFormatPr defaultRowHeight="15" x14ac:dyDescent="0.25"/>
  <cols>
    <col min="4" max="4" width="13.6328125" bestFit="1" customWidth="1"/>
  </cols>
  <sheetData>
    <row r="2" spans="2:5" x14ac:dyDescent="0.25">
      <c r="C2" t="s">
        <v>43</v>
      </c>
      <c r="D2" t="s">
        <v>45</v>
      </c>
      <c r="E2" t="s">
        <v>44</v>
      </c>
    </row>
    <row r="3" spans="2:5" x14ac:dyDescent="0.25">
      <c r="B3" t="s">
        <v>33</v>
      </c>
      <c r="C3">
        <v>0</v>
      </c>
      <c r="D3">
        <v>4906</v>
      </c>
      <c r="E3">
        <v>20833</v>
      </c>
    </row>
    <row r="4" spans="2:5" x14ac:dyDescent="0.25">
      <c r="B4" t="s">
        <v>34</v>
      </c>
      <c r="C4">
        <v>7111</v>
      </c>
      <c r="D4">
        <v>22249</v>
      </c>
      <c r="E4">
        <v>11314</v>
      </c>
    </row>
    <row r="5" spans="2:5" x14ac:dyDescent="0.25">
      <c r="B5" t="s">
        <v>35</v>
      </c>
      <c r="C5">
        <v>4289</v>
      </c>
      <c r="D5">
        <v>12560</v>
      </c>
      <c r="E5">
        <v>2245</v>
      </c>
    </row>
    <row r="6" spans="2:5" x14ac:dyDescent="0.25">
      <c r="B6" t="s">
        <v>48</v>
      </c>
      <c r="C6">
        <v>6712</v>
      </c>
      <c r="D6">
        <v>8445</v>
      </c>
      <c r="E6">
        <v>0</v>
      </c>
    </row>
    <row r="7" spans="2:5" x14ac:dyDescent="0.25">
      <c r="B7" t="s">
        <v>36</v>
      </c>
      <c r="C7">
        <v>0</v>
      </c>
      <c r="D7">
        <v>0</v>
      </c>
      <c r="E7">
        <f>18483+28839</f>
        <v>47322</v>
      </c>
    </row>
    <row r="8" spans="2:5" x14ac:dyDescent="0.25">
      <c r="B8" t="s">
        <v>37</v>
      </c>
      <c r="C8">
        <v>2342</v>
      </c>
      <c r="D8">
        <v>0</v>
      </c>
      <c r="E8">
        <v>32915</v>
      </c>
    </row>
    <row r="9" spans="2:5" x14ac:dyDescent="0.25">
      <c r="B9" t="s">
        <v>38</v>
      </c>
      <c r="C9">
        <v>0</v>
      </c>
      <c r="D9">
        <v>9249</v>
      </c>
      <c r="E9">
        <v>25462</v>
      </c>
    </row>
    <row r="10" spans="2:5" x14ac:dyDescent="0.25">
      <c r="B10" t="s">
        <v>39</v>
      </c>
      <c r="C10">
        <v>2260</v>
      </c>
      <c r="D10">
        <v>0</v>
      </c>
      <c r="E10">
        <v>31878</v>
      </c>
    </row>
    <row r="11" spans="2:5" x14ac:dyDescent="0.25">
      <c r="B11" t="s">
        <v>46</v>
      </c>
      <c r="C11">
        <v>5290</v>
      </c>
      <c r="D11">
        <v>0</v>
      </c>
      <c r="E11">
        <v>16761</v>
      </c>
    </row>
    <row r="12" spans="2:5" x14ac:dyDescent="0.25">
      <c r="B12" t="s">
        <v>47</v>
      </c>
      <c r="C12">
        <v>2570</v>
      </c>
      <c r="D12">
        <v>2299</v>
      </c>
      <c r="E12">
        <v>14137</v>
      </c>
    </row>
    <row r="13" spans="2:5" x14ac:dyDescent="0.25">
      <c r="B13" t="s">
        <v>40</v>
      </c>
      <c r="C13">
        <v>0</v>
      </c>
      <c r="D13">
        <v>3933</v>
      </c>
      <c r="E13">
        <v>23135</v>
      </c>
    </row>
    <row r="14" spans="2:5" x14ac:dyDescent="0.25">
      <c r="B14" t="s">
        <v>41</v>
      </c>
      <c r="C14">
        <v>0</v>
      </c>
      <c r="D14">
        <v>469</v>
      </c>
      <c r="E14">
        <v>2798</v>
      </c>
    </row>
    <row r="15" spans="2:5" x14ac:dyDescent="0.25">
      <c r="B15" t="s">
        <v>42</v>
      </c>
      <c r="C15">
        <v>0</v>
      </c>
      <c r="D15">
        <v>7842</v>
      </c>
      <c r="E15">
        <v>8341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5C92-1A5C-4396-912C-1ED898FDD315}">
  <dimension ref="A1:C12"/>
  <sheetViews>
    <sheetView tabSelected="1" zoomScale="112" zoomScaleNormal="112" workbookViewId="0">
      <selection activeCell="J29" sqref="J29"/>
    </sheetView>
  </sheetViews>
  <sheetFormatPr defaultRowHeight="15" x14ac:dyDescent="0.25"/>
  <cols>
    <col min="2" max="2" width="14.1796875" customWidth="1"/>
    <col min="3" max="3" width="15.54296875" customWidth="1"/>
  </cols>
  <sheetData>
    <row r="1" spans="1:3" ht="31.2" x14ac:dyDescent="0.25">
      <c r="A1" s="3" t="s">
        <v>49</v>
      </c>
      <c r="B1" s="3" t="s">
        <v>62</v>
      </c>
      <c r="C1" s="3" t="s">
        <v>50</v>
      </c>
    </row>
    <row r="2" spans="1:3" x14ac:dyDescent="0.25">
      <c r="A2" s="4" t="s">
        <v>51</v>
      </c>
      <c r="B2" s="5">
        <v>15000000000</v>
      </c>
      <c r="C2" s="4">
        <v>0.05</v>
      </c>
    </row>
    <row r="3" spans="1:3" x14ac:dyDescent="0.25">
      <c r="A3" s="4" t="s">
        <v>52</v>
      </c>
      <c r="B3" s="5">
        <v>50000000000</v>
      </c>
      <c r="C3" s="4">
        <v>9.2999999999999999E-2</v>
      </c>
    </row>
    <row r="4" spans="1:3" x14ac:dyDescent="0.25">
      <c r="A4" s="4" t="s">
        <v>53</v>
      </c>
      <c r="B4" s="5">
        <v>20000000000</v>
      </c>
      <c r="C4" s="4">
        <v>0.08</v>
      </c>
    </row>
    <row r="5" spans="1:3" x14ac:dyDescent="0.25">
      <c r="A5" s="4" t="s">
        <v>54</v>
      </c>
      <c r="B5" s="5">
        <v>30000000000</v>
      </c>
      <c r="C5" s="4">
        <v>0.15</v>
      </c>
    </row>
    <row r="6" spans="1:3" x14ac:dyDescent="0.25">
      <c r="A6" s="4" t="s">
        <v>55</v>
      </c>
      <c r="B6" s="5">
        <v>25000000000</v>
      </c>
      <c r="C6" s="4">
        <v>0.12</v>
      </c>
    </row>
    <row r="7" spans="1:3" x14ac:dyDescent="0.25">
      <c r="A7" s="4" t="s">
        <v>56</v>
      </c>
      <c r="B7" s="5">
        <v>40000000000</v>
      </c>
      <c r="C7" s="4">
        <v>0.1</v>
      </c>
    </row>
    <row r="8" spans="1:3" x14ac:dyDescent="0.25">
      <c r="A8" s="4" t="s">
        <v>57</v>
      </c>
      <c r="B8" s="5">
        <v>32000000000</v>
      </c>
      <c r="C8" s="4">
        <v>0.115</v>
      </c>
    </row>
    <row r="9" spans="1:3" x14ac:dyDescent="0.25">
      <c r="A9" s="4" t="s">
        <v>58</v>
      </c>
      <c r="B9" s="5">
        <v>45000000000</v>
      </c>
      <c r="C9" s="4">
        <v>8.8999999999999996E-2</v>
      </c>
    </row>
    <row r="10" spans="1:3" x14ac:dyDescent="0.25">
      <c r="A10" s="4" t="s">
        <v>59</v>
      </c>
      <c r="B10" s="5">
        <v>34000000000</v>
      </c>
      <c r="C10" s="4">
        <v>0.12</v>
      </c>
    </row>
    <row r="11" spans="1:3" x14ac:dyDescent="0.25">
      <c r="A11" s="4" t="s">
        <v>60</v>
      </c>
      <c r="B11" s="5">
        <v>36000000000</v>
      </c>
      <c r="C11" s="4">
        <v>8.3000000000000004E-2</v>
      </c>
    </row>
    <row r="12" spans="1:3" x14ac:dyDescent="0.25">
      <c r="A12" s="4" t="s">
        <v>61</v>
      </c>
      <c r="B12" s="6">
        <v>33000000000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B10F-882B-4C06-8C9F-74906CCA1BAA}">
  <dimension ref="B2:G17"/>
  <sheetViews>
    <sheetView workbookViewId="0">
      <selection activeCell="G25" sqref="G25"/>
    </sheetView>
  </sheetViews>
  <sheetFormatPr defaultRowHeight="15" x14ac:dyDescent="0.25"/>
  <sheetData>
    <row r="2" spans="2:7" x14ac:dyDescent="0.25">
      <c r="C2" t="s">
        <v>63</v>
      </c>
      <c r="D2" t="s">
        <v>3</v>
      </c>
      <c r="E2" t="s">
        <v>4</v>
      </c>
      <c r="F2" t="s">
        <v>5</v>
      </c>
      <c r="G2" t="s">
        <v>64</v>
      </c>
    </row>
    <row r="3" spans="2:7" x14ac:dyDescent="0.25">
      <c r="B3" t="s">
        <v>33</v>
      </c>
      <c r="C3">
        <v>2500</v>
      </c>
      <c r="D3">
        <v>1000</v>
      </c>
      <c r="E3">
        <v>3500</v>
      </c>
      <c r="F3">
        <v>2500</v>
      </c>
      <c r="G3">
        <v>1800</v>
      </c>
    </row>
    <row r="4" spans="2:7" x14ac:dyDescent="0.25">
      <c r="B4" t="s">
        <v>34</v>
      </c>
      <c r="C4">
        <v>4500</v>
      </c>
      <c r="D4">
        <v>4500</v>
      </c>
      <c r="E4">
        <v>3000</v>
      </c>
      <c r="F4">
        <v>1400</v>
      </c>
      <c r="G4">
        <v>9000</v>
      </c>
    </row>
    <row r="5" spans="2:7" x14ac:dyDescent="0.25">
      <c r="B5" t="s">
        <v>35</v>
      </c>
      <c r="C5">
        <v>4500</v>
      </c>
      <c r="D5">
        <v>6500</v>
      </c>
      <c r="E5">
        <v>2000</v>
      </c>
      <c r="F5">
        <v>1300</v>
      </c>
      <c r="G5">
        <v>4200</v>
      </c>
    </row>
    <row r="6" spans="2:7" x14ac:dyDescent="0.25">
      <c r="B6" t="s">
        <v>48</v>
      </c>
      <c r="C6">
        <v>1000</v>
      </c>
      <c r="D6">
        <v>4000</v>
      </c>
      <c r="E6">
        <v>0</v>
      </c>
      <c r="F6">
        <v>700</v>
      </c>
      <c r="G6">
        <v>5400</v>
      </c>
    </row>
    <row r="7" spans="2:7" x14ac:dyDescent="0.25">
      <c r="B7" t="s">
        <v>36</v>
      </c>
      <c r="C7">
        <v>0</v>
      </c>
      <c r="D7">
        <v>0</v>
      </c>
      <c r="E7">
        <v>0</v>
      </c>
      <c r="F7">
        <v>0</v>
      </c>
      <c r="G7">
        <v>16800</v>
      </c>
    </row>
    <row r="8" spans="2:7" x14ac:dyDescent="0.25">
      <c r="B8" t="s">
        <v>37</v>
      </c>
      <c r="C8">
        <v>4500</v>
      </c>
      <c r="D8">
        <v>1000</v>
      </c>
      <c r="E8">
        <v>1500</v>
      </c>
      <c r="F8">
        <v>2000</v>
      </c>
      <c r="G8">
        <v>18000</v>
      </c>
    </row>
    <row r="9" spans="2:7" x14ac:dyDescent="0.25">
      <c r="B9" t="s">
        <v>38</v>
      </c>
      <c r="C9">
        <v>1500</v>
      </c>
      <c r="D9">
        <v>0</v>
      </c>
      <c r="E9">
        <v>3500</v>
      </c>
      <c r="F9">
        <v>1500</v>
      </c>
      <c r="G9">
        <v>8400</v>
      </c>
    </row>
    <row r="10" spans="2:7" x14ac:dyDescent="0.25">
      <c r="B10" t="s">
        <v>39</v>
      </c>
      <c r="C10">
        <v>0</v>
      </c>
      <c r="D10">
        <v>0</v>
      </c>
      <c r="E10">
        <v>500</v>
      </c>
      <c r="F10">
        <v>100</v>
      </c>
      <c r="G10">
        <v>11400</v>
      </c>
    </row>
    <row r="11" spans="2:7" x14ac:dyDescent="0.25">
      <c r="B11" t="s">
        <v>46</v>
      </c>
      <c r="C11">
        <v>0</v>
      </c>
      <c r="D11">
        <v>0</v>
      </c>
      <c r="E11">
        <v>0</v>
      </c>
      <c r="F11">
        <v>300</v>
      </c>
      <c r="G11">
        <v>12000</v>
      </c>
    </row>
    <row r="12" spans="2:7" x14ac:dyDescent="0.25">
      <c r="B12" t="s">
        <v>47</v>
      </c>
      <c r="C12">
        <v>0</v>
      </c>
      <c r="D12">
        <v>0</v>
      </c>
      <c r="E12">
        <v>500</v>
      </c>
      <c r="F12">
        <v>100</v>
      </c>
      <c r="G12">
        <v>7800</v>
      </c>
    </row>
    <row r="13" spans="2:7" x14ac:dyDescent="0.25">
      <c r="B13" t="s">
        <v>40</v>
      </c>
      <c r="C13">
        <v>0</v>
      </c>
      <c r="D13">
        <v>0</v>
      </c>
      <c r="E13">
        <v>2500</v>
      </c>
      <c r="F13">
        <v>300</v>
      </c>
      <c r="G13">
        <v>9600</v>
      </c>
    </row>
    <row r="14" spans="2:7" x14ac:dyDescent="0.25">
      <c r="B14" t="s">
        <v>41</v>
      </c>
      <c r="C14">
        <v>0</v>
      </c>
      <c r="D14">
        <v>0</v>
      </c>
      <c r="E14">
        <v>500</v>
      </c>
      <c r="F14">
        <v>300</v>
      </c>
      <c r="G14">
        <v>1800</v>
      </c>
    </row>
    <row r="15" spans="2:7" x14ac:dyDescent="0.25">
      <c r="B15" t="s">
        <v>42</v>
      </c>
      <c r="C15">
        <v>1500</v>
      </c>
      <c r="D15">
        <v>1000</v>
      </c>
      <c r="E15">
        <v>1000</v>
      </c>
      <c r="F15">
        <v>600</v>
      </c>
      <c r="G15">
        <v>6000</v>
      </c>
    </row>
    <row r="17" spans="3:3" x14ac:dyDescent="0.25">
      <c r="C17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Hemmati, Mohammad</dc:creator>
  <cp:lastModifiedBy>Mohammad Hemmati</cp:lastModifiedBy>
  <dcterms:created xsi:type="dcterms:W3CDTF">2025-09-18T13:05:15Z</dcterms:created>
  <dcterms:modified xsi:type="dcterms:W3CDTF">2026-04-21T11:46:26Z</dcterms:modified>
</cp:coreProperties>
</file>