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ecemm_ucl_ac_uk/Documents/Desktop/PHOS Package/Model/"/>
    </mc:Choice>
  </mc:AlternateContent>
  <xr:revisionPtr revIDLastSave="65" documentId="13_ncr:1_{EE80257B-4ADF-4A30-A53F-D10972A52753}" xr6:coauthVersionLast="47" xr6:coauthVersionMax="47" xr10:uidLastSave="{F03AACE1-F1F1-4203-8B33-13B76EAFBB8C}"/>
  <bookViews>
    <workbookView xWindow="-108" yWindow="-108" windowWidth="23256" windowHeight="13896" firstSheet="15" activeTab="21" xr2:uid="{20243B26-9A9B-4A33-8CBC-ACEBEFDD9E3F}"/>
  </bookViews>
  <sheets>
    <sheet name="Index" sheetId="1" r:id="rId1"/>
    <sheet name="Sets" sheetId="6" r:id="rId2"/>
    <sheet name="Distances" sheetId="15" r:id="rId3"/>
    <sheet name="TechData" sheetId="5" r:id="rId4"/>
    <sheet name="HeatTech" sheetId="24" r:id="rId5"/>
    <sheet name="CostTech" sheetId="7" r:id="rId6"/>
    <sheet name="Regions" sheetId="4" r:id="rId7"/>
    <sheet name="LandAvailability" sheetId="22" r:id="rId8"/>
    <sheet name="InitCap" sheetId="23" r:id="rId9"/>
    <sheet name="General" sheetId="2" r:id="rId10"/>
    <sheet name="Trans_Inter" sheetId="11" r:id="rId11"/>
    <sheet name="ClusteredDataSTOR" sheetId="26" r:id="rId12"/>
    <sheet name="DC" sheetId="27" state="hidden" r:id="rId13"/>
    <sheet name="ClusteredData" sheetId="20" r:id="rId14"/>
    <sheet name="Fuels" sheetId="17" r:id="rId15"/>
    <sheet name="Biomass" sheetId="25" r:id="rId16"/>
    <sheet name="Transportation" sheetId="16" r:id="rId17"/>
    <sheet name="CO2Reservoirs" sheetId="18" r:id="rId18"/>
    <sheet name="Emissions" sheetId="14" r:id="rId19"/>
    <sheet name="Pipelines" sheetId="13" r:id="rId20"/>
    <sheet name="AV" sheetId="3" r:id="rId21"/>
    <sheet name="References" sheetId="8" r:id="rId22"/>
    <sheet name="Calculations" sheetId="21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2" i="14" l="1"/>
  <c r="J4" i="27"/>
  <c r="H4" i="27"/>
  <c r="J44" i="14"/>
  <c r="J43" i="14"/>
  <c r="J42" i="14"/>
  <c r="J41" i="14"/>
  <c r="J40" i="14"/>
  <c r="J39" i="14"/>
  <c r="B9" i="14" l="1"/>
  <c r="B10" i="14"/>
  <c r="B11" i="14"/>
  <c r="B12" i="14"/>
  <c r="B13" i="14"/>
  <c r="B14" i="14"/>
  <c r="B16" i="14"/>
  <c r="B17" i="14"/>
  <c r="B18" i="14"/>
  <c r="J155" i="5" l="1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54" i="5"/>
  <c r="D40" i="14"/>
  <c r="E40" i="14" s="1"/>
  <c r="C40" i="14"/>
  <c r="B40" i="14"/>
  <c r="A40" i="14"/>
  <c r="L41" i="14" l="1"/>
  <c r="M41" i="14"/>
  <c r="N41" i="14"/>
  <c r="O41" i="14"/>
  <c r="P41" i="14" s="1"/>
  <c r="S8" i="17"/>
  <c r="N9" i="17"/>
  <c r="O9" i="17"/>
  <c r="P9" i="17"/>
  <c r="Q9" i="17"/>
  <c r="R9" i="17"/>
  <c r="S9" i="17"/>
  <c r="Q40" i="14"/>
  <c r="P40" i="14"/>
  <c r="O40" i="14"/>
  <c r="N40" i="14"/>
  <c r="M40" i="14"/>
  <c r="L40" i="14"/>
  <c r="B6" i="18"/>
  <c r="B4" i="18"/>
  <c r="B3" i="18"/>
  <c r="B33" i="14"/>
  <c r="B26" i="14"/>
  <c r="B25" i="14"/>
  <c r="B24" i="14"/>
  <c r="B29" i="14" l="1"/>
  <c r="AD18" i="15" l="1"/>
  <c r="F11" i="21"/>
  <c r="E11" i="21"/>
  <c r="D11" i="21"/>
  <c r="C11" i="21"/>
  <c r="C10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X10" i="21"/>
  <c r="Y10" i="21"/>
  <c r="Z10" i="21"/>
  <c r="AA10" i="21"/>
  <c r="AB10" i="21"/>
  <c r="AC10" i="21"/>
  <c r="AD10" i="21"/>
  <c r="AE10" i="21"/>
  <c r="AF10" i="21"/>
  <c r="AG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O8" i="17" l="1"/>
  <c r="P8" i="17"/>
  <c r="Q8" i="17"/>
  <c r="R8" i="17"/>
  <c r="O15" i="17"/>
  <c r="P15" i="17"/>
  <c r="Q15" i="17"/>
  <c r="R15" i="17"/>
  <c r="S15" i="17"/>
  <c r="N15" i="17"/>
  <c r="N8" i="17"/>
</calcChain>
</file>

<file path=xl/sharedStrings.xml><?xml version="1.0" encoding="utf-8"?>
<sst xmlns="http://schemas.openxmlformats.org/spreadsheetml/2006/main" count="7239" uniqueCount="863">
  <si>
    <t>Dim</t>
  </si>
  <si>
    <t>Rdim</t>
  </si>
  <si>
    <t>Cdim</t>
  </si>
  <si>
    <t>Type</t>
  </si>
  <si>
    <t>Name</t>
  </si>
  <si>
    <t>Cells</t>
  </si>
  <si>
    <t xml:space="preserve">iota                     </t>
  </si>
  <si>
    <t>maximum percentage of international hydrogen imports over the total demand (%)</t>
  </si>
  <si>
    <t>initial availability of a regional hydrogen pipeline of diameter size d between regions g and g1 (0-1)</t>
  </si>
  <si>
    <t>availability of renewable technology j in region g, cluster c and hour h (%)</t>
  </si>
  <si>
    <t>unit capacity of technology type j (MW)</t>
  </si>
  <si>
    <t>fixed capital cost of technology type j (£/MW)</t>
  </si>
  <si>
    <t>curtailment cost (£/MW)</t>
  </si>
  <si>
    <t>maximum charge of storage technology j with fuel f (units)</t>
  </si>
  <si>
    <t xml:space="preserve">cshut(j)                 </t>
  </si>
  <si>
    <t>shutting down cost for technology j (£)</t>
  </si>
  <si>
    <t>starting up cost for technology j (£/MW)</t>
  </si>
  <si>
    <t xml:space="preserve">ctr                      </t>
  </si>
  <si>
    <t>electricity transmission cost (£/MW/km)</t>
  </si>
  <si>
    <t>maximum discharge of storage technology j with fuel f (MW)</t>
  </si>
  <si>
    <t xml:space="preserve">delta                    </t>
  </si>
  <si>
    <t>Ratio of pipeline operating costs to capital costs (%)</t>
  </si>
  <si>
    <t>delivery distance of a onshore CO2 pipeline between regions g and g1 (km)</t>
  </si>
  <si>
    <t>Distance from CO2 collection point in region g to reservoir r (km)</t>
  </si>
  <si>
    <t>distance between region g and underground storage type s</t>
  </si>
  <si>
    <t xml:space="preserve">dur                      </t>
  </si>
  <si>
    <t>duration of time periods (y)</t>
  </si>
  <si>
    <t>min down time of technology type j(h)</t>
  </si>
  <si>
    <t xml:space="preserve">dw                       </t>
  </si>
  <si>
    <t>driver wage of road transportation(£ h-1)</t>
  </si>
  <si>
    <t>electricity demand (MW)</t>
  </si>
  <si>
    <t xml:space="preserve">fe                       </t>
  </si>
  <si>
    <t>fuel economy of road transportation (km l-1)</t>
  </si>
  <si>
    <t xml:space="preserve">fp                       </t>
  </si>
  <si>
    <t>fuel price of road transportation (£ l-1)</t>
  </si>
  <si>
    <t xml:space="preserve">fuelc(f,t)               </t>
  </si>
  <si>
    <t>cost of fuel f in time period t (£)</t>
  </si>
  <si>
    <t xml:space="preserve">ge                       </t>
  </si>
  <si>
    <t>general expenses of road transportation (£ d-1)</t>
  </si>
  <si>
    <t xml:space="preserve">ir                       </t>
  </si>
  <si>
    <t>discount rate (%)</t>
  </si>
  <si>
    <t xml:space="preserve">ICap(i,g,t)              </t>
  </si>
  <si>
    <t>limit of electricity interconnection with country i in region g and time period t (MW)</t>
  </si>
  <si>
    <t>electricity transmission distance from region g to g1 (km)</t>
  </si>
  <si>
    <t xml:space="preserve">LTpipe                   </t>
  </si>
  <si>
    <t>useful life of pipelines (y)</t>
  </si>
  <si>
    <t xml:space="preserve">LTroad                   </t>
  </si>
  <si>
    <t>lifetime of road transportation units (y)</t>
  </si>
  <si>
    <t xml:space="preserve">      </t>
  </si>
  <si>
    <t xml:space="preserve">LT(j)                    </t>
  </si>
  <si>
    <t>useful life of technology type j (y)</t>
  </si>
  <si>
    <t xml:space="preserve">lut                      </t>
  </si>
  <si>
    <t>load and unload time of road transportation mode l  (h)</t>
  </si>
  <si>
    <t xml:space="preserve">me                       </t>
  </si>
  <si>
    <t>maintenance expenses of road transportation mode l  (£ km-1)</t>
  </si>
  <si>
    <t>economic life cycle of capital investments (y)</t>
  </si>
  <si>
    <t xml:space="preserve">oc_fix(j,t)              </t>
  </si>
  <si>
    <t>fixed operating cost of technology j in time period t (£/MW/y)</t>
  </si>
  <si>
    <t>variable operating cost of technology j in time period t (£/MWh)</t>
  </si>
  <si>
    <t xml:space="preserve">pc_onshore(d,f)          </t>
  </si>
  <si>
    <t>capital costs of a n pipeline of diameter size d and fuel f(£ km-1)</t>
  </si>
  <si>
    <t xml:space="preserve">pc_offshore(d)           </t>
  </si>
  <si>
    <t>capital costs of an offshore CO2 pipeline of diameter size d (£ km-1)</t>
  </si>
  <si>
    <t xml:space="preserve">Pmax(j)                  </t>
  </si>
  <si>
    <t>maximum production capacity of technology j (%)</t>
  </si>
  <si>
    <t xml:space="preserve">Pmin(j)                  </t>
  </si>
  <si>
    <t>minimum production capacity of technology j (%)</t>
  </si>
  <si>
    <t xml:space="preserve">ri0                      </t>
  </si>
  <si>
    <t xml:space="preserve">rtc                      </t>
  </si>
  <si>
    <t>road transportation unit capital cost (£/unit)</t>
  </si>
  <si>
    <t>Comit Ramp down of technology j</t>
  </si>
  <si>
    <t>Comit Ramp up of technology j</t>
  </si>
  <si>
    <t>Start Ramp down of technology j</t>
  </si>
  <si>
    <t xml:space="preserve">Stmax(j)                 </t>
  </si>
  <si>
    <t>maximum storage capacity of technology j (%)</t>
  </si>
  <si>
    <t xml:space="preserve">Stmin(j)                 </t>
  </si>
  <si>
    <t>minimum storage capacity of technology j (%)</t>
  </si>
  <si>
    <t xml:space="preserve">sp                       </t>
  </si>
  <si>
    <t>average speed of road transportation mode l transporting product type i within a region(km h-1)</t>
  </si>
  <si>
    <t xml:space="preserve">tcap                     </t>
  </si>
  <si>
    <t xml:space="preserve">triup                    </t>
  </si>
  <si>
    <t>maximum transmission capacity expansion (MW)</t>
  </si>
  <si>
    <t>min up time of technology j (h)</t>
  </si>
  <si>
    <t>weight of clusters (d)</t>
  </si>
  <si>
    <t>EA</t>
  </si>
  <si>
    <t>EM</t>
  </si>
  <si>
    <t>NE</t>
  </si>
  <si>
    <t>NO</t>
  </si>
  <si>
    <t>NT</t>
  </si>
  <si>
    <t>NW</t>
  </si>
  <si>
    <t>SC</t>
  </si>
  <si>
    <t>SE</t>
  </si>
  <si>
    <t>SO</t>
  </si>
  <si>
    <t>SW</t>
  </si>
  <si>
    <t>WM</t>
  </si>
  <si>
    <t>WN</t>
  </si>
  <si>
    <t>WS</t>
  </si>
  <si>
    <t>Solar</t>
  </si>
  <si>
    <t>WindOn</t>
  </si>
  <si>
    <t>WindOff</t>
  </si>
  <si>
    <t>Vassilis</t>
  </si>
  <si>
    <t xml:space="preserve">Availability of renewable technologies </t>
  </si>
  <si>
    <t xml:space="preserve">AV(c,h,g,j) </t>
  </si>
  <si>
    <t xml:space="preserve">AV            </t>
  </si>
  <si>
    <t>par</t>
  </si>
  <si>
    <t xml:space="preserve">c                </t>
  </si>
  <si>
    <t>Clusters</t>
  </si>
  <si>
    <t xml:space="preserve">d                </t>
  </si>
  <si>
    <t>Diameter size for pipelines</t>
  </si>
  <si>
    <t xml:space="preserve">f                </t>
  </si>
  <si>
    <t>Fuels</t>
  </si>
  <si>
    <t xml:space="preserve">g                </t>
  </si>
  <si>
    <t>Regions</t>
  </si>
  <si>
    <t xml:space="preserve">h                </t>
  </si>
  <si>
    <t>hours</t>
  </si>
  <si>
    <t xml:space="preserve">i                </t>
  </si>
  <si>
    <t>interconnections</t>
  </si>
  <si>
    <t xml:space="preserve">j                </t>
  </si>
  <si>
    <t>Technologies</t>
  </si>
  <si>
    <t xml:space="preserve">k                </t>
  </si>
  <si>
    <t>Countries</t>
  </si>
  <si>
    <t xml:space="preserve">r                </t>
  </si>
  <si>
    <t>Reservoirs</t>
  </si>
  <si>
    <t xml:space="preserve">t                </t>
  </si>
  <si>
    <t>years</t>
  </si>
  <si>
    <t xml:space="preserve">b                </t>
  </si>
  <si>
    <t>biomass feedstock</t>
  </si>
  <si>
    <t xml:space="preserve">Description </t>
  </si>
  <si>
    <t>Set</t>
  </si>
  <si>
    <t>g</t>
  </si>
  <si>
    <t>SMRCCS</t>
  </si>
  <si>
    <t>ATRCCS</t>
  </si>
  <si>
    <t>BECCS</t>
  </si>
  <si>
    <t>WE</t>
  </si>
  <si>
    <t>r</t>
  </si>
  <si>
    <t>NNS</t>
  </si>
  <si>
    <t>CNS</t>
  </si>
  <si>
    <t>SNS</t>
  </si>
  <si>
    <t>EISB</t>
  </si>
  <si>
    <t>OnTeeside</t>
  </si>
  <si>
    <t>OnChesire</t>
  </si>
  <si>
    <t>OnYorkshire</t>
  </si>
  <si>
    <t>OffIrishSea</t>
  </si>
  <si>
    <t>MPSV</t>
  </si>
  <si>
    <t>HPSV</t>
  </si>
  <si>
    <t>t</t>
  </si>
  <si>
    <t>d</t>
  </si>
  <si>
    <t>c</t>
  </si>
  <si>
    <t>h</t>
  </si>
  <si>
    <t>electricity technologies</t>
  </si>
  <si>
    <t>electricity production technologies</t>
  </si>
  <si>
    <t>electricity production thermal technologies</t>
  </si>
  <si>
    <t>electricity storage technologies</t>
  </si>
  <si>
    <t>renewable electricity technologies</t>
  </si>
  <si>
    <t>hydrogen technologies</t>
  </si>
  <si>
    <t>hydrogen production technologies</t>
  </si>
  <si>
    <t>hydrogen storage technologies</t>
  </si>
  <si>
    <t>biomass technologies</t>
  </si>
  <si>
    <t>technologies wiht CCS</t>
  </si>
  <si>
    <t>heating technologies</t>
  </si>
  <si>
    <t>N(g,g1)</t>
  </si>
  <si>
    <t>GR</t>
  </si>
  <si>
    <t>GS</t>
  </si>
  <si>
    <t>jb</t>
  </si>
  <si>
    <t>jccs</t>
  </si>
  <si>
    <t>je</t>
  </si>
  <si>
    <t>jep</t>
  </si>
  <si>
    <t xml:space="preserve">jes   </t>
  </si>
  <si>
    <t>jh</t>
  </si>
  <si>
    <t xml:space="preserve">jhe  </t>
  </si>
  <si>
    <t xml:space="preserve">jhp  </t>
  </si>
  <si>
    <t>jhs</t>
  </si>
  <si>
    <t xml:space="preserve">jre </t>
  </si>
  <si>
    <t>jth</t>
  </si>
  <si>
    <t>N</t>
  </si>
  <si>
    <t>Npipe</t>
  </si>
  <si>
    <t>f</t>
  </si>
  <si>
    <t>i</t>
  </si>
  <si>
    <t>j</t>
  </si>
  <si>
    <t>k</t>
  </si>
  <si>
    <t>b</t>
  </si>
  <si>
    <t>DEC</t>
  </si>
  <si>
    <t>SRF</t>
  </si>
  <si>
    <t>FR</t>
  </si>
  <si>
    <t>AR</t>
  </si>
  <si>
    <t>IMP</t>
  </si>
  <si>
    <t>Elec</t>
  </si>
  <si>
    <t>CO2</t>
  </si>
  <si>
    <t>Bio</t>
  </si>
  <si>
    <t>Coal</t>
  </si>
  <si>
    <t>Gas</t>
  </si>
  <si>
    <t>IFA</t>
  </si>
  <si>
    <t>BRITNED</t>
  </si>
  <si>
    <t>IFA2</t>
  </si>
  <si>
    <t>EWIC</t>
  </si>
  <si>
    <t>NSN</t>
  </si>
  <si>
    <t>NORTHCONNECT</t>
  </si>
  <si>
    <t>FABLINK</t>
  </si>
  <si>
    <t>VIKINGLINK</t>
  </si>
  <si>
    <t>NEMO</t>
  </si>
  <si>
    <t>ELECLINK</t>
  </si>
  <si>
    <t>MOYLE</t>
  </si>
  <si>
    <t>GREENLINK</t>
  </si>
  <si>
    <t>NL</t>
  </si>
  <si>
    <t>IR</t>
  </si>
  <si>
    <t>DK</t>
  </si>
  <si>
    <t>BG</t>
  </si>
  <si>
    <t>Nuclear</t>
  </si>
  <si>
    <t>OCGT</t>
  </si>
  <si>
    <t>CoalCCS</t>
  </si>
  <si>
    <t>CCGTCCS</t>
  </si>
  <si>
    <t>LeadBat</t>
  </si>
  <si>
    <t>PumpHy</t>
  </si>
  <si>
    <t>BGCCS</t>
  </si>
  <si>
    <t>FC</t>
  </si>
  <si>
    <t>Sets!C2:G12</t>
  </si>
  <si>
    <t>Sets!C3:N3</t>
  </si>
  <si>
    <t>Sets!C4:E4</t>
  </si>
  <si>
    <t>Sets!C6:O6</t>
  </si>
  <si>
    <t>Sets!C7:Z7</t>
  </si>
  <si>
    <t>Sets!C8:N8</t>
  </si>
  <si>
    <t>Sets!C10:H10</t>
  </si>
  <si>
    <t>Sets!C11:F11</t>
  </si>
  <si>
    <t>Sets!C12:H12</t>
  </si>
  <si>
    <t>Sets!C14:H14</t>
  </si>
  <si>
    <t>Sets!C17:D17</t>
  </si>
  <si>
    <t>Sets!C18:L18</t>
  </si>
  <si>
    <t>Sets!C19:Z19</t>
  </si>
  <si>
    <t>Sets!C20:F20</t>
  </si>
  <si>
    <t>Sets!C21:H21</t>
  </si>
  <si>
    <t>g1</t>
  </si>
  <si>
    <t>Scotland</t>
  </si>
  <si>
    <t>Northern</t>
  </si>
  <si>
    <t>North East</t>
  </si>
  <si>
    <t>North West</t>
  </si>
  <si>
    <t>East Midlands</t>
  </si>
  <si>
    <t>West Midlands</t>
  </si>
  <si>
    <t>Wales North</t>
  </si>
  <si>
    <t>Southern</t>
  </si>
  <si>
    <t>South West</t>
  </si>
  <si>
    <t>Wales South</t>
  </si>
  <si>
    <t>Eastern</t>
  </si>
  <si>
    <t>North Thames</t>
  </si>
  <si>
    <t>South East</t>
  </si>
  <si>
    <t>Neighbour Regions</t>
  </si>
  <si>
    <t>Neighbour Regions connected with pipeline</t>
  </si>
  <si>
    <t>Regions!C4:D49</t>
  </si>
  <si>
    <t>Regions!I4:J35</t>
  </si>
  <si>
    <t>GR(g,r)</t>
  </si>
  <si>
    <t>s</t>
  </si>
  <si>
    <t>GS(g,s)</t>
  </si>
  <si>
    <t>NorthConnect</t>
  </si>
  <si>
    <t>Greenlink</t>
  </si>
  <si>
    <t>Fablink</t>
  </si>
  <si>
    <t>ELECLink</t>
  </si>
  <si>
    <t>Britned</t>
  </si>
  <si>
    <t>Electricity interconnections: Vassilis</t>
  </si>
  <si>
    <t>Hydrogen interconnections: https://www.uktradeinfo.com/trade-data/ots-custom-table/</t>
  </si>
  <si>
    <t>DG</t>
  </si>
  <si>
    <t>Purflet</t>
  </si>
  <si>
    <t>London</t>
  </si>
  <si>
    <t>Harwich</t>
  </si>
  <si>
    <t>Killingholme</t>
  </si>
  <si>
    <t>Dover</t>
  </si>
  <si>
    <t>Immingham</t>
  </si>
  <si>
    <t>Liverpool</t>
  </si>
  <si>
    <t>Felixstowe</t>
  </si>
  <si>
    <t>GE and NL</t>
  </si>
  <si>
    <t>GE and IT and NL and SP</t>
  </si>
  <si>
    <t>IR and NL and SW</t>
  </si>
  <si>
    <t>BG and IR and NL</t>
  </si>
  <si>
    <t>Regions!Q4:R7</t>
  </si>
  <si>
    <t>neighbour Regions</t>
  </si>
  <si>
    <t>neighbour Regions connected with pipeline</t>
  </si>
  <si>
    <t>set</t>
  </si>
  <si>
    <t xml:space="preserve">capunit      </t>
  </si>
  <si>
    <t>capunit (j)</t>
  </si>
  <si>
    <t>Capacity of technology unit j (MW)</t>
  </si>
  <si>
    <t>cc_fix</t>
  </si>
  <si>
    <t>cc_fix (j,t)</t>
  </si>
  <si>
    <t xml:space="preserve">fixed capital cost of technology type j (£/MW) </t>
  </si>
  <si>
    <t>I. Walker, B. Madden and T. Foaad, Hydrogen supply chain evidence base, Department for business, energy and industrial strategy technical report, 2018.</t>
  </si>
  <si>
    <t>Samsatli, S., &amp; Samsatli, N. J. (2019). The role of renewable hydrogen and inter-seasonal storage in decarbonising heat – Comprehensive optimisation of future renewable energy value chains. Applied Energy, 233–234, 854–893. https://doi.org/10.1016/j.apenergy.2018.09.159</t>
  </si>
  <si>
    <t>ccurt</t>
  </si>
  <si>
    <t>cstart(j)</t>
  </si>
  <si>
    <t>General!A3</t>
  </si>
  <si>
    <t xml:space="preserve">CHmax(j)               </t>
  </si>
  <si>
    <t>Chmax</t>
  </si>
  <si>
    <t>TechData!F3:G8</t>
  </si>
  <si>
    <t xml:space="preserve">cshut            </t>
  </si>
  <si>
    <t xml:space="preserve">CCGT </t>
  </si>
  <si>
    <t>Biomass</t>
  </si>
  <si>
    <t>Assumptions</t>
  </si>
  <si>
    <t>cstart</t>
  </si>
  <si>
    <t>ct(t)</t>
  </si>
  <si>
    <t xml:space="preserve">ct               </t>
  </si>
  <si>
    <t>Emissions!A3:F4</t>
  </si>
  <si>
    <t>Trans_Inter!A3</t>
  </si>
  <si>
    <t xml:space="preserve">DCmax            </t>
  </si>
  <si>
    <t>maximum discharge of storage technology j with fuel f (units)</t>
  </si>
  <si>
    <t xml:space="preserve">DHmax(j)               </t>
  </si>
  <si>
    <t>TechData!L3:M8</t>
  </si>
  <si>
    <t>Ratio of hydrogen pipeline operating costs to capital costs (%)</t>
  </si>
  <si>
    <t>Diameter value of a hydrogen pipeline of diameter d (m)</t>
  </si>
  <si>
    <t>Marta</t>
  </si>
  <si>
    <t>diaH(d)</t>
  </si>
  <si>
    <t>Lifecycle of hydrogen pipelines (y)</t>
  </si>
  <si>
    <t>LTpipe</t>
  </si>
  <si>
    <t>cc</t>
  </si>
  <si>
    <t>Initial availability of a hydrogen pipeline of diameter d between regions g and gg (0-1)</t>
  </si>
  <si>
    <t>ayHR0(d,g,g1)</t>
  </si>
  <si>
    <t>qmax(d,f)</t>
  </si>
  <si>
    <t>(MW)</t>
  </si>
  <si>
    <t xml:space="preserve">Maximum flowrate in pipelines 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</si>
  <si>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</si>
  <si>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</si>
  <si>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</si>
  <si>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</si>
  <si>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</si>
  <si>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</si>
  <si>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</si>
  <si>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</si>
  <si>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</si>
  <si>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</si>
  <si>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</si>
  <si>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</si>
  <si>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</si>
  <si>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</si>
  <si>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</si>
  <si>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</si>
  <si>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</si>
  <si>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</si>
  <si>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</si>
  <si>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</si>
  <si>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</si>
  <si>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</si>
  <si>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</si>
  <si>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</si>
  <si>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</si>
  <si>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</si>
  <si>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</si>
  <si>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</si>
  <si>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</si>
  <si>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</si>
  <si>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</si>
  <si>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</si>
  <si>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</si>
  <si>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</si>
  <si>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</si>
  <si>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</si>
  <si>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</si>
  <si>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</si>
  <si>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</si>
  <si>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t1</t>
  </si>
  <si>
    <t>t2</t>
  </si>
  <si>
    <t>t3</t>
  </si>
  <si>
    <t>t4</t>
  </si>
  <si>
    <t>t5</t>
  </si>
  <si>
    <t>t6</t>
  </si>
  <si>
    <t>d4</t>
  </si>
  <si>
    <t>d5</t>
  </si>
  <si>
    <t>d6</t>
  </si>
  <si>
    <t>qmax</t>
  </si>
  <si>
    <t>pc_onshore</t>
  </si>
  <si>
    <t>pc_offshore</t>
  </si>
  <si>
    <t>ayHR0</t>
  </si>
  <si>
    <t>diaC_onshore(d)</t>
  </si>
  <si>
    <t>diaC_offshore(d)</t>
  </si>
  <si>
    <t>delta</t>
  </si>
  <si>
    <t>Pipelines!B49:D50</t>
  </si>
  <si>
    <t>Pipelines!A5</t>
  </si>
  <si>
    <t>Pipelines!A44</t>
  </si>
  <si>
    <t>Pipelines!F33:G38</t>
  </si>
  <si>
    <t>Dist(g,g1)</t>
  </si>
  <si>
    <t>DistRes(g,r)</t>
  </si>
  <si>
    <t>Distance from collection point in region g to H2 storage (km)</t>
  </si>
  <si>
    <t>DistSt(g,s)</t>
  </si>
  <si>
    <t>sc</t>
  </si>
  <si>
    <r>
      <t xml:space="preserve">Pipe distance LDZ (km) </t>
    </r>
    <r>
      <rPr>
        <i/>
        <sz val="11"/>
        <rFont val="Calibri"/>
        <family val="2"/>
        <scheme val="minor"/>
      </rPr>
      <t>ArcGIS</t>
    </r>
  </si>
  <si>
    <t>According to gas pipe</t>
  </si>
  <si>
    <t>DistPipe(g,g1)</t>
  </si>
  <si>
    <t>Dist</t>
  </si>
  <si>
    <t>Distances!A4:N17</t>
  </si>
  <si>
    <t>DistPipe</t>
  </si>
  <si>
    <t>Distances!Q4:AD17</t>
  </si>
  <si>
    <t>Distances!B24:D26</t>
  </si>
  <si>
    <t>Driver wage of transportation mode l transporting product type i (£2010 h-1)</t>
  </si>
  <si>
    <t>Trailer</t>
  </si>
  <si>
    <t>Fuel price of transportation mode l transporting product i (£ l-1)</t>
  </si>
  <si>
    <t>General expenses of transportation mode l transporting product type i (£2010 h-1)</t>
  </si>
  <si>
    <t>Local and regional fuel economy of transportation mode l transporting product type i within a region (km l-1)</t>
  </si>
  <si>
    <t>Load and unload time of transportation mode l transporting product type i (h)</t>
  </si>
  <si>
    <t>Maintenance expenses of transportation mode l transporting product type i (£2010 km-1)</t>
  </si>
  <si>
    <t>Local and regional average speed of transportation mode l transporting product type i within a region (km h-1)</t>
  </si>
  <si>
    <t>Capacity of transportation mode l transporting product type i (MWh H2 mode-1)</t>
  </si>
  <si>
    <t>Local and regional availability of transportation mode l transporting product i within a region (h d-1)</t>
  </si>
  <si>
    <t>Capital cost of establishing transportation mode l transporting product type i (£2010 mode-1)</t>
  </si>
  <si>
    <t>Lifecycle of a transportation mode l (y)</t>
  </si>
  <si>
    <t>dw</t>
  </si>
  <si>
    <t>fp</t>
  </si>
  <si>
    <t>ge</t>
  </si>
  <si>
    <t>fe</t>
  </si>
  <si>
    <t>lut</t>
  </si>
  <si>
    <t>me</t>
  </si>
  <si>
    <t>sp</t>
  </si>
  <si>
    <t>tcap</t>
  </si>
  <si>
    <t>tma</t>
  </si>
  <si>
    <t>tmc</t>
  </si>
  <si>
    <t>Transportation!B4</t>
  </si>
  <si>
    <t>Transportation!B10</t>
  </si>
  <si>
    <t>Transportation!B16</t>
  </si>
  <si>
    <t>Transportation!B22</t>
  </si>
  <si>
    <t>Transportation!B28</t>
  </si>
  <si>
    <t>Transportation!B34</t>
  </si>
  <si>
    <t>Transportation!B40</t>
  </si>
  <si>
    <t>Transportation!B46</t>
  </si>
  <si>
    <t>Transportation!B58</t>
  </si>
  <si>
    <t>Transportation!B64</t>
  </si>
  <si>
    <t>Ltroad</t>
  </si>
  <si>
    <t>UT(j)</t>
  </si>
  <si>
    <t>DT(j)</t>
  </si>
  <si>
    <t xml:space="preserve">UT                  </t>
  </si>
  <si>
    <t>DT</t>
  </si>
  <si>
    <t>Duration of time steps (y)</t>
  </si>
  <si>
    <t>dur</t>
  </si>
  <si>
    <t>General!A8</t>
  </si>
  <si>
    <r>
      <t xml:space="preserve">Entsog, &amp; Entso-e. (2022). </t>
    </r>
    <r>
      <rPr>
        <i/>
        <sz val="11"/>
        <color theme="1"/>
        <rFont val="Calibri"/>
        <family val="2"/>
        <charset val="161"/>
        <scheme val="minor"/>
      </rPr>
      <t>TYNDP 2022 Scenario Report | Version. April 2022</t>
    </r>
    <r>
      <rPr>
        <sz val="11"/>
        <color theme="1"/>
        <rFont val="Calibri"/>
        <family val="2"/>
        <scheme val="minor"/>
      </rPr>
      <t>.</t>
    </r>
  </si>
  <si>
    <t>Uranium</t>
  </si>
  <si>
    <t>Sets!C5:I5</t>
  </si>
  <si>
    <r>
      <t xml:space="preserve">National Grid ESO. (2022). </t>
    </r>
    <r>
      <rPr>
        <i/>
        <sz val="11"/>
        <color theme="1"/>
        <rFont val="Calibri"/>
        <family val="2"/>
        <scheme val="minor"/>
      </rPr>
      <t xml:space="preserve">Future Energy Scenarios </t>
    </r>
    <r>
      <rPr>
        <sz val="11"/>
        <color theme="1"/>
        <rFont val="Calibri"/>
        <family val="2"/>
        <scheme val="minor"/>
      </rPr>
      <t>. www.nationalgrideso.com/future-energy/future-energy-scenarios</t>
    </r>
  </si>
  <si>
    <t>EUR/MWh</t>
  </si>
  <si>
    <t>Calculation Gas</t>
  </si>
  <si>
    <t>Calculation Coal</t>
  </si>
  <si>
    <t>GBP to EUR</t>
  </si>
  <si>
    <t>GBP/MWh</t>
  </si>
  <si>
    <t>Fuels!A3:G8</t>
  </si>
  <si>
    <t xml:space="preserve">fuelc </t>
  </si>
  <si>
    <t>VikingLink</t>
  </si>
  <si>
    <t>ICap</t>
  </si>
  <si>
    <t>Trans_Inter!A6:H18</t>
  </si>
  <si>
    <t>Maximum percentage of international imports (%)</t>
  </si>
  <si>
    <t>iota</t>
  </si>
  <si>
    <t>General!A13</t>
  </si>
  <si>
    <t>Interest rate</t>
  </si>
  <si>
    <t>ir</t>
  </si>
  <si>
    <t>g'</t>
  </si>
  <si>
    <t xml:space="preserve">ldd(g,g')  </t>
  </si>
  <si>
    <t>Trans_Inter!O4:Q172</t>
  </si>
  <si>
    <t>ldd</t>
  </si>
  <si>
    <t>*Assumption</t>
  </si>
  <si>
    <t>LT</t>
  </si>
  <si>
    <t xml:space="preserve">nel </t>
  </si>
  <si>
    <t>nel</t>
  </si>
  <si>
    <t>General!A23</t>
  </si>
  <si>
    <t>Import price (£/MWh)</t>
  </si>
  <si>
    <t>GH2</t>
  </si>
  <si>
    <r>
      <t xml:space="preserve">Palys, M. J., Kuznetsov, A., Tallaksen, J., Reese, M., &amp; Daoutidis, P. (2019). A novel system for ammonia-based sustainable energy and agriculture: Concept and design optimization. </t>
    </r>
    <r>
      <rPr>
        <i/>
        <sz val="11"/>
        <color theme="1"/>
        <rFont val="Calibri"/>
        <family val="2"/>
        <scheme val="minor"/>
      </rPr>
      <t>Chemical Engineering and Processing - Process Intensification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140</t>
    </r>
    <r>
      <rPr>
        <sz val="11"/>
        <color theme="1"/>
        <rFont val="Calibri"/>
        <family val="2"/>
        <scheme val="minor"/>
      </rPr>
      <t>, 11–21. https://doi.org/10.1016/J.CEP.2019.04.005</t>
    </r>
  </si>
  <si>
    <t xml:space="preserve">oc_var(j)     </t>
  </si>
  <si>
    <t>oc_fix</t>
  </si>
  <si>
    <t>oc_var</t>
  </si>
  <si>
    <t>Statista https://www.statista.com/statistics/1260117/projected-selling-prices-of-large-scale-hydrogen-green-projects/</t>
  </si>
  <si>
    <t xml:space="preserve">iph      </t>
  </si>
  <si>
    <t xml:space="preserve">iph         </t>
  </si>
  <si>
    <t>Hydrogen import price (£/MWh)</t>
  </si>
  <si>
    <t>General!A28</t>
  </si>
  <si>
    <t xml:space="preserve">Electricity import price from </t>
  </si>
  <si>
    <t>ipe</t>
  </si>
  <si>
    <t xml:space="preserve">rcap(r) </t>
  </si>
  <si>
    <t>ri0(r)</t>
  </si>
  <si>
    <t>CO2Reservoirs!A3:B6</t>
  </si>
  <si>
    <t>rcap</t>
  </si>
  <si>
    <t>CO2Reservoirs!A11:B14</t>
  </si>
  <si>
    <t>Pmax</t>
  </si>
  <si>
    <t>Pmin</t>
  </si>
  <si>
    <t>eta(j)</t>
  </si>
  <si>
    <t>CRCSS(j)</t>
  </si>
  <si>
    <t>RD(j)</t>
  </si>
  <si>
    <t>RU(j)</t>
  </si>
  <si>
    <t>SD(j)</t>
  </si>
  <si>
    <t>SU(j)</t>
  </si>
  <si>
    <t>RD</t>
  </si>
  <si>
    <t>RU</t>
  </si>
  <si>
    <t>SD</t>
  </si>
  <si>
    <t>SU</t>
  </si>
  <si>
    <t>Stmax</t>
  </si>
  <si>
    <t>Stmin</t>
  </si>
  <si>
    <t>Trans_Inter!A23</t>
  </si>
  <si>
    <t>triup</t>
  </si>
  <si>
    <t>(tCO2e/MWh)</t>
  </si>
  <si>
    <t>Oil</t>
  </si>
  <si>
    <t>CoalF</t>
  </si>
  <si>
    <t>y_c</t>
  </si>
  <si>
    <t>y_e</t>
  </si>
  <si>
    <t>Northconnet</t>
  </si>
  <si>
    <t>TEMPERATURE</t>
  </si>
  <si>
    <t>GAS DEMAND</t>
  </si>
  <si>
    <t>INTERCONNECTIONS</t>
  </si>
  <si>
    <t>ElecDem</t>
  </si>
  <si>
    <t>ClusteredData!I3:K146</t>
  </si>
  <si>
    <t>ClusteredData!A2:H146</t>
  </si>
  <si>
    <t>WEIGHT OF CLUSTERS</t>
  </si>
  <si>
    <t>WF</t>
  </si>
  <si>
    <t>Buildings</t>
  </si>
  <si>
    <t>Electricity supply</t>
  </si>
  <si>
    <t>MtCO2e/year</t>
  </si>
  <si>
    <t>BECCS power</t>
  </si>
  <si>
    <t>BECCS hydrogen</t>
  </si>
  <si>
    <t>EMISSION TARGET</t>
  </si>
  <si>
    <t xml:space="preserve">HEAT </t>
  </si>
  <si>
    <t>ELECTRICITY</t>
  </si>
  <si>
    <t>Regions!M4:N6</t>
  </si>
  <si>
    <t>DistRes</t>
  </si>
  <si>
    <t>DistSt</t>
  </si>
  <si>
    <t>ClusteredData!AA1:BO146</t>
  </si>
  <si>
    <t>ClusteredData!L2:Z146</t>
  </si>
  <si>
    <t>Distances!B32:D35</t>
  </si>
  <si>
    <t>GimpE(f,i,g)</t>
  </si>
  <si>
    <t>GimpH(f,g)</t>
  </si>
  <si>
    <t xml:space="preserve">regions g that electricity can be imported from interconnectors I </t>
  </si>
  <si>
    <t>regions g that hydrogen can be imported</t>
  </si>
  <si>
    <t>GimpE</t>
  </si>
  <si>
    <t>GimpH</t>
  </si>
  <si>
    <t>Regions!U4:W15</t>
  </si>
  <si>
    <t>Regions!U20:V27</t>
  </si>
  <si>
    <t>General!A18</t>
  </si>
  <si>
    <t>Pipelines!A32:C38</t>
  </si>
  <si>
    <t>Efficiency of technology j (%)</t>
  </si>
  <si>
    <t>eta</t>
  </si>
  <si>
    <t>efficiencty of technology type j (%)</t>
  </si>
  <si>
    <t>Energy https://www.energy.gov/eere/fuelcells/fuel-cells#:~:text=Fuel%20cells%20can%20operate%20at,efficiencies%20capable%20of%20exceeding%2060%25.</t>
  </si>
  <si>
    <t>Sunny, N., mac Dowell, N., &amp; Shah, N. (2020). What is needed to deliver carbon-neutral heat using hydrogen and CCS? Energy and Environmental Science 13(11), 4204–4224. https://doi.org/10.1039/d0ee02016h</t>
  </si>
  <si>
    <t>Sdur</t>
  </si>
  <si>
    <t>Sdur(j)</t>
  </si>
  <si>
    <t>ayC0</t>
  </si>
  <si>
    <t>aeC0</t>
  </si>
  <si>
    <t>Pipelines!D50</t>
  </si>
  <si>
    <t xml:space="preserve"> check heating demand xls</t>
  </si>
  <si>
    <t>2025</t>
  </si>
  <si>
    <t>2030</t>
  </si>
  <si>
    <t>2035</t>
  </si>
  <si>
    <t>2040</t>
  </si>
  <si>
    <t>2045</t>
  </si>
  <si>
    <t>2050</t>
  </si>
  <si>
    <t>TWh</t>
  </si>
  <si>
    <t>HEAT</t>
  </si>
  <si>
    <t>elec_year</t>
  </si>
  <si>
    <t xml:space="preserve">percentage of future electricity demand comparing to a past year </t>
  </si>
  <si>
    <t xml:space="preserve">Population percentage </t>
  </si>
  <si>
    <t>pp</t>
  </si>
  <si>
    <t>General!A32:M33</t>
  </si>
  <si>
    <t xml:space="preserve">population percentage of each region g </t>
  </si>
  <si>
    <t>BR</t>
  </si>
  <si>
    <t>Land Availability (MW)</t>
  </si>
  <si>
    <t>landAV</t>
  </si>
  <si>
    <t>land availability (MW)</t>
  </si>
  <si>
    <t>landAV(jre,g)</t>
  </si>
  <si>
    <t>LandAvailability!A2:N5</t>
  </si>
  <si>
    <t>Ofgem https://www.ofgem.gov.uk/energy-policy-and-regulation/policy-and-regulatory-programmes/interconnectors</t>
  </si>
  <si>
    <t>emissions target in time period t (tCO2)</t>
  </si>
  <si>
    <t xml:space="preserve">y_c(jccs)              </t>
  </si>
  <si>
    <t>bio</t>
  </si>
  <si>
    <t xml:space="preserve">y_e(j)              </t>
  </si>
  <si>
    <t>et</t>
  </si>
  <si>
    <t>Pipelines!A21:C27</t>
  </si>
  <si>
    <t>drf(j)</t>
  </si>
  <si>
    <t>De-rating factor</t>
  </si>
  <si>
    <t>NG ESO https://www.emrdeliverybody.com/Capacity%20Markets%20Document%20Library/Electricity%20Capacity%20Report%202022.pdf</t>
  </si>
  <si>
    <t>drf</t>
  </si>
  <si>
    <t>derating factor for each technology j (%)</t>
  </si>
  <si>
    <t>Initial Capacity (units)</t>
  </si>
  <si>
    <t>NUinit(j,g)</t>
  </si>
  <si>
    <t>CapInit</t>
  </si>
  <si>
    <t>CapInit(jre,g)</t>
  </si>
  <si>
    <t>NUInit</t>
  </si>
  <si>
    <t>initial capacity of renewable electricity plants (units)</t>
  </si>
  <si>
    <t>em(j)</t>
  </si>
  <si>
    <t>GHG conversion factors https://www.gov.uk/government/publications/greenhouse-gas-reporting-conversion-factors-2022</t>
  </si>
  <si>
    <t>GHG conversion factors</t>
  </si>
  <si>
    <t>et(t)</t>
  </si>
  <si>
    <t>BiomassCO2</t>
  </si>
  <si>
    <t>Biomass other GHG</t>
  </si>
  <si>
    <t>BiomassT</t>
  </si>
  <si>
    <t>BEIS 2021, Hydrogen Production Costs 2021 Annex</t>
  </si>
  <si>
    <t>CCGT</t>
  </si>
  <si>
    <t>Hydro</t>
  </si>
  <si>
    <t>Sets!C22:F22</t>
  </si>
  <si>
    <t>IRENA 2012, RENEWABLE ENERGY TECHNOLOGIES: COST ANALYSIS SERIES, Hydropower</t>
  </si>
  <si>
    <t>eta(j,t)</t>
  </si>
  <si>
    <t>BR(j,t)</t>
  </si>
  <si>
    <t>Emissions!A9:B21</t>
  </si>
  <si>
    <t>Emissions!A26:G38</t>
  </si>
  <si>
    <t>Emissions!A42:F43</t>
  </si>
  <si>
    <t>Wang, H., Daoutidis, P., &amp; Zhang, Q. (2021). Harnessing the Wind Power of the Ocean with Green Offshore Ammonia. ACS Sustainable Chemistry and Engineering, 9(43), 14605–14617. https://doi.org/10.1021/ACSSUSCHEMENG.1C06030/ASSET/IMAGES/LARGE/SC1C06030_0014.JPEG</t>
  </si>
  <si>
    <t>kmeans 2017 new</t>
  </si>
  <si>
    <t xml:space="preserve">EM </t>
  </si>
  <si>
    <t>temp</t>
  </si>
  <si>
    <t>ClusteredData!BP2:CD146</t>
  </si>
  <si>
    <t>temperature in cluster c, hour h and region g©</t>
  </si>
  <si>
    <t>GasBoiler</t>
  </si>
  <si>
    <t>HyBoiler</t>
  </si>
  <si>
    <t>ASHP</t>
  </si>
  <si>
    <t>Sets!C9:AE9</t>
  </si>
  <si>
    <t>cc_heat (jhe,t)</t>
  </si>
  <si>
    <t>Hybrid</t>
  </si>
  <si>
    <t>eta_heat (jhe,t)</t>
  </si>
  <si>
    <t xml:space="preserve">Efficiency of technology type j (%) </t>
  </si>
  <si>
    <t>LT_heat (jhe)</t>
  </si>
  <si>
    <t>Aunedi M., Yliruka M., Dehghan S., Pantaleo A.M., Shah N., Strbac G. ,Multi-model assessment of heat decarbonisation options in the UK using electricity and hydrogen,Renewable Energy, 194,2022,p 1261-1276,ISSN 0960-1481, https://doi.org/10.1016/j.renene.2022.05.145.</t>
  </si>
  <si>
    <t>https://heatable.co.uk/boiler-advice/hydrogen-boilers</t>
  </si>
  <si>
    <t>https://invictus-mech.co.uk/heat-pump-engineers/what-is-the-life-expectancy-of-a-heat-pump/#:~:text=The%20good%20news%20is%20that,the%20longer%20it%20will%20last.</t>
  </si>
  <si>
    <t>cc_heat</t>
  </si>
  <si>
    <t>eta_heat</t>
  </si>
  <si>
    <t>LT_heat</t>
  </si>
  <si>
    <t xml:space="preserve">Lifetime of heat technology jhe (y) </t>
  </si>
  <si>
    <t>InitCap!A11:N18</t>
  </si>
  <si>
    <t>goc</t>
  </si>
  <si>
    <t>*including transmission, enviromental and social costs (Diret costs/volume</t>
  </si>
  <si>
    <t>Gas operating cost (£/MWh gas)</t>
  </si>
  <si>
    <t>gas operating cost (£/MWh)</t>
  </si>
  <si>
    <t>General!A38</t>
  </si>
  <si>
    <t>(tnCO2/h)</t>
  </si>
  <si>
    <t>Capital cost of pipeline (£/km)</t>
  </si>
  <si>
    <t>coefficient of CO2 capture for technology type j in time period t(tn CO2 / MWh)</t>
  </si>
  <si>
    <t>coefficient of CO2 emission for technology type j in time period t(tn CO2 / MWh)</t>
  </si>
  <si>
    <t>total emission targer for power sector (tn)</t>
  </si>
  <si>
    <t>Carbon price (£/tnCO2)</t>
  </si>
  <si>
    <t>carbon tax in time period t (£ tn-1 CO2)</t>
  </si>
  <si>
    <t>maximum flowrate in a hydrogen pipeline of diameter size d (tn H2 d-1)</t>
  </si>
  <si>
    <t>total capacity of reservoir r (tn CO2-eq)</t>
  </si>
  <si>
    <t>initial CO2 inventory in reservoir r (tn CO2)</t>
  </si>
  <si>
    <t>coefficient of CO2 capture for plant type p in time period t(tn CO2 / MWh)</t>
  </si>
  <si>
    <t>coefficient of CO2 emission for plant type p and size j in time period t(tn CO2 / MWh)</t>
  </si>
  <si>
    <t xml:space="preserve">Total capacity of reservoir r (tn CO2)  </t>
  </si>
  <si>
    <t>Initial CO2 inventory in reservoir r (tn CO2)</t>
  </si>
  <si>
    <r>
      <t xml:space="preserve">National Grid ESO. (2023). </t>
    </r>
    <r>
      <rPr>
        <i/>
        <sz val="11"/>
        <color theme="1"/>
        <rFont val="Calibri"/>
        <family val="2"/>
        <scheme val="minor"/>
      </rPr>
      <t xml:space="preserve">Future Energy Scenarios </t>
    </r>
    <r>
      <rPr>
        <sz val="11"/>
        <color theme="1"/>
        <rFont val="Calibri"/>
        <family val="2"/>
        <scheme val="minor"/>
      </rPr>
      <t>. www.nationalgrideso.com/future-energy/future-energy-scenarios</t>
    </r>
  </si>
  <si>
    <t xml:space="preserve">regional biomass availability </t>
  </si>
  <si>
    <t xml:space="preserve">Vbio_max(t) </t>
  </si>
  <si>
    <t xml:space="preserve">maximum biomass availability in time period t </t>
  </si>
  <si>
    <t xml:space="preserve">CCC, 2018 Biomass in a low-carbon economy </t>
  </si>
  <si>
    <t>Calderon et al. (2016), An optimisation framework for the strategic design of synthetic natural
gas (BioSNG) supply chains</t>
  </si>
  <si>
    <t>breg</t>
  </si>
  <si>
    <t>Biomass!B4:C16</t>
  </si>
  <si>
    <t>breg(g)</t>
  </si>
  <si>
    <t>Vbio_max</t>
  </si>
  <si>
    <t>Biomass!B21:G22</t>
  </si>
  <si>
    <t>biomass availability in time period t (TWh)</t>
  </si>
  <si>
    <t>biomass percentage in each region g (%)</t>
  </si>
  <si>
    <t>unit commitment technologies</t>
  </si>
  <si>
    <t>DEMAND (values)</t>
  </si>
  <si>
    <t xml:space="preserve">DEMAND (change rate) </t>
  </si>
  <si>
    <t>Calculations!C40:H41</t>
  </si>
  <si>
    <t>*coal phased out IN 2024 according to ESO</t>
  </si>
  <si>
    <t>Sets!C13:E13</t>
  </si>
  <si>
    <t>https://www.gov.uk/government/news/end-to-coal-power-brought-forward-to-october-2024</t>
  </si>
  <si>
    <t>H2CCGT</t>
  </si>
  <si>
    <t>Sets!C15:R15</t>
  </si>
  <si>
    <t>Sets!C16:P16</t>
  </si>
  <si>
    <t>Sets!C23:L23</t>
  </si>
  <si>
    <t>TechData!A3:B22</t>
  </si>
  <si>
    <t>CostTech!A2:G28</t>
  </si>
  <si>
    <t>CostTech!E33:F45</t>
  </si>
  <si>
    <t>CostTech!A33:B45</t>
  </si>
  <si>
    <t>TechData!F27:G36</t>
  </si>
  <si>
    <t>TechData!A41:B66</t>
  </si>
  <si>
    <t>TechData!A109:H135</t>
  </si>
  <si>
    <t>TechData!A145:B160</t>
  </si>
  <si>
    <t>CostTech!L2:R28</t>
  </si>
  <si>
    <t>CostTech!W3:X28</t>
  </si>
  <si>
    <t>TechData!F71:G84</t>
  </si>
  <si>
    <t>TechData!A71:B84</t>
  </si>
  <si>
    <t>TechData!K71:L76</t>
  </si>
  <si>
    <t>TechData!P71:Q76</t>
  </si>
  <si>
    <t>TechData!A91:B104</t>
  </si>
  <si>
    <t>TechData!F91:G104</t>
  </si>
  <si>
    <t>TechData!K91:L100</t>
  </si>
  <si>
    <t>TechData!P91:Q100</t>
  </si>
  <si>
    <t>TechData!A139:B140</t>
  </si>
  <si>
    <t>TechData!A27:B36</t>
  </si>
  <si>
    <t>Same as CCGT</t>
  </si>
  <si>
    <t>average load factor of technology j (%)</t>
  </si>
  <si>
    <t>building rate for technology j and time period t (MW)</t>
  </si>
  <si>
    <t>regional delivery distance of hydrogen transportation in region g (km)</t>
  </si>
  <si>
    <t>capacity of road transportation  (MWh unit-1)</t>
  </si>
  <si>
    <t xml:space="preserve">high </t>
  </si>
  <si>
    <t>low</t>
  </si>
  <si>
    <t>winter</t>
  </si>
  <si>
    <t>spring</t>
  </si>
  <si>
    <t>summer</t>
  </si>
  <si>
    <t>autumn</t>
  </si>
  <si>
    <t>ClusteredDataSTOR!L2:Z146</t>
  </si>
  <si>
    <t>ClusteredDataSTOR!A2:H146</t>
  </si>
  <si>
    <t>ClusteredDataSTOR!CF4:CG9</t>
  </si>
  <si>
    <t>ClusteredDataSTOR!I3:K146</t>
  </si>
  <si>
    <t xml:space="preserve">RESIDENTIAL GAS DEMAND </t>
  </si>
  <si>
    <t xml:space="preserve">COMMERCIAL GAS DEMAND </t>
  </si>
  <si>
    <t xml:space="preserve">INDUSTRIAL GAS DEMAND </t>
  </si>
  <si>
    <t>ClusteredDataSTOR!DJ4:DK9</t>
  </si>
  <si>
    <t>Dom</t>
  </si>
  <si>
    <t>Domestic Gas demand (MW)</t>
  </si>
  <si>
    <t>ClusteredDataSTOR!BE1:CS146</t>
  </si>
  <si>
    <t>ClusteredDataSTOR!CT2:DH146</t>
  </si>
  <si>
    <t>Com</t>
  </si>
  <si>
    <t>Commercial Gas demand (MW)</t>
  </si>
  <si>
    <t>ClusteredDataSTOR!AA2:AO146</t>
  </si>
  <si>
    <t>Ind</t>
  </si>
  <si>
    <t>ClusteredDataSTOR!AP2:BD146</t>
  </si>
  <si>
    <t>Industrial Gas demand (MW)</t>
  </si>
  <si>
    <t>domestic</t>
  </si>
  <si>
    <t>commercial</t>
  </si>
  <si>
    <t>industrial</t>
  </si>
  <si>
    <t>dom_year</t>
  </si>
  <si>
    <t xml:space="preserve">percentage of future domestic heat demand comparing to a past year </t>
  </si>
  <si>
    <t>com_year</t>
  </si>
  <si>
    <t xml:space="preserve">percentage of future commercial heat demand comparing to a past year </t>
  </si>
  <si>
    <t>ind_year</t>
  </si>
  <si>
    <t xml:space="preserve">percentage of future industrial heat demand comparing to a past year </t>
  </si>
  <si>
    <t>Calculations!J52:O53</t>
  </si>
  <si>
    <t>Calculations!C52:H53</t>
  </si>
  <si>
    <t>Calculations!Q52:V53</t>
  </si>
  <si>
    <t>lfmin(j)</t>
  </si>
  <si>
    <t>Min load factor</t>
  </si>
  <si>
    <t>Max load factor</t>
  </si>
  <si>
    <t>lfmax(j)</t>
  </si>
  <si>
    <t>BEIS +-10%</t>
  </si>
  <si>
    <t>lfmin</t>
  </si>
  <si>
    <t>lfmax</t>
  </si>
  <si>
    <t>Self discharge</t>
  </si>
  <si>
    <t>TechData!E200:F225</t>
  </si>
  <si>
    <t>TechData!A200:B225</t>
  </si>
  <si>
    <t>eta_self</t>
  </si>
  <si>
    <t>eta_sef(j)</t>
  </si>
  <si>
    <t>TechData!A230:B237</t>
  </si>
  <si>
    <t>self discharge of technology type j (%)</t>
  </si>
  <si>
    <t xml:space="preserve">oc_var_ch(j)     </t>
  </si>
  <si>
    <t>oc_var_ch</t>
  </si>
  <si>
    <t>CostTech!AE3:AF10</t>
  </si>
  <si>
    <t>variable operating cost for charging of technology j in time period t (£/MWh)</t>
  </si>
  <si>
    <t xml:space="preserve">drfI(i)              </t>
  </si>
  <si>
    <t>drfI</t>
  </si>
  <si>
    <t>de-rating factor for each interconnector I (%)</t>
  </si>
  <si>
    <t>Trans_Inter!A27:B38</t>
  </si>
  <si>
    <t>DESN 2024 https://www.gov.uk/government/publications/capacity-market-auction-parameters-letter-from-desnz-to-eso-july-2024/full-details-of-auction-parameters-and-interconnector-de-rating-factors</t>
  </si>
  <si>
    <t>https://homerenergy.com/products/pro/docs/3.15/battery_roundtrip_efficiency.html</t>
  </si>
  <si>
    <t>CM</t>
  </si>
  <si>
    <t>Capacity margin (%)</t>
  </si>
  <si>
    <t>Value of Lost Load (£/MWh)</t>
  </si>
  <si>
    <t>cVoLL</t>
  </si>
  <si>
    <t>Semcommittee, 2023 https://www.semcommittee.com/files/semcommittee/media-files/Calculation%20of%20a%20single%20Value%20of%20Lost%20Load%20within%20the%20SEM%20Information%20Paper%20SEM-23-072.pdf</t>
  </si>
  <si>
    <t>https://publications.parliament.uk/pa/ld201415/ldselect/ldsctech/121/12106.htm</t>
  </si>
  <si>
    <t>National Grid, 2024, 2024/2025 Half Year Statement https://www.nationalgrid.com/document/153151/download</t>
  </si>
  <si>
    <t>General!A44</t>
  </si>
  <si>
    <t>General!A49</t>
  </si>
  <si>
    <t>capacity margin (%)</t>
  </si>
  <si>
    <t>EtP</t>
  </si>
  <si>
    <t>Energy to power (h)</t>
  </si>
  <si>
    <t>EtP(j)</t>
  </si>
  <si>
    <t>TechData!A242:B249</t>
  </si>
  <si>
    <t>Energy to power for storage (h)</t>
  </si>
  <si>
    <t>prev</t>
  </si>
  <si>
    <r>
      <t xml:space="preserve">National Energy System Operator. (2024). </t>
    </r>
    <r>
      <rPr>
        <i/>
        <sz val="11"/>
        <color theme="1"/>
        <rFont val="Calibri"/>
        <family val="2"/>
        <scheme val="minor"/>
      </rPr>
      <t>Winter Outlook Report</t>
    </r>
    <r>
      <rPr>
        <sz val="11"/>
        <color theme="1"/>
        <rFont val="Calibri"/>
        <family val="2"/>
        <scheme val="minor"/>
      </rPr>
      <t>. https://www.neso.energy/document/330221/download</t>
    </r>
  </si>
  <si>
    <t>NESO</t>
  </si>
  <si>
    <t>Building rate of technology j (MW) for 10y</t>
  </si>
  <si>
    <t>*Assumptions</t>
  </si>
  <si>
    <t>load factor technologies</t>
  </si>
  <si>
    <t>jlf</t>
  </si>
  <si>
    <t>Sets!C24:H24</t>
  </si>
  <si>
    <t>Future Capacity (units)</t>
  </si>
  <si>
    <t>Initial Capacity (MW)</t>
  </si>
  <si>
    <t>Future Capacity (MW)</t>
  </si>
  <si>
    <t xml:space="preserve">Nuclear </t>
  </si>
  <si>
    <t>NUf(j,g)</t>
  </si>
  <si>
    <t>Capf(jre,g)</t>
  </si>
  <si>
    <t>InitCap!A2:N8</t>
  </si>
  <si>
    <t>initial capacity of thermal electricity plants (units)</t>
  </si>
  <si>
    <t>InitCap!A22:O24</t>
  </si>
  <si>
    <t>Nuf</t>
  </si>
  <si>
    <t>future capacity of thermal electricity plants (units)</t>
  </si>
  <si>
    <t>Capf</t>
  </si>
  <si>
    <t>InitCap!A28:O30</t>
  </si>
  <si>
    <t>future capacity of renewable electricity plants (units)</t>
  </si>
  <si>
    <t>HyASHP</t>
  </si>
  <si>
    <t>HyGasBoiler</t>
  </si>
  <si>
    <t>TechData!A165:H196</t>
  </si>
  <si>
    <t>HeatTech!A11:G16</t>
  </si>
  <si>
    <t>HeatTech!A2:G7</t>
  </si>
  <si>
    <t>HeatTech!A21:B25</t>
  </si>
  <si>
    <t xml:space="preserve">lossesI(i)              </t>
  </si>
  <si>
    <t>lossesI</t>
  </si>
  <si>
    <t>Trans_Inter!A42:B53</t>
  </si>
  <si>
    <t>Losses in interconnection I (%)</t>
  </si>
  <si>
    <t>pim_y(k,t)</t>
  </si>
  <si>
    <t>pim_y</t>
  </si>
  <si>
    <t>Trans_Inter!A57:G63</t>
  </si>
  <si>
    <t xml:space="preserve">adjustion for interconncetion prices </t>
  </si>
  <si>
    <t>cost of fuel f in time period t (£/MWh)</t>
  </si>
  <si>
    <t>TRCin</t>
  </si>
  <si>
    <t>DC_load</t>
  </si>
  <si>
    <r>
      <rPr>
        <b/>
        <sz val="11"/>
        <color theme="1"/>
        <rFont val="Calibri"/>
        <family val="2"/>
        <scheme val="minor"/>
      </rPr>
      <t>Distance LDZ (km)</t>
    </r>
    <r>
      <rPr>
        <sz val="11"/>
        <color theme="1"/>
        <rFont val="Calibri"/>
        <family val="2"/>
        <scheme val="minor"/>
      </rPr>
      <t xml:space="preserve"> </t>
    </r>
  </si>
  <si>
    <t>Ref</t>
  </si>
  <si>
    <t>[1]</t>
  </si>
  <si>
    <t>National Grid. Electricity Ten Year Statement National Grid ESO. 2020</t>
  </si>
  <si>
    <t>[2]</t>
  </si>
  <si>
    <r>
      <t>Charitopoulos, V. M., Fajardy, M., Chyong, C. K., &amp; Reiner, D. M. (2023). The impact of 100% electrification of domestic heat in Great Britain. </t>
    </r>
    <r>
      <rPr>
        <i/>
        <sz val="8"/>
        <color rgb="FF222222"/>
        <rFont val="Arial"/>
        <family val="2"/>
      </rPr>
      <t>Iscience</t>
    </r>
    <r>
      <rPr>
        <sz val="8"/>
        <color rgb="FF222222"/>
        <rFont val="Arial"/>
        <family val="2"/>
      </rPr>
      <t>, </t>
    </r>
    <r>
      <rPr>
        <i/>
        <sz val="8"/>
        <color rgb="FF222222"/>
        <rFont val="Arial"/>
        <family val="2"/>
      </rPr>
      <t>26</t>
    </r>
    <r>
      <rPr>
        <sz val="8"/>
        <color rgb="FF222222"/>
        <rFont val="Arial"/>
        <family val="2"/>
      </rPr>
      <t>(11).</t>
    </r>
  </si>
  <si>
    <t>[3]</t>
  </si>
  <si>
    <t>ArcGIS, (x,y) coordination where x is longitude (east/west) and Y represents latitude</t>
  </si>
  <si>
    <t>[4]</t>
  </si>
  <si>
    <t>[5]</t>
  </si>
  <si>
    <t>[6]</t>
  </si>
  <si>
    <t>[7]</t>
  </si>
  <si>
    <t>[8]</t>
  </si>
  <si>
    <t>https://atb.nrel.gov/electricity/2024/hydropower</t>
  </si>
  <si>
    <t>[9]</t>
  </si>
  <si>
    <t>National Grid. Gas demand forecasting methodology National Grid Gas. 2016</t>
  </si>
  <si>
    <t>[10]</t>
  </si>
  <si>
    <t>[11]</t>
  </si>
  <si>
    <t>NREL, 2024 Annual Technology Baseline (ATB)</t>
  </si>
  <si>
    <t>[12]</t>
  </si>
  <si>
    <t>[13]</t>
  </si>
  <si>
    <r>
      <t xml:space="preserve">Climate Change Committee. (2020). </t>
    </r>
    <r>
      <rPr>
        <i/>
        <sz val="9"/>
        <color theme="1"/>
        <rFont val="Calibri"/>
        <family val="2"/>
        <scheme val="minor"/>
      </rPr>
      <t>The Sixth Carbon Budget Electricity generation</t>
    </r>
    <r>
      <rPr>
        <sz val="9"/>
        <color theme="1"/>
        <rFont val="Calibri"/>
        <family val="2"/>
        <scheme val="minor"/>
      </rPr>
      <t>. www.theccc.org.uk</t>
    </r>
  </si>
  <si>
    <t>[14]</t>
  </si>
  <si>
    <t>Danish Energy Agency, inputs/technology_data_for_el_and_dh.xlsx</t>
  </si>
  <si>
    <t>[15]</t>
  </si>
  <si>
    <r>
      <t xml:space="preserve">Bounitsis, G. L., &amp; Charitopoulos, V. M. (2024). The value of ammonia towards integrated power and heat system decarbonisation. </t>
    </r>
    <r>
      <rPr>
        <i/>
        <sz val="8"/>
        <color theme="1"/>
        <rFont val="Calibri"/>
        <family val="2"/>
        <scheme val="minor"/>
      </rPr>
      <t>Sustainable Energy &amp; Fuels</t>
    </r>
    <r>
      <rPr>
        <sz val="8"/>
        <color theme="1"/>
        <rFont val="Calibri"/>
        <family val="2"/>
        <scheme val="minor"/>
      </rPr>
      <t xml:space="preserve">, </t>
    </r>
    <r>
      <rPr>
        <i/>
        <sz val="8"/>
        <color theme="1"/>
        <rFont val="Calibri"/>
        <family val="2"/>
        <scheme val="minor"/>
      </rPr>
      <t>8</t>
    </r>
    <r>
      <rPr>
        <sz val="8"/>
        <color theme="1"/>
        <rFont val="Calibri"/>
        <family val="2"/>
        <scheme val="minor"/>
      </rPr>
      <t>(13), 2914–2940. https://doi.org/10.1039/D4SE00449C</t>
    </r>
  </si>
  <si>
    <t>[16]</t>
  </si>
  <si>
    <t>[17]</t>
  </si>
  <si>
    <t>[18]</t>
  </si>
  <si>
    <t>[20]</t>
  </si>
  <si>
    <t>S. Ong, C. Campbell, P. Denholm, R. Margolis, and G. Heath (2013). Land-Use Requirements for Solar Power Plants in the United States, NREL. Available at www.nrel.gov/publications.</t>
  </si>
  <si>
    <t>[21]</t>
  </si>
  <si>
    <t>[25]</t>
  </si>
  <si>
    <t>[26]</t>
  </si>
  <si>
    <t>[27]</t>
  </si>
  <si>
    <t>[28]</t>
  </si>
  <si>
    <t>[29]</t>
  </si>
  <si>
    <t>[30]</t>
  </si>
  <si>
    <t>[31]</t>
  </si>
  <si>
    <t>[32]</t>
  </si>
  <si>
    <t>IEA. The future of hydrogen. Technical report, 2019. URLhttps://www.iea.org/reports/the-future-of-hydrogen</t>
  </si>
  <si>
    <t>[33]</t>
  </si>
  <si>
    <t>[34]</t>
  </si>
  <si>
    <t>https://www.theccc.org.uk/publication/the-seventh-carbon-budget/</t>
  </si>
  <si>
    <t>[36]</t>
  </si>
  <si>
    <t>[37]</t>
  </si>
  <si>
    <t>[38]</t>
  </si>
  <si>
    <t>[39]</t>
  </si>
  <si>
    <t>[41]</t>
  </si>
  <si>
    <t>[40]</t>
  </si>
  <si>
    <t>https://www.irena.org/-/media/files/irena/agency/publication/2019/oct/irena_future_of_wind_2019.pdf</t>
  </si>
  <si>
    <t>https://homerenergy.com/products/pro/docs/3.15/battery_roundtrip_efficiency.html   (*(round-trip efficiency)^(1/2)</t>
  </si>
  <si>
    <t>[42]</t>
  </si>
  <si>
    <t>[46]</t>
  </si>
  <si>
    <r>
      <t>Efthymiadou, M. E., Charitopoulos, V. M., &amp; Papageorgiou, L. G. (2024). Optimal hydrogen infrastructure planning for heat decarbonisation. </t>
    </r>
    <r>
      <rPr>
        <i/>
        <sz val="8"/>
        <color rgb="FF222222"/>
        <rFont val="Arial"/>
        <family val="2"/>
      </rPr>
      <t>Chemical Engineering Research and Design</t>
    </r>
    <r>
      <rPr>
        <sz val="8"/>
        <color rgb="FF222222"/>
        <rFont val="Arial"/>
        <family val="2"/>
      </rPr>
      <t>, </t>
    </r>
    <r>
      <rPr>
        <i/>
        <sz val="8"/>
        <color rgb="FF222222"/>
        <rFont val="Arial"/>
        <family val="2"/>
      </rPr>
      <t>204</t>
    </r>
    <r>
      <rPr>
        <sz val="8"/>
        <color rgb="FF222222"/>
        <rFont val="Arial"/>
        <family val="2"/>
      </rPr>
      <t>, 121-136.</t>
    </r>
  </si>
  <si>
    <t>[43]</t>
  </si>
  <si>
    <t>[44]</t>
  </si>
  <si>
    <t>[45]</t>
  </si>
  <si>
    <t>MacDonald, A. E. et al. Future cost-competitive electricity systems and their impact on US CO2 emissions. Nature Climate Change 6, 526–531 (2016).</t>
  </si>
  <si>
    <t>Redpoint. Impacts of further electricity interconnection on Great Britain: A Report by Redpoint Energy Limited, a business of Baringa Partners,for the Department of Energy and Climate Change (DECC). Department of Energy and Climate Change. 2013</t>
  </si>
  <si>
    <t>[47]</t>
  </si>
  <si>
    <t>[48]</t>
  </si>
  <si>
    <t>https://www.energydashboard.co.uk/live</t>
  </si>
  <si>
    <t>[49]</t>
  </si>
  <si>
    <t>[50]</t>
  </si>
  <si>
    <t>Zeyringer, M., Price, J., Fais, B., Li, P.-H. &amp; Sharp, E. Designing low-carbon power systems for Great Britain in 2050 that are robust to the spatiotemporal and inter-annual variability of weather. Nature Energy 3, 395–403 (2018)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</si>
</sst>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#,##0.000"/>
    <numFmt numFmtId="167" formatCode="yyyy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charset val="161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rgb="FF202124"/>
      <name val="Arial"/>
      <family val="2"/>
    </font>
    <font>
      <i/>
      <sz val="11"/>
      <color theme="1"/>
      <name val="Calibri"/>
      <family val="2"/>
      <charset val="161"/>
      <scheme val="minor"/>
    </font>
    <font>
      <sz val="11"/>
      <color indexed="8"/>
      <name val="Calibri"/>
      <family val="2"/>
    </font>
    <font>
      <b/>
      <sz val="10"/>
      <color indexed="8"/>
      <name val="Calibri"/>
      <family val="2"/>
      <scheme val="minor"/>
    </font>
    <font>
      <b/>
      <sz val="11"/>
      <name val="Calibri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indexed="8"/>
      <name val="Helvetica"/>
      <family val="2"/>
    </font>
    <font>
      <sz val="11"/>
      <color rgb="FF000000"/>
      <name val="Helvetica"/>
      <family val="2"/>
    </font>
    <font>
      <sz val="11"/>
      <color theme="1"/>
      <name val="Helvetica"/>
      <family val="2"/>
    </font>
    <font>
      <sz val="11"/>
      <color rgb="FF000000"/>
      <name val="Calibri"/>
      <family val="2"/>
      <charset val="161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8"/>
      <color rgb="FF222222"/>
      <name val="Arial"/>
      <family val="2"/>
    </font>
    <font>
      <i/>
      <sz val="8"/>
      <color rgb="FF222222"/>
      <name val="Arial"/>
      <family val="2"/>
    </font>
    <font>
      <sz val="9"/>
      <color rgb="FF222222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A18C7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DAF6"/>
        <bgColor indexed="64"/>
      </patternFill>
    </fill>
    <fill>
      <patternFill patternType="solid">
        <fgColor rgb="FFCDE7B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9CE8D0"/>
        <bgColor indexed="64"/>
      </patternFill>
    </fill>
    <fill>
      <patternFill patternType="solid">
        <fgColor rgb="FFD4F4E4"/>
        <bgColor indexed="64"/>
      </patternFill>
    </fill>
    <fill>
      <patternFill patternType="solid">
        <fgColor rgb="FFC5D7F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3">
    <xf numFmtId="0" fontId="0" fillId="0" borderId="0"/>
    <xf numFmtId="0" fontId="8" fillId="0" borderId="0"/>
    <xf numFmtId="9" fontId="4" fillId="0" borderId="0" applyFont="0" applyFill="0" applyBorder="0" applyAlignment="0" applyProtection="0"/>
    <xf numFmtId="0" fontId="15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37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top"/>
    </xf>
    <xf numFmtId="0" fontId="0" fillId="3" borderId="0" xfId="0" applyFill="1"/>
    <xf numFmtId="0" fontId="3" fillId="0" borderId="0" xfId="0" applyFont="1"/>
    <xf numFmtId="0" fontId="2" fillId="2" borderId="0" xfId="0" applyFont="1" applyFill="1"/>
    <xf numFmtId="0" fontId="2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0" xfId="0" applyFill="1"/>
    <xf numFmtId="0" fontId="0" fillId="4" borderId="5" xfId="0" applyFill="1" applyBorder="1"/>
    <xf numFmtId="0" fontId="0" fillId="4" borderId="0" xfId="0" applyFill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right"/>
    </xf>
    <xf numFmtId="0" fontId="2" fillId="5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4" borderId="0" xfId="0" applyFont="1" applyFill="1"/>
    <xf numFmtId="0" fontId="9" fillId="0" borderId="0" xfId="0" applyFont="1"/>
    <xf numFmtId="0" fontId="2" fillId="6" borderId="0" xfId="0" applyFont="1" applyFill="1"/>
    <xf numFmtId="0" fontId="2" fillId="3" borderId="0" xfId="0" applyFont="1" applyFill="1"/>
    <xf numFmtId="0" fontId="11" fillId="0" borderId="0" xfId="0" applyFont="1"/>
    <xf numFmtId="0" fontId="13" fillId="0" borderId="0" xfId="0" applyFont="1"/>
    <xf numFmtId="0" fontId="2" fillId="7" borderId="0" xfId="0" applyFont="1" applyFill="1"/>
    <xf numFmtId="0" fontId="0" fillId="7" borderId="0" xfId="0" applyFill="1"/>
    <xf numFmtId="164" fontId="9" fillId="3" borderId="0" xfId="0" applyNumberFormat="1" applyFont="1" applyFill="1"/>
    <xf numFmtId="0" fontId="9" fillId="3" borderId="0" xfId="0" applyFont="1" applyFill="1"/>
    <xf numFmtId="1" fontId="0" fillId="0" borderId="0" xfId="0" applyNumberFormat="1"/>
    <xf numFmtId="0" fontId="16" fillId="0" borderId="6" xfId="3" applyFont="1" applyBorder="1" applyAlignment="1">
      <alignment horizontal="center"/>
    </xf>
    <xf numFmtId="0" fontId="16" fillId="0" borderId="6" xfId="3" applyFont="1" applyBorder="1" applyAlignment="1">
      <alignment horizontal="left"/>
    </xf>
    <xf numFmtId="164" fontId="0" fillId="0" borderId="0" xfId="0" applyNumberFormat="1"/>
    <xf numFmtId="166" fontId="0" fillId="0" borderId="0" xfId="0" applyNumberFormat="1"/>
    <xf numFmtId="3" fontId="0" fillId="3" borderId="0" xfId="0" applyNumberFormat="1" applyFill="1"/>
    <xf numFmtId="0" fontId="2" fillId="8" borderId="0" xfId="0" applyFont="1" applyFill="1"/>
    <xf numFmtId="0" fontId="0" fillId="8" borderId="0" xfId="0" applyFill="1"/>
    <xf numFmtId="0" fontId="7" fillId="3" borderId="0" xfId="0" applyFont="1" applyFill="1"/>
    <xf numFmtId="164" fontId="0" fillId="0" borderId="0" xfId="5" applyFont="1" applyFill="1"/>
    <xf numFmtId="0" fontId="11" fillId="9" borderId="0" xfId="0" applyFont="1" applyFill="1"/>
    <xf numFmtId="0" fontId="2" fillId="9" borderId="0" xfId="0" applyFont="1" applyFill="1"/>
    <xf numFmtId="0" fontId="17" fillId="10" borderId="0" xfId="0" applyFont="1" applyFill="1" applyAlignment="1">
      <alignment vertical="top"/>
    </xf>
    <xf numFmtId="0" fontId="17" fillId="10" borderId="0" xfId="0" applyFont="1" applyFill="1" applyAlignment="1">
      <alignment horizontal="center" vertical="top"/>
    </xf>
    <xf numFmtId="0" fontId="2" fillId="10" borderId="0" xfId="0" applyFont="1" applyFill="1" applyAlignment="1">
      <alignment horizontal="center"/>
    </xf>
    <xf numFmtId="0" fontId="0" fillId="10" borderId="0" xfId="0" applyFill="1"/>
    <xf numFmtId="0" fontId="2" fillId="10" borderId="0" xfId="0" applyFont="1" applyFill="1" applyAlignment="1">
      <alignment horizontal="left"/>
    </xf>
    <xf numFmtId="0" fontId="2" fillId="10" borderId="0" xfId="0" applyFont="1" applyFill="1"/>
    <xf numFmtId="1" fontId="18" fillId="11" borderId="0" xfId="0" applyNumberFormat="1" applyFont="1" applyFill="1"/>
    <xf numFmtId="1" fontId="18" fillId="0" borderId="0" xfId="0" applyNumberFormat="1" applyFont="1"/>
    <xf numFmtId="1" fontId="19" fillId="0" borderId="0" xfId="0" applyNumberFormat="1" applyFont="1"/>
    <xf numFmtId="0" fontId="20" fillId="0" borderId="0" xfId="0" applyFont="1"/>
    <xf numFmtId="1" fontId="21" fillId="0" borderId="0" xfId="0" applyNumberFormat="1" applyFont="1"/>
    <xf numFmtId="0" fontId="21" fillId="0" borderId="0" xfId="0" applyFont="1"/>
    <xf numFmtId="4" fontId="21" fillId="0" borderId="0" xfId="0" applyNumberFormat="1" applyFont="1"/>
    <xf numFmtId="4" fontId="0" fillId="0" borderId="0" xfId="0" applyNumberFormat="1"/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4" fillId="0" borderId="0" xfId="0" applyFont="1"/>
    <xf numFmtId="0" fontId="0" fillId="13" borderId="0" xfId="0" applyFill="1"/>
    <xf numFmtId="0" fontId="24" fillId="3" borderId="0" xfId="0" applyFont="1" applyFill="1"/>
    <xf numFmtId="3" fontId="17" fillId="14" borderId="0" xfId="0" applyNumberFormat="1" applyFont="1" applyFill="1"/>
    <xf numFmtId="3" fontId="11" fillId="3" borderId="0" xfId="0" applyNumberFormat="1" applyFont="1" applyFill="1"/>
    <xf numFmtId="167" fontId="23" fillId="15" borderId="0" xfId="0" applyNumberFormat="1" applyFont="1" applyFill="1"/>
    <xf numFmtId="2" fontId="17" fillId="14" borderId="0" xfId="0" applyNumberFormat="1" applyFont="1" applyFill="1"/>
    <xf numFmtId="0" fontId="2" fillId="13" borderId="0" xfId="0" applyFont="1" applyFill="1"/>
    <xf numFmtId="0" fontId="2" fillId="12" borderId="0" xfId="0" applyFont="1" applyFill="1"/>
    <xf numFmtId="0" fontId="25" fillId="0" borderId="0" xfId="0" applyFont="1"/>
    <xf numFmtId="0" fontId="0" fillId="16" borderId="0" xfId="0" applyFill="1"/>
    <xf numFmtId="0" fontId="0" fillId="9" borderId="0" xfId="0" applyFill="1"/>
    <xf numFmtId="0" fontId="0" fillId="3" borderId="0" xfId="0" applyFill="1" applyAlignment="1">
      <alignment horizontal="center"/>
    </xf>
    <xf numFmtId="0" fontId="2" fillId="16" borderId="0" xfId="0" applyFont="1" applyFill="1"/>
    <xf numFmtId="0" fontId="22" fillId="16" borderId="0" xfId="0" applyFont="1" applyFill="1"/>
    <xf numFmtId="0" fontId="14" fillId="3" borderId="0" xfId="0" applyFont="1" applyFill="1"/>
    <xf numFmtId="0" fontId="3" fillId="3" borderId="0" xfId="0" applyFont="1" applyFill="1"/>
    <xf numFmtId="0" fontId="0" fillId="17" borderId="0" xfId="0" applyFill="1"/>
    <xf numFmtId="0" fontId="2" fillId="17" borderId="0" xfId="0" applyFont="1" applyFill="1"/>
    <xf numFmtId="0" fontId="0" fillId="12" borderId="0" xfId="0" applyFill="1"/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9" borderId="0" xfId="0" applyFont="1" applyFill="1" applyAlignment="1">
      <alignment horizontal="left"/>
    </xf>
    <xf numFmtId="0" fontId="12" fillId="3" borderId="0" xfId="0" applyFont="1" applyFill="1"/>
    <xf numFmtId="165" fontId="0" fillId="3" borderId="0" xfId="0" applyNumberFormat="1" applyFill="1"/>
    <xf numFmtId="1" fontId="0" fillId="3" borderId="0" xfId="0" applyNumberFormat="1" applyFill="1"/>
    <xf numFmtId="0" fontId="0" fillId="3" borderId="0" xfId="0" applyFill="1" applyAlignment="1">
      <alignment horizontal="left"/>
    </xf>
    <xf numFmtId="0" fontId="2" fillId="18" borderId="0" xfId="0" applyFont="1" applyFill="1"/>
    <xf numFmtId="0" fontId="0" fillId="18" borderId="0" xfId="0" applyFill="1"/>
    <xf numFmtId="0" fontId="3" fillId="0" borderId="0" xfId="0" applyFont="1" applyAlignment="1">
      <alignment horizontal="right"/>
    </xf>
    <xf numFmtId="0" fontId="0" fillId="0" borderId="0" xfId="0" applyAlignment="1">
      <alignment horizontal="left"/>
    </xf>
    <xf numFmtId="11" fontId="0" fillId="3" borderId="0" xfId="0" applyNumberFormat="1" applyFill="1"/>
    <xf numFmtId="0" fontId="28" fillId="19" borderId="0" xfId="0" applyFont="1" applyFill="1"/>
    <xf numFmtId="2" fontId="29" fillId="20" borderId="0" xfId="0" applyNumberFormat="1" applyFont="1" applyFill="1"/>
    <xf numFmtId="2" fontId="29" fillId="3" borderId="0" xfId="0" applyNumberFormat="1" applyFont="1" applyFill="1"/>
    <xf numFmtId="0" fontId="6" fillId="3" borderId="0" xfId="0" applyFont="1" applyFill="1" applyAlignment="1">
      <alignment horizontal="center"/>
    </xf>
    <xf numFmtId="1" fontId="0" fillId="3" borderId="0" xfId="0" applyNumberFormat="1" applyFill="1" applyAlignment="1">
      <alignment horizontal="center"/>
    </xf>
    <xf numFmtId="4" fontId="7" fillId="3" borderId="0" xfId="0" applyNumberFormat="1" applyFont="1" applyFill="1" applyAlignment="1">
      <alignment horizontal="center"/>
    </xf>
    <xf numFmtId="4" fontId="0" fillId="3" borderId="0" xfId="0" applyNumberFormat="1" applyFill="1" applyAlignment="1">
      <alignment horizontal="center"/>
    </xf>
    <xf numFmtId="2" fontId="32" fillId="0" borderId="7" xfId="0" applyNumberFormat="1" applyFont="1" applyBorder="1"/>
    <xf numFmtId="165" fontId="33" fillId="0" borderId="6" xfId="0" applyNumberFormat="1" applyFont="1" applyBorder="1"/>
    <xf numFmtId="164" fontId="31" fillId="0" borderId="6" xfId="4" applyFont="1" applyBorder="1"/>
    <xf numFmtId="11" fontId="0" fillId="0" borderId="0" xfId="0" applyNumberFormat="1"/>
    <xf numFmtId="0" fontId="30" fillId="0" borderId="0" xfId="0" applyFont="1" applyAlignment="1">
      <alignment horizontal="left" vertical="center"/>
    </xf>
    <xf numFmtId="4" fontId="0" fillId="3" borderId="0" xfId="0" applyNumberFormat="1" applyFill="1"/>
    <xf numFmtId="3" fontId="0" fillId="0" borderId="0" xfId="0" applyNumberFormat="1"/>
    <xf numFmtId="0" fontId="11" fillId="16" borderId="0" xfId="0" applyFont="1" applyFill="1"/>
    <xf numFmtId="0" fontId="9" fillId="16" borderId="0" xfId="0" applyFont="1" applyFill="1"/>
    <xf numFmtId="0" fontId="11" fillId="3" borderId="0" xfId="0" applyFont="1" applyFill="1"/>
    <xf numFmtId="0" fontId="9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2" fontId="0" fillId="3" borderId="0" xfId="0" applyNumberFormat="1" applyFill="1"/>
    <xf numFmtId="0" fontId="29" fillId="20" borderId="0" xfId="0" applyFont="1" applyFill="1"/>
    <xf numFmtId="0" fontId="29" fillId="3" borderId="0" xfId="0" applyFont="1" applyFill="1"/>
    <xf numFmtId="0" fontId="34" fillId="21" borderId="8" xfId="0" applyFont="1" applyFill="1" applyBorder="1" applyAlignment="1">
      <alignment horizontal="center"/>
    </xf>
    <xf numFmtId="0" fontId="34" fillId="21" borderId="0" xfId="0" applyFont="1" applyFill="1" applyAlignment="1">
      <alignment horizontal="center"/>
    </xf>
    <xf numFmtId="0" fontId="35" fillId="20" borderId="0" xfId="0" applyFont="1" applyFill="1"/>
    <xf numFmtId="0" fontId="36" fillId="20" borderId="0" xfId="0" applyFont="1" applyFill="1"/>
    <xf numFmtId="0" fontId="37" fillId="0" borderId="0" xfId="8"/>
    <xf numFmtId="0" fontId="17" fillId="10" borderId="0" xfId="9" applyFont="1" applyFill="1" applyAlignment="1">
      <alignment vertical="top"/>
    </xf>
    <xf numFmtId="0" fontId="17" fillId="10" borderId="0" xfId="9" applyFont="1" applyFill="1" applyAlignment="1">
      <alignment horizontal="center" vertical="top"/>
    </xf>
    <xf numFmtId="0" fontId="38" fillId="0" borderId="0" xfId="8" applyFont="1" applyAlignment="1">
      <alignment horizontal="center"/>
    </xf>
    <xf numFmtId="0" fontId="39" fillId="0" borderId="0" xfId="0" applyFont="1" applyAlignment="1">
      <alignment horizontal="center"/>
    </xf>
    <xf numFmtId="0" fontId="0" fillId="22" borderId="6" xfId="0" applyFill="1" applyBorder="1" applyAlignment="1">
      <alignment horizontal="center"/>
    </xf>
    <xf numFmtId="0" fontId="38" fillId="0" borderId="6" xfId="8" applyFont="1" applyBorder="1" applyAlignment="1">
      <alignment horizontal="center"/>
    </xf>
    <xf numFmtId="0" fontId="37" fillId="0" borderId="0" xfId="8" applyAlignment="1">
      <alignment horizontal="center"/>
    </xf>
    <xf numFmtId="0" fontId="40" fillId="0" borderId="0" xfId="0" applyFont="1"/>
    <xf numFmtId="0" fontId="42" fillId="0" borderId="0" xfId="0" applyFont="1"/>
    <xf numFmtId="0" fontId="4" fillId="0" borderId="0" xfId="0" applyFont="1"/>
    <xf numFmtId="0" fontId="27" fillId="0" borderId="0" xfId="7"/>
  </cellXfs>
  <cellStyles count="13">
    <cellStyle name="Comma" xfId="5" builtinId="3"/>
    <cellStyle name="Comma 132" xfId="4" xr:uid="{B4FD30EB-4AF1-446B-BDB9-ECE245CDBCDE}"/>
    <cellStyle name="Comma 132 2" xfId="10" xr:uid="{0E9B88E5-2973-4A92-BEE8-CB895FD0E6F1}"/>
    <cellStyle name="Comma 2" xfId="11" xr:uid="{69168E17-33BB-4F5C-820F-0D66081347B3}"/>
    <cellStyle name="Comma 3 2" xfId="6" xr:uid="{CBDC8973-CB0B-471F-BE11-E46D6D4A5DAC}"/>
    <cellStyle name="Comma 3 2 2" xfId="12" xr:uid="{51DA1097-6A75-460B-BF23-ABE12AFB0C38}"/>
    <cellStyle name="Hyperlink" xfId="7" builtinId="8"/>
    <cellStyle name="Normal" xfId="0" builtinId="0"/>
    <cellStyle name="Normal 2" xfId="9" xr:uid="{4B72D503-E03B-4F0F-B292-0583FC130D2F}"/>
    <cellStyle name="Normal 3" xfId="8" xr:uid="{6A80656E-1844-4949-A8EC-3FC94B77ECB9}"/>
    <cellStyle name="Normal 3 2 2 2" xfId="1" xr:uid="{3EEA8951-B394-402D-AE30-2322AE031FE8}"/>
    <cellStyle name="Normal_Economy charts (from Steve)" xfId="3" xr:uid="{40613877-A561-4D1D-9266-A26ECF9E305F}"/>
    <cellStyle name="Percent 2 21" xfId="2" xr:uid="{BBB1407F-D191-46F6-84C4-0E11A55E2C0B}"/>
  </cellStyles>
  <dxfs count="0"/>
  <tableStyles count="0" defaultTableStyle="TableStyleMedium2" defaultPivotStyle="PivotStyleLight16"/>
  <colors>
    <mruColors>
      <color rgb="FF9CE8D0"/>
      <color rgb="FFC5D7FF"/>
      <color rgb="FF62E5EC"/>
      <color rgb="FFD4F4E4"/>
      <color rgb="FFF5DAF6"/>
      <color rgb="FFECB5ED"/>
      <color rgb="FFA18C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590550</xdr:colOff>
      <xdr:row>0</xdr:row>
      <xdr:rowOff>57150</xdr:rowOff>
    </xdr:from>
    <xdr:to>
      <xdr:col>17</xdr:col>
      <xdr:colOff>57150</xdr:colOff>
      <xdr:row>2</xdr:row>
      <xdr:rowOff>142875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5">
              <a:extLst>
                <a:ext uri="{FF2B5EF4-FFF2-40B4-BE49-F238E27FC236}">
                  <a16:creationId xmlns:a16="http://schemas.microsoft.com/office/drawing/2014/main" id="{AEDCF8E0-9885-BF70-7DD0-79B1A18FF31B}"/>
                </a:ext>
              </a:extLst>
            </xdr:cNvPr>
            <xdr:cNvSpPr txBox="1"/>
          </xdr:nvSpPr>
          <xdr:spPr>
            <a:xfrm>
              <a:off x="8096250" y="57150"/>
              <a:ext cx="2514600" cy="466725"/>
            </a:xfrm>
            <a:prstGeom prst="round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wrap="square">
              <a:no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05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n-GB" sz="105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05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𝐸𝑚𝑖𝑠𝑠𝑖𝑜𝑛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𝑓𝑎𝑐𝑡𝑜𝑟</m:t>
                        </m:r>
                      </m:num>
                      <m:den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𝐸𝑓𝑓𝑖𝑐𝑖𝑒𝑛𝑐𝑦</m:t>
                        </m:r>
                      </m:den>
                    </m:f>
                    <m:r>
                      <a:rPr lang="en-GB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 </m:t>
                    </m:r>
                    <m:r>
                      <a:rPr lang="en-GB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𝐶𝑎𝑝𝑡𝑢𝑟𝑒</m:t>
                    </m:r>
                    <m:r>
                      <a:rPr lang="en-GB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% </m:t>
                    </m:r>
                  </m:oMath>
                </m:oMathPara>
              </a14:m>
              <a:endParaRPr lang="en-GB" sz="1400" b="0"/>
            </a:p>
            <a:p>
              <a:endParaRPr lang="en-GB" sz="1400"/>
            </a:p>
          </xdr:txBody>
        </xdr:sp>
      </mc:Choice>
      <mc:Fallback xmlns="">
        <xdr:sp macro="" textlink="">
          <xdr:nvSpPr>
            <xdr:cNvPr id="2" name="TextBox 5">
              <a:extLst>
                <a:ext uri="{FF2B5EF4-FFF2-40B4-BE49-F238E27FC236}">
                  <a16:creationId xmlns:a16="http://schemas.microsoft.com/office/drawing/2014/main" id="{AEDCF8E0-9885-BF70-7DD0-79B1A18FF31B}"/>
                </a:ext>
              </a:extLst>
            </xdr:cNvPr>
            <xdr:cNvSpPr txBox="1"/>
          </xdr:nvSpPr>
          <xdr:spPr>
            <a:xfrm>
              <a:off x="8096250" y="57150"/>
              <a:ext cx="2514600" cy="466725"/>
            </a:xfrm>
            <a:prstGeom prst="round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wrap="square">
              <a:no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050" b="0" i="0">
                  <a:latin typeface="Cambria Math" panose="02040503050406030204" pitchFamily="18" charset="0"/>
                </a:rPr>
                <a:t>𝑦_𝑐=(𝐸𝑚𝑖𝑠𝑠𝑖𝑜𝑛 𝑓𝑎𝑐𝑡𝑜𝑟)/𝐸𝑓𝑓𝑖𝑐𝑖𝑒𝑛𝑐𝑦</a:t>
              </a:r>
              <a:r>
                <a:rPr lang="en-GB" sz="105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 𝐶𝑎𝑝𝑡𝑢𝑟𝑒 % </a:t>
              </a:r>
              <a:endParaRPr lang="en-GB" sz="1400" b="0"/>
            </a:p>
            <a:p>
              <a:endParaRPr lang="en-GB" sz="1400"/>
            </a:p>
          </xdr:txBody>
        </xdr:sp>
      </mc:Fallback>
    </mc:AlternateContent>
    <xdr:clientData/>
  </xdr:twoCellAnchor>
  <xdr:twoCellAnchor>
    <xdr:from>
      <xdr:col>17</xdr:col>
      <xdr:colOff>266699</xdr:colOff>
      <xdr:row>0</xdr:row>
      <xdr:rowOff>38100</xdr:rowOff>
    </xdr:from>
    <xdr:to>
      <xdr:col>21</xdr:col>
      <xdr:colOff>603148</xdr:colOff>
      <xdr:row>2</xdr:row>
      <xdr:rowOff>114299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4">
              <a:extLst>
                <a:ext uri="{FF2B5EF4-FFF2-40B4-BE49-F238E27FC236}">
                  <a16:creationId xmlns:a16="http://schemas.microsoft.com/office/drawing/2014/main" id="{34B860F2-859B-286A-8BF7-51D11634ACAB}"/>
                </a:ext>
              </a:extLst>
            </xdr:cNvPr>
            <xdr:cNvSpPr txBox="1"/>
          </xdr:nvSpPr>
          <xdr:spPr>
            <a:xfrm>
              <a:off x="10820399" y="38100"/>
              <a:ext cx="2774849" cy="457199"/>
            </a:xfrm>
            <a:prstGeom prst="round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wrap="square">
              <a:no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05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GB" sz="105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05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𝐸𝑚𝑖𝑠𝑠𝑖𝑜𝑛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𝑓𝑎𝑐𝑡𝑜𝑟</m:t>
                        </m:r>
                      </m:num>
                      <m:den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𝐸𝑓𝑓𝑖𝑐𝑖𝑒𝑛𝑐𝑦</m:t>
                        </m:r>
                      </m:den>
                    </m:f>
                    <m:r>
                      <a:rPr lang="en-GB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 (1−</m:t>
                    </m:r>
                    <m:r>
                      <a:rPr lang="en-GB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𝐶𝑎𝑝𝑡𝑢𝑟𝑒</m:t>
                    </m:r>
                    <m:r>
                      <a:rPr lang="en-GB" sz="105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%) </m:t>
                    </m:r>
                  </m:oMath>
                </m:oMathPara>
              </a14:m>
              <a:endParaRPr lang="en-GB" sz="1050" b="0"/>
            </a:p>
            <a:p>
              <a:endParaRPr lang="en-GB" sz="1050"/>
            </a:p>
          </xdr:txBody>
        </xdr:sp>
      </mc:Choice>
      <mc:Fallback xmlns="">
        <xdr:sp macro="" textlink="">
          <xdr:nvSpPr>
            <xdr:cNvPr id="3" name="TextBox 4">
              <a:extLst>
                <a:ext uri="{FF2B5EF4-FFF2-40B4-BE49-F238E27FC236}">
                  <a16:creationId xmlns:a16="http://schemas.microsoft.com/office/drawing/2014/main" id="{34B860F2-859B-286A-8BF7-51D11634ACAB}"/>
                </a:ext>
              </a:extLst>
            </xdr:cNvPr>
            <xdr:cNvSpPr txBox="1"/>
          </xdr:nvSpPr>
          <xdr:spPr>
            <a:xfrm>
              <a:off x="10820399" y="38100"/>
              <a:ext cx="2774849" cy="457199"/>
            </a:xfrm>
            <a:prstGeom prst="round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wrap="square">
              <a:no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050" b="0" i="0">
                  <a:latin typeface="Cambria Math" panose="02040503050406030204" pitchFamily="18" charset="0"/>
                </a:rPr>
                <a:t>𝑦_𝑒=(𝐸𝑚𝑖𝑠𝑠𝑖𝑜𝑛 𝑓𝑎𝑐𝑡𝑜𝑟)/𝐸𝑓𝑓𝑖𝑐𝑖𝑒𝑛𝑐𝑦</a:t>
              </a:r>
              <a:r>
                <a:rPr lang="en-GB" sz="105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 (1−𝐶𝑎𝑝𝑡𝑢𝑟𝑒 %) </a:t>
              </a:r>
              <a:endParaRPr lang="en-GB" sz="1050" b="0"/>
            </a:p>
            <a:p>
              <a:endParaRPr lang="en-GB" sz="1050"/>
            </a:p>
          </xdr:txBody>
        </xdr:sp>
      </mc:Fallback>
    </mc:AlternateContent>
    <xdr:clientData/>
  </xdr:twoCellAnchor>
  <xdr:twoCellAnchor>
    <xdr:from>
      <xdr:col>12</xdr:col>
      <xdr:colOff>488949</xdr:colOff>
      <xdr:row>4</xdr:row>
      <xdr:rowOff>44450</xdr:rowOff>
    </xdr:from>
    <xdr:to>
      <xdr:col>17</xdr:col>
      <xdr:colOff>466725</xdr:colOff>
      <xdr:row>6</xdr:row>
      <xdr:rowOff>76200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6">
              <a:extLst>
                <a:ext uri="{FF2B5EF4-FFF2-40B4-BE49-F238E27FC236}">
                  <a16:creationId xmlns:a16="http://schemas.microsoft.com/office/drawing/2014/main" id="{DA69650F-60F0-1D53-9687-CAA39FB20285}"/>
                </a:ext>
              </a:extLst>
            </xdr:cNvPr>
            <xdr:cNvSpPr txBox="1"/>
          </xdr:nvSpPr>
          <xdr:spPr>
            <a:xfrm>
              <a:off x="8032749" y="768350"/>
              <a:ext cx="3025776" cy="393700"/>
            </a:xfrm>
            <a:prstGeom prst="round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wrap="square">
              <a:no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05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n-GB" sz="1050" b="0" i="1">
                        <a:latin typeface="Cambria Math" panose="02040503050406030204" pitchFamily="18" charset="0"/>
                      </a:rPr>
                      <m:t>=−</m:t>
                    </m:r>
                    <m:f>
                      <m:fPr>
                        <m:ctrlPr>
                          <a:rPr lang="en-GB" sz="105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𝐸𝑚𝑖𝑠𝑠𝑖𝑜𝑛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𝑓𝑎𝑐𝑡𝑜𝑟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𝑓𝑜𝑟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𝐶</m:t>
                        </m:r>
                        <m:sSub>
                          <m:sSubPr>
                            <m:ctrlPr>
                              <a:rPr lang="en-GB" sz="105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050" b="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e>
                          <m:sub>
                            <m:r>
                              <a:rPr lang="en-GB" sz="105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num>
                      <m:den>
                        <m:r>
                          <a:rPr lang="en-GB" sz="1050" b="0" i="1">
                            <a:latin typeface="Cambria Math" panose="02040503050406030204" pitchFamily="18" charset="0"/>
                          </a:rPr>
                          <m:t>𝐸𝑓𝑓𝑖𝑐𝑖𝑒𝑛𝑐𝑦</m:t>
                        </m:r>
                      </m:den>
                    </m:f>
                    <m:r>
                      <a:rPr lang="en-GB" sz="1050" b="0" i="1">
                        <a:latin typeface="Cambria Math" panose="02040503050406030204" pitchFamily="18" charset="0"/>
                      </a:rPr>
                      <m:t>∙ </m:t>
                    </m:r>
                    <m:r>
                      <a:rPr lang="en-GB" sz="1050" b="0" i="1">
                        <a:latin typeface="Cambria Math" panose="02040503050406030204" pitchFamily="18" charset="0"/>
                      </a:rPr>
                      <m:t>𝐶𝑎𝑝𝑡𝑢𝑟𝑒</m:t>
                    </m:r>
                    <m:r>
                      <a:rPr lang="en-GB" sz="1050" b="0" i="1">
                        <a:latin typeface="Cambria Math" panose="02040503050406030204" pitchFamily="18" charset="0"/>
                      </a:rPr>
                      <m:t> % </m:t>
                    </m:r>
                  </m:oMath>
                </m:oMathPara>
              </a14:m>
              <a:endParaRPr lang="en-GB" sz="1050"/>
            </a:p>
          </xdr:txBody>
        </xdr:sp>
      </mc:Choice>
      <mc:Fallback xmlns="">
        <xdr:sp macro="" textlink="">
          <xdr:nvSpPr>
            <xdr:cNvPr id="4" name="TextBox 6">
              <a:extLst>
                <a:ext uri="{FF2B5EF4-FFF2-40B4-BE49-F238E27FC236}">
                  <a16:creationId xmlns:a16="http://schemas.microsoft.com/office/drawing/2014/main" id="{DA69650F-60F0-1D53-9687-CAA39FB20285}"/>
                </a:ext>
              </a:extLst>
            </xdr:cNvPr>
            <xdr:cNvSpPr txBox="1"/>
          </xdr:nvSpPr>
          <xdr:spPr>
            <a:xfrm>
              <a:off x="8032749" y="768350"/>
              <a:ext cx="3025776" cy="393700"/>
            </a:xfrm>
            <a:prstGeom prst="roundRect">
              <a:avLst/>
            </a:prstGeom>
          </xdr:spPr>
          <xdr:style>
            <a:lnRef idx="2">
              <a:schemeClr val="accent4"/>
            </a:lnRef>
            <a:fillRef idx="1">
              <a:schemeClr val="lt1"/>
            </a:fillRef>
            <a:effectRef idx="0">
              <a:schemeClr val="accent4"/>
            </a:effectRef>
            <a:fontRef idx="minor">
              <a:schemeClr val="dk1"/>
            </a:fontRef>
          </xdr:style>
          <xdr:txBody>
            <a:bodyPr wrap="square">
              <a:noAutofit/>
            </a:bodyPr>
            <a:lstStyle>
              <a:defPPr>
                <a:defRPr lang="en-US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050" b="0" i="0">
                  <a:latin typeface="Cambria Math" panose="02040503050406030204" pitchFamily="18" charset="0"/>
                </a:rPr>
                <a:t>𝑦_𝑒=−</a:t>
              </a:r>
              <a:r>
                <a:rPr lang="en-GB" sz="1050" i="0">
                  <a:latin typeface="Cambria Math" panose="02040503050406030204" pitchFamily="18" charset="0"/>
                </a:rPr>
                <a:t>(</a:t>
              </a:r>
              <a:r>
                <a:rPr lang="en-GB" sz="1050" b="0" i="0">
                  <a:latin typeface="Cambria Math" panose="02040503050406030204" pitchFamily="18" charset="0"/>
                </a:rPr>
                <a:t>𝐸𝑚𝑖𝑠𝑠𝑖𝑜𝑛 𝑓𝑎𝑐𝑡𝑜𝑟 𝑓𝑜𝑟 𝐶𝑂_2)/𝐸𝑓𝑓𝑖𝑐𝑖𝑒𝑛𝑐𝑦∙ 𝐶𝑎𝑝𝑡𝑢𝑟𝑒 % </a:t>
              </a:r>
              <a:endParaRPr lang="en-GB" sz="105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lusteredData!BP2@CD146" TargetMode="External"/><Relationship Id="rId1" Type="http://schemas.openxmlformats.org/officeDocument/2006/relationships/hyperlink" Target="mailto:ClusteredData!BP2@CD14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homerenergy.com/products/pro/docs/3.15/battery_roundtrip_efficiency.html%20%20%20(*(round-trip%20efficiency)%5e(1/2)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7B88C-E193-4402-A3C4-CC98FEFCFE7C}">
  <sheetPr>
    <tabColor rgb="FFFF0000"/>
  </sheetPr>
  <dimension ref="A1:Q127"/>
  <sheetViews>
    <sheetView zoomScale="118" zoomScaleNormal="118" workbookViewId="0">
      <pane ySplit="1" topLeftCell="A81" activePane="bottomLeft" state="frozen"/>
      <selection pane="bottomLeft" activeCell="G82" sqref="G82"/>
    </sheetView>
  </sheetViews>
  <sheetFormatPr defaultRowHeight="14.4" x14ac:dyDescent="0.3"/>
  <cols>
    <col min="2" max="2" width="20.33203125" bestFit="1" customWidth="1"/>
    <col min="3" max="3" width="24.44140625" bestFit="1" customWidth="1"/>
  </cols>
  <sheetData>
    <row r="1" spans="1:7" x14ac:dyDescent="0.3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7" x14ac:dyDescent="0.3">
      <c r="A2" s="16" t="s">
        <v>274</v>
      </c>
      <c r="B2" t="s">
        <v>125</v>
      </c>
      <c r="C2" t="s">
        <v>215</v>
      </c>
      <c r="E2" s="15"/>
      <c r="F2" s="15">
        <v>1</v>
      </c>
      <c r="G2" t="s">
        <v>126</v>
      </c>
    </row>
    <row r="3" spans="1:7" x14ac:dyDescent="0.3">
      <c r="A3" s="16" t="s">
        <v>274</v>
      </c>
      <c r="B3" t="s">
        <v>105</v>
      </c>
      <c r="C3" t="s">
        <v>216</v>
      </c>
      <c r="E3" s="15"/>
      <c r="F3" s="62">
        <v>1</v>
      </c>
      <c r="G3" t="s">
        <v>106</v>
      </c>
    </row>
    <row r="4" spans="1:7" x14ac:dyDescent="0.3">
      <c r="A4" s="16" t="s">
        <v>274</v>
      </c>
      <c r="B4" t="s">
        <v>107</v>
      </c>
      <c r="C4" t="s">
        <v>217</v>
      </c>
      <c r="E4" s="15"/>
      <c r="F4" s="15">
        <v>1</v>
      </c>
      <c r="G4" t="s">
        <v>108</v>
      </c>
    </row>
    <row r="5" spans="1:7" x14ac:dyDescent="0.3">
      <c r="A5" s="16" t="s">
        <v>274</v>
      </c>
      <c r="B5" t="s">
        <v>109</v>
      </c>
      <c r="C5" t="s">
        <v>428</v>
      </c>
      <c r="E5" s="15"/>
      <c r="F5" s="15">
        <v>1</v>
      </c>
      <c r="G5" t="s">
        <v>110</v>
      </c>
    </row>
    <row r="6" spans="1:7" x14ac:dyDescent="0.3">
      <c r="A6" s="16" t="s">
        <v>274</v>
      </c>
      <c r="B6" t="s">
        <v>111</v>
      </c>
      <c r="C6" t="s">
        <v>218</v>
      </c>
      <c r="E6" s="15"/>
      <c r="F6" s="15">
        <v>1</v>
      </c>
      <c r="G6" t="s">
        <v>112</v>
      </c>
    </row>
    <row r="7" spans="1:7" x14ac:dyDescent="0.3">
      <c r="A7" s="16" t="s">
        <v>274</v>
      </c>
      <c r="B7" t="s">
        <v>113</v>
      </c>
      <c r="C7" t="s">
        <v>219</v>
      </c>
      <c r="E7" s="15"/>
      <c r="F7" s="15">
        <v>1</v>
      </c>
      <c r="G7" t="s">
        <v>114</v>
      </c>
    </row>
    <row r="8" spans="1:7" x14ac:dyDescent="0.3">
      <c r="A8" s="16" t="s">
        <v>274</v>
      </c>
      <c r="B8" t="s">
        <v>115</v>
      </c>
      <c r="C8" t="s">
        <v>220</v>
      </c>
      <c r="E8" s="15"/>
      <c r="F8" s="15">
        <v>1</v>
      </c>
      <c r="G8" t="s">
        <v>116</v>
      </c>
    </row>
    <row r="9" spans="1:7" x14ac:dyDescent="0.3">
      <c r="A9" s="16" t="s">
        <v>274</v>
      </c>
      <c r="B9" t="s">
        <v>117</v>
      </c>
      <c r="C9" t="s">
        <v>601</v>
      </c>
      <c r="E9" s="15"/>
      <c r="F9" s="15">
        <v>1</v>
      </c>
      <c r="G9" t="s">
        <v>118</v>
      </c>
    </row>
    <row r="10" spans="1:7" x14ac:dyDescent="0.3">
      <c r="A10" s="16" t="s">
        <v>274</v>
      </c>
      <c r="B10" t="s">
        <v>119</v>
      </c>
      <c r="C10" t="s">
        <v>221</v>
      </c>
      <c r="E10" s="15"/>
      <c r="F10" s="15">
        <v>1</v>
      </c>
      <c r="G10" t="s">
        <v>120</v>
      </c>
    </row>
    <row r="11" spans="1:7" x14ac:dyDescent="0.3">
      <c r="A11" s="16" t="s">
        <v>274</v>
      </c>
      <c r="B11" t="s">
        <v>121</v>
      </c>
      <c r="C11" t="s">
        <v>222</v>
      </c>
      <c r="E11" s="15"/>
      <c r="F11" s="15">
        <v>1</v>
      </c>
      <c r="G11" t="s">
        <v>122</v>
      </c>
    </row>
    <row r="12" spans="1:7" x14ac:dyDescent="0.3">
      <c r="A12" s="16" t="s">
        <v>274</v>
      </c>
      <c r="B12" t="s">
        <v>123</v>
      </c>
      <c r="C12" t="s">
        <v>223</v>
      </c>
      <c r="E12" s="15"/>
      <c r="F12" s="15">
        <v>1</v>
      </c>
      <c r="G12" t="s">
        <v>124</v>
      </c>
    </row>
    <row r="13" spans="1:7" x14ac:dyDescent="0.3">
      <c r="A13" s="16" t="s">
        <v>274</v>
      </c>
      <c r="B13" t="s">
        <v>520</v>
      </c>
      <c r="C13" t="s">
        <v>522</v>
      </c>
      <c r="E13" s="15">
        <v>3</v>
      </c>
      <c r="F13" s="15"/>
      <c r="G13" t="s">
        <v>518</v>
      </c>
    </row>
    <row r="14" spans="1:7" x14ac:dyDescent="0.3">
      <c r="A14" s="16" t="s">
        <v>274</v>
      </c>
      <c r="B14" t="s">
        <v>521</v>
      </c>
      <c r="C14" t="s">
        <v>523</v>
      </c>
      <c r="E14" s="15">
        <v>2</v>
      </c>
      <c r="F14" s="15"/>
      <c r="G14" t="s">
        <v>519</v>
      </c>
    </row>
    <row r="15" spans="1:7" x14ac:dyDescent="0.3">
      <c r="A15" s="16" t="s">
        <v>274</v>
      </c>
      <c r="B15" t="s">
        <v>161</v>
      </c>
      <c r="C15" t="s">
        <v>510</v>
      </c>
      <c r="E15" s="15">
        <v>2</v>
      </c>
      <c r="F15" s="15"/>
    </row>
    <row r="16" spans="1:7" x14ac:dyDescent="0.3">
      <c r="A16" s="16" t="s">
        <v>274</v>
      </c>
      <c r="B16" t="s">
        <v>162</v>
      </c>
      <c r="C16" t="s">
        <v>271</v>
      </c>
      <c r="E16" s="15">
        <v>2</v>
      </c>
      <c r="F16" s="15"/>
    </row>
    <row r="17" spans="1:17" x14ac:dyDescent="0.3">
      <c r="A17" s="16" t="s">
        <v>274</v>
      </c>
      <c r="B17" t="s">
        <v>163</v>
      </c>
      <c r="C17" t="s">
        <v>652</v>
      </c>
      <c r="E17" s="15"/>
      <c r="F17" s="62">
        <v>1</v>
      </c>
      <c r="G17" t="s">
        <v>157</v>
      </c>
    </row>
    <row r="18" spans="1:17" x14ac:dyDescent="0.3">
      <c r="A18" s="16" t="s">
        <v>274</v>
      </c>
      <c r="B18" t="s">
        <v>164</v>
      </c>
      <c r="C18" t="s">
        <v>224</v>
      </c>
      <c r="E18" s="15"/>
      <c r="F18" s="15">
        <v>1</v>
      </c>
      <c r="G18" t="s">
        <v>158</v>
      </c>
    </row>
    <row r="19" spans="1:17" x14ac:dyDescent="0.3">
      <c r="A19" s="16" t="s">
        <v>274</v>
      </c>
      <c r="B19" t="s">
        <v>165</v>
      </c>
      <c r="C19" t="s">
        <v>655</v>
      </c>
      <c r="E19" s="15"/>
      <c r="F19" s="15">
        <v>1</v>
      </c>
      <c r="G19" t="s">
        <v>149</v>
      </c>
    </row>
    <row r="20" spans="1:17" x14ac:dyDescent="0.3">
      <c r="A20" s="16" t="s">
        <v>274</v>
      </c>
      <c r="B20" t="s">
        <v>166</v>
      </c>
      <c r="C20" t="s">
        <v>656</v>
      </c>
      <c r="E20" s="15"/>
      <c r="F20" s="15">
        <v>1</v>
      </c>
      <c r="G20" t="s">
        <v>150</v>
      </c>
    </row>
    <row r="21" spans="1:17" x14ac:dyDescent="0.3">
      <c r="A21" s="16" t="s">
        <v>274</v>
      </c>
      <c r="B21" t="s">
        <v>167</v>
      </c>
      <c r="C21" t="s">
        <v>225</v>
      </c>
      <c r="E21" s="15"/>
      <c r="F21" s="15">
        <v>1</v>
      </c>
      <c r="G21" t="s">
        <v>152</v>
      </c>
    </row>
    <row r="22" spans="1:17" x14ac:dyDescent="0.3">
      <c r="A22" s="16" t="s">
        <v>274</v>
      </c>
      <c r="B22" t="s">
        <v>168</v>
      </c>
      <c r="C22" t="s">
        <v>226</v>
      </c>
      <c r="E22" s="15"/>
      <c r="F22" s="15">
        <v>1</v>
      </c>
      <c r="G22" t="s">
        <v>154</v>
      </c>
    </row>
    <row r="23" spans="1:17" x14ac:dyDescent="0.3">
      <c r="A23" s="16" t="s">
        <v>274</v>
      </c>
      <c r="B23" t="s">
        <v>169</v>
      </c>
      <c r="C23" t="s">
        <v>227</v>
      </c>
      <c r="E23" s="15"/>
      <c r="F23" s="15">
        <v>1</v>
      </c>
      <c r="G23" t="s">
        <v>159</v>
      </c>
    </row>
    <row r="24" spans="1:17" x14ac:dyDescent="0.3">
      <c r="A24" s="16" t="s">
        <v>274</v>
      </c>
      <c r="B24" t="s">
        <v>170</v>
      </c>
      <c r="C24" t="s">
        <v>228</v>
      </c>
      <c r="E24" s="15"/>
      <c r="F24" s="15">
        <v>1</v>
      </c>
      <c r="G24" t="s">
        <v>155</v>
      </c>
    </row>
    <row r="25" spans="1:17" x14ac:dyDescent="0.3">
      <c r="A25" s="16" t="s">
        <v>274</v>
      </c>
      <c r="B25" t="s">
        <v>171</v>
      </c>
      <c r="C25" t="s">
        <v>229</v>
      </c>
      <c r="E25" s="15"/>
      <c r="F25" s="15">
        <v>1</v>
      </c>
      <c r="G25" t="s">
        <v>156</v>
      </c>
    </row>
    <row r="26" spans="1:17" x14ac:dyDescent="0.3">
      <c r="A26" s="16" t="s">
        <v>274</v>
      </c>
      <c r="B26" t="s">
        <v>764</v>
      </c>
      <c r="C26" t="s">
        <v>765</v>
      </c>
      <c r="E26" s="15"/>
      <c r="F26" s="15">
        <v>1</v>
      </c>
      <c r="G26" t="s">
        <v>763</v>
      </c>
    </row>
    <row r="27" spans="1:17" x14ac:dyDescent="0.3">
      <c r="A27" s="16" t="s">
        <v>274</v>
      </c>
      <c r="B27" t="s">
        <v>172</v>
      </c>
      <c r="C27" t="s">
        <v>585</v>
      </c>
      <c r="E27" s="15"/>
      <c r="F27" s="15">
        <v>1</v>
      </c>
      <c r="G27" t="s">
        <v>153</v>
      </c>
    </row>
    <row r="28" spans="1:17" x14ac:dyDescent="0.3">
      <c r="A28" s="16" t="s">
        <v>274</v>
      </c>
      <c r="B28" t="s">
        <v>173</v>
      </c>
      <c r="C28" t="s">
        <v>657</v>
      </c>
      <c r="E28" s="15"/>
      <c r="F28" s="15">
        <v>1</v>
      </c>
      <c r="G28" t="s">
        <v>151</v>
      </c>
    </row>
    <row r="29" spans="1:17" x14ac:dyDescent="0.3">
      <c r="A29" s="16" t="s">
        <v>274</v>
      </c>
      <c r="B29" t="s">
        <v>174</v>
      </c>
      <c r="C29" t="s">
        <v>246</v>
      </c>
      <c r="E29" s="15">
        <v>2</v>
      </c>
      <c r="F29" s="15"/>
      <c r="G29" t="s">
        <v>272</v>
      </c>
    </row>
    <row r="30" spans="1:17" x14ac:dyDescent="0.3">
      <c r="A30" s="16" t="s">
        <v>274</v>
      </c>
      <c r="B30" t="s">
        <v>175</v>
      </c>
      <c r="C30" t="s">
        <v>247</v>
      </c>
      <c r="E30" s="15">
        <v>2</v>
      </c>
      <c r="F30" s="15"/>
      <c r="G30" s="16" t="s">
        <v>273</v>
      </c>
    </row>
    <row r="31" spans="1:17" x14ac:dyDescent="0.3">
      <c r="A31" s="16" t="s">
        <v>104</v>
      </c>
      <c r="B31" t="s">
        <v>534</v>
      </c>
      <c r="C31" t="s">
        <v>471</v>
      </c>
      <c r="E31" s="15">
        <v>1</v>
      </c>
      <c r="F31" s="15"/>
      <c r="G31" s="16"/>
    </row>
    <row r="32" spans="1:17" x14ac:dyDescent="0.3">
      <c r="A32" t="s">
        <v>104</v>
      </c>
      <c r="B32" t="s">
        <v>103</v>
      </c>
      <c r="C32" t="s">
        <v>699</v>
      </c>
      <c r="E32" s="15">
        <v>2</v>
      </c>
      <c r="F32" s="15">
        <v>2</v>
      </c>
      <c r="G32" t="s">
        <v>9</v>
      </c>
      <c r="Q32" s="4" t="s">
        <v>513</v>
      </c>
    </row>
    <row r="33" spans="1:17" x14ac:dyDescent="0.3">
      <c r="A33" s="16" t="s">
        <v>104</v>
      </c>
      <c r="B33" t="s">
        <v>533</v>
      </c>
      <c r="C33" t="s">
        <v>535</v>
      </c>
      <c r="E33" s="15">
        <v>2</v>
      </c>
      <c r="F33" s="15">
        <v>1</v>
      </c>
    </row>
    <row r="34" spans="1:17" x14ac:dyDescent="0.3">
      <c r="A34" s="27" t="s">
        <v>104</v>
      </c>
      <c r="B34" s="27" t="s">
        <v>365</v>
      </c>
      <c r="C34" s="27" t="s">
        <v>369</v>
      </c>
      <c r="D34" s="27"/>
      <c r="E34" s="63">
        <v>2</v>
      </c>
      <c r="F34" s="63">
        <v>1</v>
      </c>
      <c r="G34" s="27" t="s">
        <v>8</v>
      </c>
      <c r="H34" s="27"/>
      <c r="I34" s="27"/>
      <c r="J34" s="17"/>
      <c r="K34" s="17"/>
      <c r="L34" s="17"/>
      <c r="M34" s="17"/>
      <c r="N34" s="17"/>
      <c r="O34" s="17"/>
      <c r="P34" s="17"/>
      <c r="Q34" s="17"/>
    </row>
    <row r="35" spans="1:17" x14ac:dyDescent="0.3">
      <c r="A35" s="27" t="s">
        <v>104</v>
      </c>
      <c r="B35" s="27" t="s">
        <v>551</v>
      </c>
      <c r="C35" s="27" t="s">
        <v>782</v>
      </c>
      <c r="D35" s="27"/>
      <c r="E35" s="63">
        <v>1</v>
      </c>
      <c r="F35" s="63">
        <v>1</v>
      </c>
      <c r="G35" s="108" t="s">
        <v>680</v>
      </c>
      <c r="H35" s="27"/>
      <c r="I35" s="27"/>
      <c r="J35" s="17"/>
      <c r="K35" s="17"/>
      <c r="L35" s="17"/>
      <c r="M35" s="17"/>
      <c r="N35" s="17"/>
      <c r="O35" s="17"/>
      <c r="P35" s="17"/>
      <c r="Q35" s="17"/>
    </row>
    <row r="36" spans="1:17" x14ac:dyDescent="0.3">
      <c r="A36" s="27" t="s">
        <v>104</v>
      </c>
      <c r="B36" s="27" t="s">
        <v>640</v>
      </c>
      <c r="C36" s="27" t="s">
        <v>641</v>
      </c>
      <c r="D36" s="27"/>
      <c r="E36" s="63">
        <v>1</v>
      </c>
      <c r="F36" s="63"/>
      <c r="G36" s="27" t="s">
        <v>646</v>
      </c>
      <c r="H36" s="27"/>
      <c r="I36" s="27"/>
      <c r="J36" s="17"/>
      <c r="K36" s="17"/>
      <c r="L36" s="17"/>
      <c r="M36" s="17"/>
      <c r="N36" s="17"/>
      <c r="O36" s="17"/>
      <c r="P36" s="17"/>
      <c r="Q36" s="17"/>
    </row>
    <row r="37" spans="1:17" x14ac:dyDescent="0.3">
      <c r="A37" s="27" t="s">
        <v>104</v>
      </c>
      <c r="B37" s="27" t="s">
        <v>777</v>
      </c>
      <c r="C37" s="27" t="s">
        <v>778</v>
      </c>
      <c r="D37" s="27"/>
      <c r="E37" s="63">
        <v>2</v>
      </c>
      <c r="F37" s="63">
        <v>1</v>
      </c>
      <c r="G37" s="27" t="s">
        <v>779</v>
      </c>
      <c r="H37" s="27"/>
      <c r="I37" s="27"/>
      <c r="J37" s="17"/>
      <c r="K37" s="17"/>
      <c r="L37" s="17"/>
      <c r="M37" s="17"/>
      <c r="N37" s="17"/>
      <c r="O37" s="17"/>
      <c r="P37" s="17"/>
      <c r="Q37" s="17"/>
    </row>
    <row r="38" spans="1:17" x14ac:dyDescent="0.3">
      <c r="A38" s="27" t="s">
        <v>104</v>
      </c>
      <c r="B38" s="27" t="s">
        <v>571</v>
      </c>
      <c r="C38" s="27" t="s">
        <v>614</v>
      </c>
      <c r="D38" s="27"/>
      <c r="E38" s="63">
        <v>1</v>
      </c>
      <c r="F38" s="63">
        <v>1</v>
      </c>
      <c r="G38" s="27" t="s">
        <v>574</v>
      </c>
      <c r="H38" s="27"/>
      <c r="I38" s="27"/>
      <c r="J38" s="17"/>
      <c r="K38" s="17"/>
      <c r="L38" s="17"/>
      <c r="M38" s="17"/>
      <c r="N38" s="17"/>
      <c r="O38" s="17"/>
      <c r="P38" s="17"/>
      <c r="Q38" s="17"/>
    </row>
    <row r="39" spans="1:17" x14ac:dyDescent="0.3">
      <c r="A39" t="s">
        <v>104</v>
      </c>
      <c r="B39" t="s">
        <v>275</v>
      </c>
      <c r="C39" t="s">
        <v>658</v>
      </c>
      <c r="E39" s="15">
        <v>1</v>
      </c>
      <c r="F39" s="15"/>
      <c r="G39" t="s">
        <v>10</v>
      </c>
    </row>
    <row r="40" spans="1:17" x14ac:dyDescent="0.3">
      <c r="A40" t="s">
        <v>104</v>
      </c>
      <c r="B40" t="s">
        <v>278</v>
      </c>
      <c r="C40" t="s">
        <v>659</v>
      </c>
      <c r="E40" s="15">
        <v>1</v>
      </c>
      <c r="F40" s="15">
        <v>1</v>
      </c>
      <c r="G40" t="s">
        <v>11</v>
      </c>
    </row>
    <row r="41" spans="1:17" x14ac:dyDescent="0.3">
      <c r="A41" t="s">
        <v>104</v>
      </c>
      <c r="B41" s="27" t="s">
        <v>610</v>
      </c>
      <c r="C41" t="s">
        <v>784</v>
      </c>
      <c r="E41" s="15">
        <v>1</v>
      </c>
      <c r="F41" s="15">
        <v>1</v>
      </c>
      <c r="G41" t="s">
        <v>280</v>
      </c>
    </row>
    <row r="42" spans="1:17" x14ac:dyDescent="0.3">
      <c r="A42" t="s">
        <v>104</v>
      </c>
      <c r="B42" t="s">
        <v>283</v>
      </c>
      <c r="C42" t="s">
        <v>285</v>
      </c>
      <c r="E42" s="15">
        <v>0</v>
      </c>
      <c r="F42" s="15">
        <v>0</v>
      </c>
      <c r="G42" t="s">
        <v>12</v>
      </c>
    </row>
    <row r="43" spans="1:17" x14ac:dyDescent="0.3">
      <c r="A43" t="s">
        <v>104</v>
      </c>
      <c r="B43" t="s">
        <v>287</v>
      </c>
      <c r="C43" t="s">
        <v>288</v>
      </c>
      <c r="E43" s="15">
        <v>1</v>
      </c>
      <c r="F43" s="15"/>
      <c r="G43" t="s">
        <v>13</v>
      </c>
    </row>
    <row r="44" spans="1:17" x14ac:dyDescent="0.3">
      <c r="A44" t="s">
        <v>104</v>
      </c>
      <c r="B44" t="s">
        <v>743</v>
      </c>
      <c r="C44" t="s">
        <v>750</v>
      </c>
      <c r="E44" s="15">
        <v>0</v>
      </c>
      <c r="F44" s="15">
        <v>0</v>
      </c>
      <c r="G44" t="s">
        <v>752</v>
      </c>
    </row>
    <row r="45" spans="1:17" x14ac:dyDescent="0.3">
      <c r="A45" t="s">
        <v>104</v>
      </c>
      <c r="B45" s="1" t="s">
        <v>701</v>
      </c>
      <c r="C45" t="s">
        <v>703</v>
      </c>
      <c r="E45" s="15">
        <v>2</v>
      </c>
      <c r="F45" s="15">
        <v>1</v>
      </c>
      <c r="G45" t="s">
        <v>702</v>
      </c>
    </row>
    <row r="46" spans="1:17" x14ac:dyDescent="0.3">
      <c r="A46" t="s">
        <v>104</v>
      </c>
      <c r="B46" s="73" t="s">
        <v>712</v>
      </c>
      <c r="C46" s="73" t="s">
        <v>716</v>
      </c>
      <c r="E46" s="15"/>
      <c r="F46" s="15">
        <v>1</v>
      </c>
      <c r="G46" t="s">
        <v>713</v>
      </c>
    </row>
    <row r="47" spans="1:17" x14ac:dyDescent="0.3">
      <c r="A47" t="s">
        <v>104</v>
      </c>
      <c r="B47" t="s">
        <v>289</v>
      </c>
      <c r="C47" t="s">
        <v>660</v>
      </c>
      <c r="E47" s="15">
        <v>1</v>
      </c>
      <c r="F47" s="15"/>
      <c r="G47" t="s">
        <v>15</v>
      </c>
    </row>
    <row r="48" spans="1:17" x14ac:dyDescent="0.3">
      <c r="A48" t="s">
        <v>104</v>
      </c>
      <c r="B48" t="s">
        <v>293</v>
      </c>
      <c r="C48" t="s">
        <v>661</v>
      </c>
      <c r="E48" s="15">
        <v>1</v>
      </c>
      <c r="F48" s="15"/>
      <c r="G48" t="s">
        <v>16</v>
      </c>
    </row>
    <row r="49" spans="1:17" x14ac:dyDescent="0.3">
      <c r="A49" t="s">
        <v>104</v>
      </c>
      <c r="B49" t="s">
        <v>295</v>
      </c>
      <c r="C49" t="s">
        <v>296</v>
      </c>
      <c r="E49" s="15"/>
      <c r="F49" s="15">
        <v>1</v>
      </c>
      <c r="G49" t="s">
        <v>626</v>
      </c>
    </row>
    <row r="50" spans="1:17" x14ac:dyDescent="0.3">
      <c r="A50" t="s">
        <v>104</v>
      </c>
      <c r="B50" t="s">
        <v>17</v>
      </c>
      <c r="C50" t="s">
        <v>297</v>
      </c>
      <c r="E50" s="15">
        <v>0</v>
      </c>
      <c r="F50" s="15">
        <v>0</v>
      </c>
      <c r="G50" t="s">
        <v>18</v>
      </c>
    </row>
    <row r="51" spans="1:17" x14ac:dyDescent="0.3">
      <c r="A51" t="s">
        <v>104</v>
      </c>
      <c r="B51" t="s">
        <v>746</v>
      </c>
      <c r="C51" t="s">
        <v>751</v>
      </c>
      <c r="E51" s="15">
        <v>0</v>
      </c>
      <c r="F51" s="15">
        <v>0</v>
      </c>
      <c r="G51" t="s">
        <v>745</v>
      </c>
    </row>
    <row r="52" spans="1:17" x14ac:dyDescent="0.3">
      <c r="A52" t="s">
        <v>104</v>
      </c>
      <c r="B52" t="s">
        <v>298</v>
      </c>
      <c r="C52" t="s">
        <v>301</v>
      </c>
      <c r="E52" s="15">
        <v>1</v>
      </c>
      <c r="F52" s="15"/>
      <c r="G52" t="s">
        <v>19</v>
      </c>
    </row>
    <row r="53" spans="1:17" x14ac:dyDescent="0.3">
      <c r="A53" t="s">
        <v>104</v>
      </c>
      <c r="B53" t="s">
        <v>20</v>
      </c>
      <c r="C53" t="s">
        <v>370</v>
      </c>
      <c r="E53" s="15">
        <v>0</v>
      </c>
      <c r="F53" s="15">
        <v>0</v>
      </c>
      <c r="G53" t="s">
        <v>21</v>
      </c>
    </row>
    <row r="54" spans="1:17" x14ac:dyDescent="0.3">
      <c r="A54" t="s">
        <v>104</v>
      </c>
      <c r="B54" t="s">
        <v>381</v>
      </c>
      <c r="C54" t="s">
        <v>382</v>
      </c>
      <c r="E54" s="15">
        <v>1</v>
      </c>
      <c r="F54" s="15">
        <v>1</v>
      </c>
      <c r="G54" t="s">
        <v>681</v>
      </c>
    </row>
    <row r="55" spans="1:17" x14ac:dyDescent="0.3">
      <c r="A55" t="s">
        <v>104</v>
      </c>
      <c r="B55" t="s">
        <v>383</v>
      </c>
      <c r="C55" t="s">
        <v>384</v>
      </c>
      <c r="E55" s="15">
        <v>1</v>
      </c>
      <c r="F55" s="15">
        <v>1</v>
      </c>
      <c r="G55" t="s">
        <v>22</v>
      </c>
    </row>
    <row r="56" spans="1:17" x14ac:dyDescent="0.3">
      <c r="A56" t="s">
        <v>104</v>
      </c>
      <c r="B56" t="s">
        <v>511</v>
      </c>
      <c r="C56" t="s">
        <v>385</v>
      </c>
      <c r="E56" s="15">
        <v>2</v>
      </c>
      <c r="F56" s="15"/>
      <c r="G56" t="s">
        <v>23</v>
      </c>
    </row>
    <row r="57" spans="1:17" x14ac:dyDescent="0.3">
      <c r="A57" t="s">
        <v>104</v>
      </c>
      <c r="B57" t="s">
        <v>512</v>
      </c>
      <c r="C57" t="s">
        <v>515</v>
      </c>
      <c r="E57" s="15">
        <v>2</v>
      </c>
      <c r="F57" s="15"/>
      <c r="G57" t="s">
        <v>24</v>
      </c>
    </row>
    <row r="58" spans="1:17" x14ac:dyDescent="0.3">
      <c r="A58" t="s">
        <v>104</v>
      </c>
      <c r="B58" s="1" t="s">
        <v>697</v>
      </c>
      <c r="C58" t="s">
        <v>689</v>
      </c>
      <c r="E58" s="15">
        <v>2</v>
      </c>
      <c r="F58" s="15">
        <v>1</v>
      </c>
      <c r="G58" t="s">
        <v>698</v>
      </c>
      <c r="Q58" s="4" t="s">
        <v>514</v>
      </c>
    </row>
    <row r="59" spans="1:17" x14ac:dyDescent="0.3">
      <c r="A59" t="s">
        <v>104</v>
      </c>
      <c r="B59" s="73" t="s">
        <v>710</v>
      </c>
      <c r="C59" s="73" t="s">
        <v>717</v>
      </c>
      <c r="E59" s="15"/>
      <c r="F59" s="15">
        <v>1</v>
      </c>
      <c r="G59" t="s">
        <v>711</v>
      </c>
    </row>
    <row r="60" spans="1:17" x14ac:dyDescent="0.3">
      <c r="A60" t="s">
        <v>104</v>
      </c>
      <c r="B60" t="s">
        <v>567</v>
      </c>
      <c r="C60" t="s">
        <v>665</v>
      </c>
      <c r="E60" s="15">
        <v>1</v>
      </c>
      <c r="F60" s="15"/>
      <c r="G60" t="s">
        <v>568</v>
      </c>
    </row>
    <row r="61" spans="1:17" x14ac:dyDescent="0.3">
      <c r="A61" t="s">
        <v>104</v>
      </c>
      <c r="B61" t="s">
        <v>738</v>
      </c>
      <c r="C61" t="s">
        <v>740</v>
      </c>
      <c r="E61" s="15">
        <v>1</v>
      </c>
      <c r="F61" s="15"/>
      <c r="G61" t="s">
        <v>739</v>
      </c>
    </row>
    <row r="62" spans="1:17" x14ac:dyDescent="0.3">
      <c r="A62" t="s">
        <v>104</v>
      </c>
      <c r="B62" t="s">
        <v>422</v>
      </c>
      <c r="C62" t="s">
        <v>662</v>
      </c>
      <c r="E62" s="15">
        <v>1</v>
      </c>
      <c r="F62" s="15"/>
      <c r="G62" t="s">
        <v>27</v>
      </c>
    </row>
    <row r="63" spans="1:17" x14ac:dyDescent="0.3">
      <c r="A63" t="s">
        <v>104</v>
      </c>
      <c r="B63" t="s">
        <v>25</v>
      </c>
      <c r="C63" t="s">
        <v>425</v>
      </c>
      <c r="E63" s="15">
        <v>0</v>
      </c>
      <c r="F63" s="15">
        <v>0</v>
      </c>
      <c r="G63" t="s">
        <v>26</v>
      </c>
    </row>
    <row r="64" spans="1:17" x14ac:dyDescent="0.3">
      <c r="A64" t="s">
        <v>104</v>
      </c>
      <c r="B64" t="s">
        <v>28</v>
      </c>
      <c r="C64" t="s">
        <v>408</v>
      </c>
      <c r="E64" s="15">
        <v>0</v>
      </c>
      <c r="F64" s="15">
        <v>0</v>
      </c>
      <c r="G64" t="s">
        <v>29</v>
      </c>
    </row>
    <row r="65" spans="1:17" x14ac:dyDescent="0.3">
      <c r="A65" t="s">
        <v>104</v>
      </c>
      <c r="B65" s="73" t="s">
        <v>545</v>
      </c>
      <c r="C65" s="73" t="s">
        <v>650</v>
      </c>
      <c r="E65" s="15"/>
      <c r="F65" s="15">
        <v>1</v>
      </c>
      <c r="G65" t="s">
        <v>546</v>
      </c>
    </row>
    <row r="66" spans="1:17" x14ac:dyDescent="0.3">
      <c r="A66" t="s">
        <v>104</v>
      </c>
      <c r="B66" s="1" t="s">
        <v>497</v>
      </c>
      <c r="C66" t="s">
        <v>692</v>
      </c>
      <c r="E66" s="15">
        <v>2</v>
      </c>
      <c r="F66" s="15"/>
      <c r="G66" t="s">
        <v>30</v>
      </c>
      <c r="Q66" s="4" t="s">
        <v>498</v>
      </c>
    </row>
    <row r="67" spans="1:17" x14ac:dyDescent="0.3">
      <c r="A67" t="s">
        <v>104</v>
      </c>
      <c r="B67" s="1" t="s">
        <v>562</v>
      </c>
      <c r="C67" t="s">
        <v>591</v>
      </c>
      <c r="E67" s="15"/>
      <c r="F67" s="15">
        <v>1</v>
      </c>
      <c r="G67" t="s">
        <v>558</v>
      </c>
    </row>
    <row r="68" spans="1:17" x14ac:dyDescent="0.3">
      <c r="A68" t="s">
        <v>104</v>
      </c>
      <c r="B68" s="1" t="s">
        <v>527</v>
      </c>
      <c r="C68" t="s">
        <v>664</v>
      </c>
      <c r="E68" s="15">
        <v>1</v>
      </c>
      <c r="F68" s="15">
        <v>1</v>
      </c>
      <c r="G68" t="s">
        <v>528</v>
      </c>
    </row>
    <row r="69" spans="1:17" x14ac:dyDescent="0.3">
      <c r="A69" t="s">
        <v>104</v>
      </c>
      <c r="B69" s="1" t="s">
        <v>729</v>
      </c>
      <c r="C69" t="s">
        <v>731</v>
      </c>
      <c r="E69" s="15">
        <v>1</v>
      </c>
      <c r="F69" s="15"/>
      <c r="G69" t="s">
        <v>732</v>
      </c>
    </row>
    <row r="70" spans="1:17" x14ac:dyDescent="0.3">
      <c r="A70" t="s">
        <v>104</v>
      </c>
      <c r="B70" s="1" t="s">
        <v>611</v>
      </c>
      <c r="C70" t="s">
        <v>783</v>
      </c>
      <c r="E70" s="15">
        <v>1</v>
      </c>
      <c r="F70" s="15">
        <v>1</v>
      </c>
      <c r="G70" t="s">
        <v>605</v>
      </c>
    </row>
    <row r="71" spans="1:17" x14ac:dyDescent="0.3">
      <c r="A71" t="s">
        <v>104</v>
      </c>
      <c r="B71" t="s">
        <v>753</v>
      </c>
      <c r="C71" t="s">
        <v>756</v>
      </c>
      <c r="E71" s="15">
        <v>1</v>
      </c>
      <c r="F71" s="15"/>
      <c r="G71" t="s">
        <v>757</v>
      </c>
    </row>
    <row r="72" spans="1:17" x14ac:dyDescent="0.3">
      <c r="A72" t="s">
        <v>104</v>
      </c>
      <c r="B72" t="s">
        <v>31</v>
      </c>
      <c r="C72" t="s">
        <v>411</v>
      </c>
      <c r="E72" s="15">
        <v>0</v>
      </c>
      <c r="F72" s="15">
        <v>0</v>
      </c>
      <c r="G72" t="s">
        <v>32</v>
      </c>
    </row>
    <row r="73" spans="1:17" x14ac:dyDescent="0.3">
      <c r="A73" t="s">
        <v>104</v>
      </c>
      <c r="B73" t="s">
        <v>33</v>
      </c>
      <c r="C73" t="s">
        <v>409</v>
      </c>
      <c r="E73" s="15">
        <v>0</v>
      </c>
      <c r="F73" s="15">
        <v>0</v>
      </c>
      <c r="G73" t="s">
        <v>34</v>
      </c>
    </row>
    <row r="74" spans="1:17" x14ac:dyDescent="0.3">
      <c r="A74" t="s">
        <v>104</v>
      </c>
      <c r="B74" t="s">
        <v>436</v>
      </c>
      <c r="C74" t="s">
        <v>435</v>
      </c>
      <c r="E74" s="15">
        <v>1</v>
      </c>
      <c r="F74" s="15">
        <v>1</v>
      </c>
      <c r="G74" t="s">
        <v>36</v>
      </c>
    </row>
    <row r="75" spans="1:17" x14ac:dyDescent="0.3">
      <c r="A75" t="s">
        <v>104</v>
      </c>
      <c r="B75" t="s">
        <v>37</v>
      </c>
      <c r="C75" t="s">
        <v>410</v>
      </c>
      <c r="E75" s="15">
        <v>0</v>
      </c>
      <c r="F75" s="15">
        <v>0</v>
      </c>
      <c r="G75" t="s">
        <v>38</v>
      </c>
    </row>
    <row r="76" spans="1:17" x14ac:dyDescent="0.3">
      <c r="A76" t="s">
        <v>104</v>
      </c>
      <c r="B76" t="s">
        <v>615</v>
      </c>
      <c r="C76" t="s">
        <v>619</v>
      </c>
      <c r="D76" s="95"/>
      <c r="E76" s="15">
        <v>0</v>
      </c>
      <c r="F76" s="15">
        <v>0</v>
      </c>
      <c r="G76" t="s">
        <v>618</v>
      </c>
    </row>
    <row r="77" spans="1:17" x14ac:dyDescent="0.3">
      <c r="A77" t="s">
        <v>104</v>
      </c>
      <c r="B77" t="s">
        <v>438</v>
      </c>
      <c r="C77" t="s">
        <v>439</v>
      </c>
      <c r="E77" s="15">
        <v>2</v>
      </c>
      <c r="F77" s="15">
        <v>1</v>
      </c>
      <c r="G77" t="s">
        <v>42</v>
      </c>
    </row>
    <row r="78" spans="1:17" x14ac:dyDescent="0.3">
      <c r="A78" t="s">
        <v>104</v>
      </c>
      <c r="B78" s="1" t="s">
        <v>704</v>
      </c>
      <c r="C78" t="s">
        <v>705</v>
      </c>
      <c r="E78" s="15">
        <v>2</v>
      </c>
      <c r="F78" s="15">
        <v>1</v>
      </c>
      <c r="G78" t="s">
        <v>706</v>
      </c>
      <c r="Q78" s="4" t="s">
        <v>514</v>
      </c>
    </row>
    <row r="79" spans="1:17" x14ac:dyDescent="0.3">
      <c r="A79" t="s">
        <v>104</v>
      </c>
      <c r="B79" s="73" t="s">
        <v>714</v>
      </c>
      <c r="C79" s="73" t="s">
        <v>718</v>
      </c>
      <c r="E79" s="15"/>
      <c r="F79" s="15">
        <v>1</v>
      </c>
      <c r="G79" t="s">
        <v>715</v>
      </c>
    </row>
    <row r="80" spans="1:17" x14ac:dyDescent="0.3">
      <c r="A80" t="s">
        <v>104</v>
      </c>
      <c r="B80" t="s">
        <v>6</v>
      </c>
      <c r="C80" t="s">
        <v>442</v>
      </c>
      <c r="E80" s="15">
        <v>0</v>
      </c>
      <c r="F80" s="15">
        <v>0</v>
      </c>
      <c r="G80" t="s">
        <v>7</v>
      </c>
    </row>
    <row r="81" spans="1:17" x14ac:dyDescent="0.3">
      <c r="A81" t="s">
        <v>104</v>
      </c>
      <c r="B81" s="1" t="s">
        <v>466</v>
      </c>
      <c r="C81" t="s">
        <v>690</v>
      </c>
      <c r="E81" s="15">
        <v>2</v>
      </c>
      <c r="F81" s="15">
        <v>1</v>
      </c>
      <c r="G81" t="s">
        <v>465</v>
      </c>
      <c r="Q81" s="4" t="s">
        <v>499</v>
      </c>
    </row>
    <row r="82" spans="1:17" x14ac:dyDescent="0.3">
      <c r="A82" t="s">
        <v>104</v>
      </c>
      <c r="B82" t="s">
        <v>461</v>
      </c>
      <c r="C82" t="s">
        <v>464</v>
      </c>
      <c r="E82" s="15">
        <v>0</v>
      </c>
      <c r="F82" s="15">
        <v>0</v>
      </c>
      <c r="G82" t="s">
        <v>463</v>
      </c>
    </row>
    <row r="83" spans="1:17" x14ac:dyDescent="0.3">
      <c r="A83" t="s">
        <v>104</v>
      </c>
      <c r="B83" t="s">
        <v>39</v>
      </c>
      <c r="C83" t="s">
        <v>524</v>
      </c>
      <c r="E83" s="15">
        <v>0</v>
      </c>
      <c r="F83" s="15">
        <v>0</v>
      </c>
      <c r="G83" t="s">
        <v>40</v>
      </c>
    </row>
    <row r="84" spans="1:17" x14ac:dyDescent="0.3">
      <c r="A84" t="s">
        <v>104</v>
      </c>
      <c r="B84" t="s">
        <v>553</v>
      </c>
      <c r="C84" t="s">
        <v>556</v>
      </c>
      <c r="E84" s="15">
        <v>1</v>
      </c>
      <c r="F84" s="15">
        <v>1</v>
      </c>
      <c r="G84" t="s">
        <v>554</v>
      </c>
    </row>
    <row r="85" spans="1:17" x14ac:dyDescent="0.3">
      <c r="A85" t="s">
        <v>104</v>
      </c>
      <c r="B85" t="s">
        <v>448</v>
      </c>
      <c r="C85" t="s">
        <v>447</v>
      </c>
      <c r="E85" s="15">
        <v>2</v>
      </c>
      <c r="F85" s="15"/>
      <c r="G85" t="s">
        <v>43</v>
      </c>
    </row>
    <row r="86" spans="1:17" x14ac:dyDescent="0.3">
      <c r="A86" t="s">
        <v>104</v>
      </c>
      <c r="B86" t="s">
        <v>725</v>
      </c>
      <c r="C86" t="s">
        <v>727</v>
      </c>
      <c r="E86" s="15">
        <v>1</v>
      </c>
      <c r="F86" s="15"/>
      <c r="G86" t="s">
        <v>679</v>
      </c>
    </row>
    <row r="87" spans="1:17" x14ac:dyDescent="0.3">
      <c r="A87" t="s">
        <v>104</v>
      </c>
      <c r="B87" t="s">
        <v>724</v>
      </c>
      <c r="C87" t="s">
        <v>728</v>
      </c>
      <c r="E87" s="15">
        <v>1</v>
      </c>
      <c r="F87" s="15"/>
      <c r="G87" t="s">
        <v>679</v>
      </c>
    </row>
    <row r="88" spans="1:17" x14ac:dyDescent="0.3">
      <c r="A88" t="s">
        <v>104</v>
      </c>
      <c r="B88" t="s">
        <v>450</v>
      </c>
      <c r="C88" t="s">
        <v>663</v>
      </c>
      <c r="E88" s="15">
        <v>1</v>
      </c>
      <c r="F88" s="15"/>
      <c r="G88" t="s">
        <v>50</v>
      </c>
    </row>
    <row r="89" spans="1:17" x14ac:dyDescent="0.3">
      <c r="A89" t="s">
        <v>104</v>
      </c>
      <c r="B89" t="s">
        <v>44</v>
      </c>
      <c r="C89" t="s">
        <v>371</v>
      </c>
      <c r="E89" s="15">
        <v>0</v>
      </c>
      <c r="F89" s="15">
        <v>0</v>
      </c>
      <c r="G89" t="s">
        <v>45</v>
      </c>
    </row>
    <row r="90" spans="1:17" x14ac:dyDescent="0.3">
      <c r="A90" t="s">
        <v>104</v>
      </c>
      <c r="B90" t="s">
        <v>46</v>
      </c>
      <c r="C90" t="s">
        <v>417</v>
      </c>
      <c r="D90" t="s">
        <v>48</v>
      </c>
      <c r="E90" s="15">
        <v>0</v>
      </c>
      <c r="F90" s="15">
        <v>0</v>
      </c>
      <c r="G90" t="s">
        <v>47</v>
      </c>
    </row>
    <row r="91" spans="1:17" x14ac:dyDescent="0.3">
      <c r="A91" t="s">
        <v>104</v>
      </c>
      <c r="B91" t="s">
        <v>612</v>
      </c>
      <c r="C91" t="s">
        <v>785</v>
      </c>
      <c r="E91" s="15">
        <v>1</v>
      </c>
      <c r="F91" s="15"/>
      <c r="G91" t="s">
        <v>613</v>
      </c>
    </row>
    <row r="92" spans="1:17" x14ac:dyDescent="0.3">
      <c r="A92" t="s">
        <v>104</v>
      </c>
      <c r="B92" t="s">
        <v>787</v>
      </c>
      <c r="C92" t="s">
        <v>788</v>
      </c>
      <c r="E92" s="15">
        <v>1</v>
      </c>
      <c r="F92" s="15"/>
      <c r="G92" t="s">
        <v>789</v>
      </c>
    </row>
    <row r="93" spans="1:17" x14ac:dyDescent="0.3">
      <c r="A93" t="s">
        <v>104</v>
      </c>
      <c r="B93" t="s">
        <v>51</v>
      </c>
      <c r="C93" t="s">
        <v>412</v>
      </c>
      <c r="E93" s="15">
        <v>0</v>
      </c>
      <c r="F93" s="15">
        <v>0</v>
      </c>
      <c r="G93" t="s">
        <v>52</v>
      </c>
    </row>
    <row r="94" spans="1:17" x14ac:dyDescent="0.3">
      <c r="A94" t="s">
        <v>104</v>
      </c>
      <c r="B94" t="s">
        <v>53</v>
      </c>
      <c r="C94" t="s">
        <v>413</v>
      </c>
      <c r="E94" s="15">
        <v>0</v>
      </c>
      <c r="F94" s="15">
        <v>0</v>
      </c>
      <c r="G94" t="s">
        <v>54</v>
      </c>
    </row>
    <row r="95" spans="1:17" x14ac:dyDescent="0.3">
      <c r="A95" t="s">
        <v>104</v>
      </c>
      <c r="B95" t="s">
        <v>452</v>
      </c>
      <c r="C95" t="s">
        <v>453</v>
      </c>
      <c r="E95" s="15">
        <v>0</v>
      </c>
      <c r="F95" s="15">
        <v>0</v>
      </c>
      <c r="G95" t="s">
        <v>55</v>
      </c>
    </row>
    <row r="96" spans="1:17" x14ac:dyDescent="0.3">
      <c r="A96" t="s">
        <v>104</v>
      </c>
      <c r="B96" t="s">
        <v>775</v>
      </c>
      <c r="C96" t="s">
        <v>774</v>
      </c>
      <c r="E96" s="15">
        <v>2</v>
      </c>
      <c r="F96" s="15">
        <v>1</v>
      </c>
      <c r="G96" s="27" t="s">
        <v>776</v>
      </c>
    </row>
    <row r="97" spans="1:7" x14ac:dyDescent="0.3">
      <c r="A97" t="s">
        <v>104</v>
      </c>
      <c r="B97" t="s">
        <v>573</v>
      </c>
      <c r="C97" t="s">
        <v>772</v>
      </c>
      <c r="E97" s="15">
        <v>1</v>
      </c>
      <c r="F97" s="15">
        <v>1</v>
      </c>
      <c r="G97" s="27" t="s">
        <v>773</v>
      </c>
    </row>
    <row r="98" spans="1:7" x14ac:dyDescent="0.3">
      <c r="A98" t="s">
        <v>104</v>
      </c>
      <c r="B98" t="s">
        <v>458</v>
      </c>
      <c r="C98" t="s">
        <v>666</v>
      </c>
      <c r="E98" s="15">
        <v>1</v>
      </c>
      <c r="F98" s="15">
        <v>1</v>
      </c>
      <c r="G98" t="s">
        <v>57</v>
      </c>
    </row>
    <row r="99" spans="1:7" x14ac:dyDescent="0.3">
      <c r="A99" t="s">
        <v>104</v>
      </c>
      <c r="B99" t="s">
        <v>459</v>
      </c>
      <c r="C99" t="s">
        <v>667</v>
      </c>
      <c r="E99" s="15">
        <v>1</v>
      </c>
      <c r="F99" s="15"/>
      <c r="G99" t="s">
        <v>58</v>
      </c>
    </row>
    <row r="100" spans="1:7" x14ac:dyDescent="0.3">
      <c r="A100" t="s">
        <v>104</v>
      </c>
      <c r="B100" t="s">
        <v>734</v>
      </c>
      <c r="C100" t="s">
        <v>735</v>
      </c>
      <c r="E100" s="15">
        <v>1</v>
      </c>
      <c r="F100" s="15"/>
      <c r="G100" t="s">
        <v>736</v>
      </c>
    </row>
    <row r="101" spans="1:7" x14ac:dyDescent="0.3">
      <c r="A101" t="s">
        <v>104</v>
      </c>
      <c r="B101" t="s">
        <v>364</v>
      </c>
      <c r="C101" t="s">
        <v>372</v>
      </c>
      <c r="E101" s="15">
        <v>1</v>
      </c>
      <c r="F101" s="15"/>
      <c r="G101" t="s">
        <v>62</v>
      </c>
    </row>
    <row r="102" spans="1:7" x14ac:dyDescent="0.3">
      <c r="A102" t="s">
        <v>104</v>
      </c>
      <c r="B102" t="s">
        <v>363</v>
      </c>
      <c r="C102" t="s">
        <v>525</v>
      </c>
      <c r="E102" s="15">
        <v>1</v>
      </c>
      <c r="F102" s="15">
        <v>1</v>
      </c>
      <c r="G102" t="s">
        <v>60</v>
      </c>
    </row>
    <row r="103" spans="1:7" x14ac:dyDescent="0.3">
      <c r="A103" t="s">
        <v>104</v>
      </c>
      <c r="B103" t="s">
        <v>791</v>
      </c>
      <c r="C103" t="s">
        <v>792</v>
      </c>
      <c r="E103" s="15">
        <v>1</v>
      </c>
      <c r="F103" s="15">
        <v>1</v>
      </c>
      <c r="G103" t="s">
        <v>793</v>
      </c>
    </row>
    <row r="104" spans="1:7" x14ac:dyDescent="0.3">
      <c r="A104" t="s">
        <v>104</v>
      </c>
      <c r="B104" t="s">
        <v>472</v>
      </c>
      <c r="C104" t="s">
        <v>668</v>
      </c>
      <c r="E104" s="15">
        <v>1</v>
      </c>
      <c r="F104" s="15"/>
      <c r="G104" t="s">
        <v>64</v>
      </c>
    </row>
    <row r="105" spans="1:7" x14ac:dyDescent="0.3">
      <c r="A105" t="s">
        <v>104</v>
      </c>
      <c r="B105" t="s">
        <v>473</v>
      </c>
      <c r="C105" t="s">
        <v>669</v>
      </c>
      <c r="E105" s="15">
        <v>1</v>
      </c>
      <c r="F105" s="15"/>
      <c r="G105" t="s">
        <v>66</v>
      </c>
    </row>
    <row r="106" spans="1:7" x14ac:dyDescent="0.3">
      <c r="A106" t="s">
        <v>104</v>
      </c>
      <c r="B106" t="s">
        <v>362</v>
      </c>
      <c r="C106" t="s">
        <v>563</v>
      </c>
      <c r="E106" s="15">
        <v>1</v>
      </c>
      <c r="F106" s="15">
        <v>1</v>
      </c>
      <c r="G106" t="s">
        <v>627</v>
      </c>
    </row>
    <row r="107" spans="1:7" x14ac:dyDescent="0.3">
      <c r="A107" t="s">
        <v>104</v>
      </c>
      <c r="B107" t="s">
        <v>548</v>
      </c>
      <c r="C107" t="s">
        <v>549</v>
      </c>
      <c r="E107" s="15"/>
      <c r="F107" s="15">
        <v>1</v>
      </c>
      <c r="G107" t="s">
        <v>550</v>
      </c>
    </row>
    <row r="108" spans="1:7" x14ac:dyDescent="0.3">
      <c r="A108" t="s">
        <v>104</v>
      </c>
      <c r="B108" t="s">
        <v>470</v>
      </c>
      <c r="C108" t="s">
        <v>469</v>
      </c>
      <c r="E108" s="15">
        <v>1</v>
      </c>
      <c r="F108" s="15"/>
      <c r="G108" t="s">
        <v>628</v>
      </c>
    </row>
    <row r="109" spans="1:7" x14ac:dyDescent="0.3">
      <c r="A109" t="s">
        <v>104</v>
      </c>
      <c r="B109" t="s">
        <v>480</v>
      </c>
      <c r="C109" t="s">
        <v>672</v>
      </c>
      <c r="E109" s="15">
        <v>1</v>
      </c>
      <c r="F109" s="15"/>
      <c r="G109" t="s">
        <v>70</v>
      </c>
    </row>
    <row r="110" spans="1:7" x14ac:dyDescent="0.3">
      <c r="A110" t="s">
        <v>104</v>
      </c>
      <c r="B110" t="s">
        <v>67</v>
      </c>
      <c r="C110" t="s">
        <v>471</v>
      </c>
      <c r="E110" s="15">
        <v>1</v>
      </c>
      <c r="F110" s="15"/>
      <c r="G110" t="s">
        <v>629</v>
      </c>
    </row>
    <row r="111" spans="1:7" x14ac:dyDescent="0.3">
      <c r="A111" t="s">
        <v>104</v>
      </c>
      <c r="B111" t="s">
        <v>68</v>
      </c>
      <c r="C111" t="s">
        <v>416</v>
      </c>
      <c r="E111" s="15">
        <v>0</v>
      </c>
      <c r="F111" s="15">
        <v>0</v>
      </c>
      <c r="G111" t="s">
        <v>69</v>
      </c>
    </row>
    <row r="112" spans="1:7" x14ac:dyDescent="0.3">
      <c r="A112" t="s">
        <v>104</v>
      </c>
      <c r="B112" t="s">
        <v>481</v>
      </c>
      <c r="C112" t="s">
        <v>673</v>
      </c>
      <c r="E112" s="15">
        <v>1</v>
      </c>
      <c r="F112" s="15"/>
      <c r="G112" t="s">
        <v>71</v>
      </c>
    </row>
    <row r="113" spans="1:17" x14ac:dyDescent="0.3">
      <c r="A113" t="s">
        <v>104</v>
      </c>
      <c r="B113" t="s">
        <v>482</v>
      </c>
      <c r="C113" t="s">
        <v>674</v>
      </c>
      <c r="E113" s="15">
        <v>1</v>
      </c>
      <c r="F113" s="15"/>
      <c r="G113" t="s">
        <v>72</v>
      </c>
    </row>
    <row r="114" spans="1:17" x14ac:dyDescent="0.3">
      <c r="A114" t="s">
        <v>104</v>
      </c>
      <c r="B114" t="s">
        <v>531</v>
      </c>
      <c r="C114" t="s">
        <v>676</v>
      </c>
      <c r="E114" s="15">
        <v>1</v>
      </c>
      <c r="F114" s="15"/>
    </row>
    <row r="115" spans="1:17" x14ac:dyDescent="0.3">
      <c r="A115" t="s">
        <v>104</v>
      </c>
      <c r="B115" t="s">
        <v>77</v>
      </c>
      <c r="C115" t="s">
        <v>414</v>
      </c>
      <c r="E115" s="15">
        <v>0</v>
      </c>
      <c r="F115" s="15">
        <v>0</v>
      </c>
      <c r="G115" t="s">
        <v>78</v>
      </c>
    </row>
    <row r="116" spans="1:17" x14ac:dyDescent="0.3">
      <c r="A116" t="s">
        <v>104</v>
      </c>
      <c r="B116" t="s">
        <v>484</v>
      </c>
      <c r="C116" t="s">
        <v>671</v>
      </c>
      <c r="E116" s="15">
        <v>1</v>
      </c>
      <c r="F116" s="15"/>
      <c r="G116" t="s">
        <v>74</v>
      </c>
    </row>
    <row r="117" spans="1:17" x14ac:dyDescent="0.3">
      <c r="A117" t="s">
        <v>104</v>
      </c>
      <c r="B117" t="s">
        <v>485</v>
      </c>
      <c r="C117" t="s">
        <v>670</v>
      </c>
      <c r="E117" s="15">
        <v>1</v>
      </c>
      <c r="F117" s="15"/>
      <c r="G117" t="s">
        <v>76</v>
      </c>
    </row>
    <row r="118" spans="1:17" x14ac:dyDescent="0.3">
      <c r="A118" t="s">
        <v>104</v>
      </c>
      <c r="B118" t="s">
        <v>483</v>
      </c>
      <c r="C118" t="s">
        <v>675</v>
      </c>
      <c r="E118" s="15">
        <v>1</v>
      </c>
      <c r="F118" s="15"/>
      <c r="G118" t="s">
        <v>72</v>
      </c>
    </row>
    <row r="119" spans="1:17" x14ac:dyDescent="0.3">
      <c r="A119" t="s">
        <v>104</v>
      </c>
      <c r="B119" t="s">
        <v>79</v>
      </c>
      <c r="C119" t="s">
        <v>415</v>
      </c>
      <c r="E119" s="15">
        <v>0</v>
      </c>
      <c r="F119" s="15">
        <v>0</v>
      </c>
      <c r="G119" t="s">
        <v>682</v>
      </c>
    </row>
    <row r="120" spans="1:17" x14ac:dyDescent="0.3">
      <c r="A120" t="s">
        <v>104</v>
      </c>
      <c r="B120" t="s">
        <v>595</v>
      </c>
      <c r="C120" t="s">
        <v>700</v>
      </c>
      <c r="E120" s="15">
        <v>2</v>
      </c>
      <c r="F120" s="15">
        <v>1</v>
      </c>
      <c r="G120" t="s">
        <v>597</v>
      </c>
      <c r="Q120" s="4" t="s">
        <v>596</v>
      </c>
    </row>
    <row r="121" spans="1:17" x14ac:dyDescent="0.3">
      <c r="A121" t="s">
        <v>104</v>
      </c>
      <c r="B121" t="s">
        <v>407</v>
      </c>
      <c r="C121" t="s">
        <v>416</v>
      </c>
      <c r="E121" s="15">
        <v>0</v>
      </c>
      <c r="F121" s="15">
        <v>0</v>
      </c>
    </row>
    <row r="122" spans="1:17" x14ac:dyDescent="0.3">
      <c r="A122" t="s">
        <v>104</v>
      </c>
      <c r="B122" t="s">
        <v>487</v>
      </c>
      <c r="C122" t="s">
        <v>486</v>
      </c>
      <c r="E122" s="15">
        <v>0</v>
      </c>
      <c r="F122" s="15">
        <v>0</v>
      </c>
      <c r="G122" t="s">
        <v>81</v>
      </c>
    </row>
    <row r="123" spans="1:17" x14ac:dyDescent="0.3">
      <c r="A123" t="s">
        <v>104</v>
      </c>
      <c r="B123" t="s">
        <v>421</v>
      </c>
      <c r="C123" t="s">
        <v>677</v>
      </c>
      <c r="E123" s="15">
        <v>1</v>
      </c>
      <c r="F123" s="15"/>
      <c r="G123" t="s">
        <v>82</v>
      </c>
    </row>
    <row r="124" spans="1:17" x14ac:dyDescent="0.3">
      <c r="A124" t="s">
        <v>104</v>
      </c>
      <c r="B124" t="s">
        <v>643</v>
      </c>
      <c r="C124" t="s">
        <v>644</v>
      </c>
      <c r="E124" s="15"/>
      <c r="F124" s="15">
        <v>1</v>
      </c>
      <c r="G124" t="s">
        <v>645</v>
      </c>
    </row>
    <row r="125" spans="1:17" x14ac:dyDescent="0.3">
      <c r="A125" t="s">
        <v>104</v>
      </c>
      <c r="B125" s="1" t="s">
        <v>501</v>
      </c>
      <c r="C125" t="s">
        <v>696</v>
      </c>
      <c r="E125" s="15">
        <v>1</v>
      </c>
      <c r="F125" s="15"/>
      <c r="G125" t="s">
        <v>83</v>
      </c>
      <c r="Q125" s="4" t="s">
        <v>691</v>
      </c>
    </row>
    <row r="126" spans="1:17" x14ac:dyDescent="0.3">
      <c r="A126" t="s">
        <v>104</v>
      </c>
      <c r="B126" t="s">
        <v>491</v>
      </c>
      <c r="C126" t="s">
        <v>589</v>
      </c>
      <c r="E126" s="15">
        <v>1</v>
      </c>
      <c r="F126" s="15"/>
      <c r="G126" t="s">
        <v>630</v>
      </c>
    </row>
    <row r="127" spans="1:17" x14ac:dyDescent="0.3">
      <c r="A127" t="s">
        <v>104</v>
      </c>
      <c r="B127" t="s">
        <v>492</v>
      </c>
      <c r="C127" t="s">
        <v>590</v>
      </c>
      <c r="E127" s="15">
        <v>1</v>
      </c>
      <c r="F127" s="15"/>
      <c r="G127" t="s">
        <v>631</v>
      </c>
    </row>
  </sheetData>
  <sortState xmlns:xlrd2="http://schemas.microsoft.com/office/spreadsheetml/2017/richdata2" ref="B14:J30">
    <sortCondition ref="B14:B30"/>
  </sortState>
  <phoneticPr fontId="5" type="noConversion"/>
  <hyperlinks>
    <hyperlink ref="C120" r:id="rId1" display="ClusteredData!BP2@CD146" xr:uid="{18A98199-EFC8-4148-B6EC-652B67FE481C}"/>
    <hyperlink ref="Q120" r:id="rId2" display="ClusteredData!BP2@CD146" xr:uid="{11BCEBC0-BDE2-45E6-A929-A5DA9E8336F3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0741C-DABA-4B15-A3B3-AB11F4B50F51}">
  <sheetPr>
    <tabColor rgb="FFFFC000"/>
  </sheetPr>
  <dimension ref="A1:AR24"/>
  <sheetViews>
    <sheetView zoomScale="91" zoomScaleNormal="91" workbookViewId="0">
      <selection activeCell="C5" sqref="C5:H5"/>
    </sheetView>
  </sheetViews>
  <sheetFormatPr defaultRowHeight="14.4" x14ac:dyDescent="0.3"/>
  <cols>
    <col min="1" max="1" width="40.33203125" bestFit="1" customWidth="1"/>
    <col min="10" max="10" width="11.33203125" bestFit="1" customWidth="1"/>
    <col min="14" max="14" width="10.88671875" bestFit="1" customWidth="1"/>
    <col min="31" max="31" width="11.6640625" bestFit="1" customWidth="1"/>
  </cols>
  <sheetData>
    <row r="1" spans="1:44" x14ac:dyDescent="0.3">
      <c r="A1" s="6" t="s">
        <v>127</v>
      </c>
      <c r="B1" s="6" t="s">
        <v>128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6"/>
      <c r="AA1" s="76"/>
      <c r="AB1" s="7"/>
      <c r="AC1" s="7"/>
      <c r="AD1" s="76"/>
      <c r="AE1" s="8"/>
    </row>
    <row r="2" spans="1:44" x14ac:dyDescent="0.3">
      <c r="A2" s="14" t="s">
        <v>126</v>
      </c>
      <c r="B2" s="9" t="s">
        <v>180</v>
      </c>
      <c r="C2" s="10" t="s">
        <v>181</v>
      </c>
      <c r="D2" s="10" t="s">
        <v>182</v>
      </c>
      <c r="E2" s="10" t="s">
        <v>183</v>
      </c>
      <c r="F2" s="12" t="s">
        <v>184</v>
      </c>
      <c r="G2" s="10" t="s">
        <v>185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3"/>
    </row>
    <row r="3" spans="1:44" x14ac:dyDescent="0.3">
      <c r="A3" s="14" t="s">
        <v>106</v>
      </c>
      <c r="B3" s="9" t="s">
        <v>147</v>
      </c>
      <c r="C3" s="10" t="s">
        <v>314</v>
      </c>
      <c r="D3" s="10" t="s">
        <v>315</v>
      </c>
      <c r="E3" s="10" t="s">
        <v>316</v>
      </c>
      <c r="F3" s="10" t="s">
        <v>317</v>
      </c>
      <c r="G3" s="10" t="s">
        <v>318</v>
      </c>
      <c r="H3" s="10" t="s">
        <v>319</v>
      </c>
      <c r="I3" s="10" t="s">
        <v>320</v>
      </c>
      <c r="J3" s="10" t="s">
        <v>321</v>
      </c>
      <c r="K3" s="10" t="s">
        <v>322</v>
      </c>
      <c r="L3" s="10" t="s">
        <v>323</v>
      </c>
      <c r="M3" s="10" t="s">
        <v>324</v>
      </c>
      <c r="N3" s="10" t="s">
        <v>325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1"/>
    </row>
    <row r="4" spans="1:44" x14ac:dyDescent="0.3">
      <c r="A4" s="14" t="s">
        <v>108</v>
      </c>
      <c r="B4" s="9" t="s">
        <v>146</v>
      </c>
      <c r="C4" s="10" t="s">
        <v>326</v>
      </c>
      <c r="D4" s="10" t="s">
        <v>327</v>
      </c>
      <c r="E4" s="10" t="s">
        <v>328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/>
    </row>
    <row r="5" spans="1:44" x14ac:dyDescent="0.3">
      <c r="A5" s="14" t="s">
        <v>110</v>
      </c>
      <c r="B5" s="9" t="s">
        <v>176</v>
      </c>
      <c r="C5" s="10" t="s">
        <v>186</v>
      </c>
      <c r="D5" s="10" t="s">
        <v>455</v>
      </c>
      <c r="E5" s="10" t="s">
        <v>187</v>
      </c>
      <c r="F5" s="10" t="s">
        <v>188</v>
      </c>
      <c r="G5" s="10" t="s">
        <v>190</v>
      </c>
      <c r="H5" s="10" t="s">
        <v>427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1"/>
      <c r="AF5" s="10" t="s">
        <v>84</v>
      </c>
      <c r="AG5" s="10" t="s">
        <v>85</v>
      </c>
      <c r="AH5" s="10" t="s">
        <v>89</v>
      </c>
    </row>
    <row r="6" spans="1:44" x14ac:dyDescent="0.3">
      <c r="A6" s="14" t="s">
        <v>112</v>
      </c>
      <c r="B6" s="9" t="s">
        <v>129</v>
      </c>
      <c r="C6" s="10" t="s">
        <v>84</v>
      </c>
      <c r="D6" s="10" t="s">
        <v>85</v>
      </c>
      <c r="E6" s="10" t="s">
        <v>86</v>
      </c>
      <c r="F6" s="10" t="s">
        <v>87</v>
      </c>
      <c r="G6" s="10" t="s">
        <v>88</v>
      </c>
      <c r="H6" s="12" t="s">
        <v>89</v>
      </c>
      <c r="I6" s="12" t="s">
        <v>90</v>
      </c>
      <c r="J6" s="12" t="s">
        <v>91</v>
      </c>
      <c r="K6" s="10" t="s">
        <v>92</v>
      </c>
      <c r="L6" s="10" t="s">
        <v>93</v>
      </c>
      <c r="M6" s="10" t="s">
        <v>94</v>
      </c>
      <c r="N6" s="10" t="s">
        <v>95</v>
      </c>
      <c r="O6" s="10" t="s">
        <v>96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1"/>
      <c r="AF6" s="10" t="s">
        <v>84</v>
      </c>
      <c r="AG6" s="10" t="s">
        <v>85</v>
      </c>
      <c r="AH6" s="10" t="s">
        <v>86</v>
      </c>
      <c r="AI6" s="10" t="s">
        <v>88</v>
      </c>
      <c r="AJ6" s="10" t="s">
        <v>87</v>
      </c>
      <c r="AK6" s="12" t="s">
        <v>89</v>
      </c>
      <c r="AL6" s="12" t="s">
        <v>90</v>
      </c>
      <c r="AM6" s="12" t="s">
        <v>91</v>
      </c>
      <c r="AN6" s="10" t="s">
        <v>92</v>
      </c>
      <c r="AO6" s="10" t="s">
        <v>93</v>
      </c>
      <c r="AP6" s="10" t="s">
        <v>94</v>
      </c>
      <c r="AQ6" s="10" t="s">
        <v>95</v>
      </c>
      <c r="AR6" s="10" t="s">
        <v>96</v>
      </c>
    </row>
    <row r="7" spans="1:44" x14ac:dyDescent="0.3">
      <c r="A7" s="14" t="s">
        <v>114</v>
      </c>
      <c r="B7" s="9" t="s">
        <v>148</v>
      </c>
      <c r="C7" s="10" t="s">
        <v>329</v>
      </c>
      <c r="D7" s="10" t="s">
        <v>330</v>
      </c>
      <c r="E7" s="10" t="s">
        <v>331</v>
      </c>
      <c r="F7" s="10" t="s">
        <v>332</v>
      </c>
      <c r="G7" s="10" t="s">
        <v>333</v>
      </c>
      <c r="H7" s="10" t="s">
        <v>334</v>
      </c>
      <c r="I7" s="10" t="s">
        <v>335</v>
      </c>
      <c r="J7" s="10" t="s">
        <v>336</v>
      </c>
      <c r="K7" s="10" t="s">
        <v>337</v>
      </c>
      <c r="L7" s="10" t="s">
        <v>338</v>
      </c>
      <c r="M7" s="10" t="s">
        <v>339</v>
      </c>
      <c r="N7" s="10" t="s">
        <v>340</v>
      </c>
      <c r="O7" s="10" t="s">
        <v>341</v>
      </c>
      <c r="P7" s="10" t="s">
        <v>342</v>
      </c>
      <c r="Q7" s="10" t="s">
        <v>343</v>
      </c>
      <c r="R7" s="10" t="s">
        <v>344</v>
      </c>
      <c r="S7" s="10" t="s">
        <v>345</v>
      </c>
      <c r="T7" s="10" t="s">
        <v>346</v>
      </c>
      <c r="U7" s="10" t="s">
        <v>347</v>
      </c>
      <c r="V7" s="10" t="s">
        <v>348</v>
      </c>
      <c r="W7" s="10" t="s">
        <v>349</v>
      </c>
      <c r="X7" s="10" t="s">
        <v>350</v>
      </c>
      <c r="Y7" s="10" t="s">
        <v>351</v>
      </c>
      <c r="Z7" s="10" t="s">
        <v>352</v>
      </c>
      <c r="AA7" s="10"/>
      <c r="AB7" s="10"/>
      <c r="AC7" s="10"/>
      <c r="AD7" s="10"/>
      <c r="AE7" s="11"/>
    </row>
    <row r="8" spans="1:44" x14ac:dyDescent="0.3">
      <c r="A8" s="14" t="s">
        <v>116</v>
      </c>
      <c r="B8" s="9" t="s">
        <v>177</v>
      </c>
      <c r="C8" s="10" t="s">
        <v>191</v>
      </c>
      <c r="D8" s="10" t="s">
        <v>192</v>
      </c>
      <c r="E8" s="10" t="s">
        <v>193</v>
      </c>
      <c r="F8" s="10" t="s">
        <v>194</v>
      </c>
      <c r="G8" s="10" t="s">
        <v>195</v>
      </c>
      <c r="H8" s="10" t="s">
        <v>196</v>
      </c>
      <c r="I8" s="10" t="s">
        <v>197</v>
      </c>
      <c r="J8" s="10" t="s">
        <v>198</v>
      </c>
      <c r="K8" s="10" t="s">
        <v>199</v>
      </c>
      <c r="L8" s="10" t="s">
        <v>200</v>
      </c>
      <c r="M8" s="10" t="s">
        <v>201</v>
      </c>
      <c r="N8" s="10" t="s">
        <v>202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1"/>
      <c r="AG8" t="s">
        <v>189</v>
      </c>
    </row>
    <row r="9" spans="1:44" x14ac:dyDescent="0.3">
      <c r="A9" s="14" t="s">
        <v>118</v>
      </c>
      <c r="B9" s="9" t="s">
        <v>178</v>
      </c>
      <c r="C9" s="10" t="s">
        <v>130</v>
      </c>
      <c r="D9" s="10" t="s">
        <v>131</v>
      </c>
      <c r="E9" s="10" t="s">
        <v>213</v>
      </c>
      <c r="F9" s="10" t="s">
        <v>133</v>
      </c>
      <c r="G9" s="10" t="s">
        <v>214</v>
      </c>
      <c r="H9" s="10" t="s">
        <v>654</v>
      </c>
      <c r="I9" s="10" t="s">
        <v>207</v>
      </c>
      <c r="J9" s="10" t="s">
        <v>208</v>
      </c>
      <c r="K9" s="10" t="s">
        <v>210</v>
      </c>
      <c r="L9" s="12" t="s">
        <v>132</v>
      </c>
      <c r="M9" s="12" t="s">
        <v>291</v>
      </c>
      <c r="N9" s="12" t="s">
        <v>583</v>
      </c>
      <c r="O9" s="10" t="s">
        <v>98</v>
      </c>
      <c r="P9" s="10" t="s">
        <v>99</v>
      </c>
      <c r="Q9" s="10" t="s">
        <v>97</v>
      </c>
      <c r="R9" s="10" t="s">
        <v>584</v>
      </c>
      <c r="S9" s="10" t="s">
        <v>143</v>
      </c>
      <c r="T9" s="10" t="s">
        <v>144</v>
      </c>
      <c r="U9" s="10" t="s">
        <v>139</v>
      </c>
      <c r="V9" s="10" t="s">
        <v>140</v>
      </c>
      <c r="W9" s="10" t="s">
        <v>141</v>
      </c>
      <c r="X9" s="10" t="s">
        <v>142</v>
      </c>
      <c r="Y9" s="10" t="s">
        <v>211</v>
      </c>
      <c r="Z9" s="10" t="s">
        <v>212</v>
      </c>
      <c r="AA9" s="10" t="s">
        <v>598</v>
      </c>
      <c r="AB9" s="10" t="s">
        <v>599</v>
      </c>
      <c r="AC9" s="10" t="s">
        <v>600</v>
      </c>
      <c r="AD9" s="12" t="s">
        <v>780</v>
      </c>
      <c r="AE9" s="13" t="s">
        <v>781</v>
      </c>
      <c r="AG9" s="13" t="s">
        <v>603</v>
      </c>
      <c r="AH9" s="10" t="s">
        <v>209</v>
      </c>
      <c r="AI9" s="12" t="s">
        <v>189</v>
      </c>
      <c r="AK9" t="s">
        <v>651</v>
      </c>
    </row>
    <row r="10" spans="1:44" x14ac:dyDescent="0.3">
      <c r="A10" s="14" t="s">
        <v>120</v>
      </c>
      <c r="B10" s="9" t="s">
        <v>179</v>
      </c>
      <c r="C10" s="10" t="s">
        <v>183</v>
      </c>
      <c r="D10" s="10" t="s">
        <v>203</v>
      </c>
      <c r="E10" s="10" t="s">
        <v>204</v>
      </c>
      <c r="F10" s="10" t="s">
        <v>87</v>
      </c>
      <c r="G10" s="10" t="s">
        <v>205</v>
      </c>
      <c r="H10" s="10" t="s">
        <v>206</v>
      </c>
      <c r="I10" s="10"/>
      <c r="J10" s="10"/>
      <c r="K10" s="12"/>
      <c r="L10" s="12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2"/>
      <c r="Y10" s="12"/>
      <c r="Z10" s="12"/>
      <c r="AA10" s="12"/>
      <c r="AB10" s="12"/>
      <c r="AC10" s="12"/>
      <c r="AD10" s="12"/>
      <c r="AE10" s="13"/>
      <c r="AK10" t="s">
        <v>653</v>
      </c>
    </row>
    <row r="11" spans="1:44" x14ac:dyDescent="0.3">
      <c r="A11" s="14" t="s">
        <v>122</v>
      </c>
      <c r="B11" s="9" t="s">
        <v>134</v>
      </c>
      <c r="C11" s="10" t="s">
        <v>135</v>
      </c>
      <c r="D11" s="10" t="s">
        <v>136</v>
      </c>
      <c r="E11" s="10" t="s">
        <v>137</v>
      </c>
      <c r="F11" s="10" t="s">
        <v>138</v>
      </c>
      <c r="G11" s="10"/>
      <c r="H11" s="10"/>
      <c r="I11" s="10"/>
      <c r="J11" s="10"/>
      <c r="K11" s="12"/>
      <c r="L11" s="12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1"/>
    </row>
    <row r="12" spans="1:44" x14ac:dyDescent="0.3">
      <c r="A12" s="14" t="s">
        <v>124</v>
      </c>
      <c r="B12" s="9" t="s">
        <v>145</v>
      </c>
      <c r="C12" s="10" t="s">
        <v>353</v>
      </c>
      <c r="D12" s="10" t="s">
        <v>354</v>
      </c>
      <c r="E12" s="10" t="s">
        <v>355</v>
      </c>
      <c r="F12" s="10" t="s">
        <v>356</v>
      </c>
      <c r="G12" s="10" t="s">
        <v>357</v>
      </c>
      <c r="H12" s="10" t="s">
        <v>358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3"/>
    </row>
    <row r="13" spans="1:44" x14ac:dyDescent="0.3">
      <c r="A13" s="14" t="s">
        <v>157</v>
      </c>
      <c r="B13" s="9" t="s">
        <v>163</v>
      </c>
      <c r="C13" s="12" t="s">
        <v>132</v>
      </c>
      <c r="D13" s="10" t="s">
        <v>213</v>
      </c>
      <c r="E13" s="10" t="s">
        <v>291</v>
      </c>
      <c r="F13" s="12"/>
      <c r="G13" s="10"/>
      <c r="H13" s="12"/>
      <c r="I13" s="12"/>
      <c r="J13" s="12"/>
      <c r="K13" s="12"/>
      <c r="L13" s="12"/>
      <c r="M13" s="12"/>
      <c r="N13" s="26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3"/>
    </row>
    <row r="14" spans="1:44" x14ac:dyDescent="0.3">
      <c r="A14" s="14" t="s">
        <v>158</v>
      </c>
      <c r="B14" s="9" t="s">
        <v>164</v>
      </c>
      <c r="C14" s="10" t="s">
        <v>130</v>
      </c>
      <c r="D14" s="10" t="s">
        <v>131</v>
      </c>
      <c r="E14" s="10" t="s">
        <v>213</v>
      </c>
      <c r="F14" s="10" t="s">
        <v>210</v>
      </c>
      <c r="G14" s="12" t="s">
        <v>132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3"/>
    </row>
    <row r="15" spans="1:44" x14ac:dyDescent="0.3">
      <c r="A15" s="14" t="s">
        <v>149</v>
      </c>
      <c r="B15" s="9" t="s">
        <v>165</v>
      </c>
      <c r="C15" s="10" t="s">
        <v>214</v>
      </c>
      <c r="D15" s="10" t="s">
        <v>654</v>
      </c>
      <c r="E15" s="10" t="s">
        <v>207</v>
      </c>
      <c r="F15" s="10" t="s">
        <v>208</v>
      </c>
      <c r="G15" s="10" t="s">
        <v>210</v>
      </c>
      <c r="H15" s="12" t="s">
        <v>132</v>
      </c>
      <c r="I15" s="12" t="s">
        <v>291</v>
      </c>
      <c r="J15" s="12" t="s">
        <v>583</v>
      </c>
      <c r="K15" s="10" t="s">
        <v>98</v>
      </c>
      <c r="L15" s="10" t="s">
        <v>99</v>
      </c>
      <c r="M15" s="10" t="s">
        <v>97</v>
      </c>
      <c r="N15" s="12" t="s">
        <v>584</v>
      </c>
      <c r="O15" s="10" t="s">
        <v>211</v>
      </c>
      <c r="P15" s="10" t="s">
        <v>212</v>
      </c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3"/>
    </row>
    <row r="16" spans="1:44" x14ac:dyDescent="0.3">
      <c r="A16" s="14" t="s">
        <v>150</v>
      </c>
      <c r="B16" s="9" t="s">
        <v>166</v>
      </c>
      <c r="C16" s="10" t="s">
        <v>214</v>
      </c>
      <c r="D16" s="10" t="s">
        <v>654</v>
      </c>
      <c r="E16" s="10" t="s">
        <v>207</v>
      </c>
      <c r="F16" s="10" t="s">
        <v>208</v>
      </c>
      <c r="G16" s="10" t="s">
        <v>210</v>
      </c>
      <c r="H16" s="12" t="s">
        <v>132</v>
      </c>
      <c r="I16" s="12" t="s">
        <v>291</v>
      </c>
      <c r="J16" s="12" t="s">
        <v>583</v>
      </c>
      <c r="K16" s="10" t="s">
        <v>98</v>
      </c>
      <c r="L16" s="10" t="s">
        <v>99</v>
      </c>
      <c r="M16" s="10" t="s">
        <v>97</v>
      </c>
      <c r="N16" s="12" t="s">
        <v>584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3"/>
    </row>
    <row r="17" spans="1:31" x14ac:dyDescent="0.3">
      <c r="A17" s="14" t="s">
        <v>152</v>
      </c>
      <c r="B17" s="9" t="s">
        <v>167</v>
      </c>
      <c r="C17" s="10" t="s">
        <v>211</v>
      </c>
      <c r="D17" s="10" t="s">
        <v>212</v>
      </c>
      <c r="E17" s="10"/>
      <c r="F17" s="12"/>
      <c r="G17" s="10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3"/>
    </row>
    <row r="18" spans="1:31" x14ac:dyDescent="0.3">
      <c r="A18" s="14" t="s">
        <v>154</v>
      </c>
      <c r="B18" s="9" t="s">
        <v>168</v>
      </c>
      <c r="C18" s="10" t="s">
        <v>130</v>
      </c>
      <c r="D18" s="10" t="s">
        <v>131</v>
      </c>
      <c r="E18" s="10" t="s">
        <v>213</v>
      </c>
      <c r="F18" s="10" t="s">
        <v>133</v>
      </c>
      <c r="G18" s="10" t="s">
        <v>143</v>
      </c>
      <c r="H18" s="10" t="s">
        <v>144</v>
      </c>
      <c r="I18" s="10" t="s">
        <v>139</v>
      </c>
      <c r="J18" s="10" t="s">
        <v>140</v>
      </c>
      <c r="K18" s="10" t="s">
        <v>141</v>
      </c>
      <c r="L18" s="10" t="s">
        <v>142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3"/>
    </row>
    <row r="19" spans="1:31" x14ac:dyDescent="0.3">
      <c r="A19" s="14" t="s">
        <v>159</v>
      </c>
      <c r="B19" s="9" t="s">
        <v>169</v>
      </c>
      <c r="C19" s="10" t="s">
        <v>598</v>
      </c>
      <c r="D19" s="10" t="s">
        <v>599</v>
      </c>
      <c r="E19" s="10" t="s">
        <v>600</v>
      </c>
      <c r="F19" s="12" t="s">
        <v>780</v>
      </c>
      <c r="G19" s="13" t="s">
        <v>781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</row>
    <row r="20" spans="1:31" x14ac:dyDescent="0.3">
      <c r="A20" s="14" t="s">
        <v>155</v>
      </c>
      <c r="B20" s="9" t="s">
        <v>170</v>
      </c>
      <c r="C20" s="10" t="s">
        <v>130</v>
      </c>
      <c r="D20" s="10" t="s">
        <v>131</v>
      </c>
      <c r="E20" s="10" t="s">
        <v>213</v>
      </c>
      <c r="F20" s="10" t="s">
        <v>133</v>
      </c>
      <c r="G20" s="10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3"/>
    </row>
    <row r="21" spans="1:31" x14ac:dyDescent="0.3">
      <c r="A21" s="14" t="s">
        <v>156</v>
      </c>
      <c r="B21" s="9" t="s">
        <v>171</v>
      </c>
      <c r="C21" s="10" t="s">
        <v>143</v>
      </c>
      <c r="D21" s="10" t="s">
        <v>144</v>
      </c>
      <c r="E21" s="10" t="s">
        <v>139</v>
      </c>
      <c r="F21" s="10" t="s">
        <v>140</v>
      </c>
      <c r="G21" s="10" t="s">
        <v>141</v>
      </c>
      <c r="H21" s="10" t="s">
        <v>142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3"/>
    </row>
    <row r="22" spans="1:31" x14ac:dyDescent="0.3">
      <c r="A22" s="14" t="s">
        <v>153</v>
      </c>
      <c r="B22" s="9" t="s">
        <v>172</v>
      </c>
      <c r="C22" s="10" t="s">
        <v>98</v>
      </c>
      <c r="D22" s="10" t="s">
        <v>99</v>
      </c>
      <c r="E22" s="10" t="s">
        <v>97</v>
      </c>
      <c r="F22" s="12" t="s">
        <v>584</v>
      </c>
      <c r="G22" s="10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3"/>
    </row>
    <row r="23" spans="1:31" x14ac:dyDescent="0.3">
      <c r="A23" s="14" t="s">
        <v>151</v>
      </c>
      <c r="B23" s="9" t="s">
        <v>173</v>
      </c>
      <c r="C23" s="10" t="s">
        <v>214</v>
      </c>
      <c r="D23" s="10" t="s">
        <v>654</v>
      </c>
      <c r="E23" s="10" t="s">
        <v>207</v>
      </c>
      <c r="F23" s="10" t="s">
        <v>208</v>
      </c>
      <c r="G23" s="10" t="s">
        <v>210</v>
      </c>
      <c r="H23" s="12" t="s">
        <v>132</v>
      </c>
      <c r="I23" s="12" t="s">
        <v>291</v>
      </c>
      <c r="J23" s="12" t="s">
        <v>583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3"/>
    </row>
    <row r="24" spans="1:31" x14ac:dyDescent="0.3">
      <c r="A24" s="14" t="s">
        <v>647</v>
      </c>
      <c r="B24" s="9" t="s">
        <v>764</v>
      </c>
      <c r="C24" s="10" t="s">
        <v>207</v>
      </c>
      <c r="D24" s="10"/>
      <c r="E24" s="10"/>
      <c r="F24" s="10"/>
      <c r="G24" s="10"/>
      <c r="H24" s="10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3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5485-AB19-4776-9190-625A5CD1E40D}">
  <sheetPr>
    <tabColor theme="0" tint="-0.34998626667073579"/>
  </sheetPr>
  <dimension ref="A2:AD35"/>
  <sheetViews>
    <sheetView workbookViewId="0">
      <selection activeCell="D3" sqref="D3"/>
    </sheetView>
  </sheetViews>
  <sheetFormatPr defaultRowHeight="14.4" x14ac:dyDescent="0.3"/>
  <cols>
    <col min="3" max="3" width="11.88671875" bestFit="1" customWidth="1"/>
  </cols>
  <sheetData>
    <row r="2" spans="1:30" x14ac:dyDescent="0.3">
      <c r="B2" t="s">
        <v>797</v>
      </c>
      <c r="Q2" s="30" t="s">
        <v>378</v>
      </c>
      <c r="R2" s="27"/>
      <c r="S2" s="27"/>
      <c r="T2" s="27"/>
      <c r="U2" s="17" t="s">
        <v>379</v>
      </c>
      <c r="V2" s="27"/>
    </row>
    <row r="4" spans="1:30" x14ac:dyDescent="0.3">
      <c r="A4" s="28" t="s">
        <v>373</v>
      </c>
      <c r="B4" s="28" t="s">
        <v>84</v>
      </c>
      <c r="C4" s="28" t="s">
        <v>85</v>
      </c>
      <c r="D4" s="28" t="s">
        <v>86</v>
      </c>
      <c r="E4" s="28" t="s">
        <v>87</v>
      </c>
      <c r="F4" s="28" t="s">
        <v>88</v>
      </c>
      <c r="G4" s="28" t="s">
        <v>89</v>
      </c>
      <c r="H4" s="28" t="s">
        <v>90</v>
      </c>
      <c r="I4" s="28" t="s">
        <v>91</v>
      </c>
      <c r="J4" s="28" t="s">
        <v>92</v>
      </c>
      <c r="K4" s="28" t="s">
        <v>93</v>
      </c>
      <c r="L4" s="28" t="s">
        <v>94</v>
      </c>
      <c r="M4" s="28" t="s">
        <v>95</v>
      </c>
      <c r="N4" s="28" t="s">
        <v>96</v>
      </c>
      <c r="Q4" s="28" t="s">
        <v>380</v>
      </c>
      <c r="R4" s="28" t="s">
        <v>84</v>
      </c>
      <c r="S4" s="28" t="s">
        <v>85</v>
      </c>
      <c r="T4" s="28" t="s">
        <v>86</v>
      </c>
      <c r="U4" s="28" t="s">
        <v>87</v>
      </c>
      <c r="V4" s="28" t="s">
        <v>88</v>
      </c>
      <c r="W4" s="28" t="s">
        <v>89</v>
      </c>
      <c r="X4" s="28" t="s">
        <v>90</v>
      </c>
      <c r="Y4" s="28" t="s">
        <v>91</v>
      </c>
      <c r="Z4" s="28" t="s">
        <v>92</v>
      </c>
      <c r="AA4" s="28" t="s">
        <v>93</v>
      </c>
      <c r="AB4" s="28" t="s">
        <v>94</v>
      </c>
      <c r="AC4" s="28" t="s">
        <v>95</v>
      </c>
      <c r="AD4" s="28" t="s">
        <v>96</v>
      </c>
    </row>
    <row r="5" spans="1:30" x14ac:dyDescent="0.3">
      <c r="A5" s="28" t="s">
        <v>84</v>
      </c>
      <c r="B5" s="3">
        <v>0</v>
      </c>
      <c r="C5" s="3">
        <v>156</v>
      </c>
      <c r="D5" s="3">
        <v>267</v>
      </c>
      <c r="E5" s="3">
        <v>384</v>
      </c>
      <c r="F5" s="3">
        <v>68</v>
      </c>
      <c r="G5" s="3">
        <v>280</v>
      </c>
      <c r="H5" s="3">
        <v>615</v>
      </c>
      <c r="I5" s="3">
        <v>101</v>
      </c>
      <c r="J5" s="3">
        <v>151</v>
      </c>
      <c r="K5" s="3">
        <v>263</v>
      </c>
      <c r="L5" s="3">
        <v>183</v>
      </c>
      <c r="M5" s="3">
        <v>280</v>
      </c>
      <c r="N5" s="3">
        <v>294</v>
      </c>
      <c r="Q5" s="28" t="s">
        <v>84</v>
      </c>
      <c r="R5" s="3">
        <v>0</v>
      </c>
      <c r="S5" s="3">
        <v>132</v>
      </c>
      <c r="T5" s="3">
        <v>0</v>
      </c>
      <c r="U5" s="3">
        <v>0</v>
      </c>
      <c r="V5" s="3">
        <v>169</v>
      </c>
      <c r="W5" s="3">
        <v>0</v>
      </c>
      <c r="X5" s="3">
        <v>0</v>
      </c>
      <c r="Y5" s="3">
        <v>0</v>
      </c>
      <c r="Z5" s="3">
        <v>167</v>
      </c>
      <c r="AA5" s="3">
        <v>0</v>
      </c>
      <c r="AB5" s="3">
        <v>0</v>
      </c>
      <c r="AC5" s="3">
        <v>0</v>
      </c>
      <c r="AD5" s="3">
        <v>0</v>
      </c>
    </row>
    <row r="6" spans="1:30" x14ac:dyDescent="0.3">
      <c r="A6" s="28" t="s">
        <v>85</v>
      </c>
      <c r="B6" s="3">
        <v>156</v>
      </c>
      <c r="C6" s="3">
        <v>0</v>
      </c>
      <c r="D6" s="3">
        <v>118</v>
      </c>
      <c r="E6" s="3">
        <v>237</v>
      </c>
      <c r="F6" s="3">
        <v>198</v>
      </c>
      <c r="G6" s="3">
        <v>127</v>
      </c>
      <c r="H6" s="3">
        <v>463</v>
      </c>
      <c r="I6" s="3">
        <v>240</v>
      </c>
      <c r="J6" s="3">
        <v>222</v>
      </c>
      <c r="K6" s="3">
        <v>265</v>
      </c>
      <c r="L6" s="3">
        <v>92</v>
      </c>
      <c r="M6" s="3">
        <v>163</v>
      </c>
      <c r="N6" s="3">
        <v>246</v>
      </c>
      <c r="Q6" s="28" t="s">
        <v>85</v>
      </c>
      <c r="R6" s="3">
        <v>132</v>
      </c>
      <c r="S6" s="3">
        <v>0</v>
      </c>
      <c r="T6" s="3">
        <v>134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142</v>
      </c>
      <c r="AC6" s="3">
        <v>0</v>
      </c>
      <c r="AD6" s="3">
        <v>0</v>
      </c>
    </row>
    <row r="7" spans="1:30" x14ac:dyDescent="0.3">
      <c r="A7" s="28" t="s">
        <v>86</v>
      </c>
      <c r="B7" s="3">
        <v>267</v>
      </c>
      <c r="C7" s="3">
        <v>118</v>
      </c>
      <c r="D7" s="3">
        <v>0</v>
      </c>
      <c r="E7" s="3">
        <v>119</v>
      </c>
      <c r="F7" s="3">
        <v>315</v>
      </c>
      <c r="G7" s="3">
        <v>91</v>
      </c>
      <c r="H7" s="3">
        <v>348</v>
      </c>
      <c r="I7" s="3">
        <v>357</v>
      </c>
      <c r="J7" s="3">
        <v>338</v>
      </c>
      <c r="K7" s="3">
        <v>358</v>
      </c>
      <c r="L7" s="3">
        <v>178</v>
      </c>
      <c r="M7" s="3">
        <v>190</v>
      </c>
      <c r="N7" s="3">
        <v>314</v>
      </c>
      <c r="Q7" s="28" t="s">
        <v>86</v>
      </c>
      <c r="R7" s="3">
        <v>0</v>
      </c>
      <c r="S7" s="3">
        <v>134</v>
      </c>
      <c r="T7" s="3">
        <v>0</v>
      </c>
      <c r="U7" s="3">
        <v>105</v>
      </c>
      <c r="V7" s="3">
        <v>0</v>
      </c>
      <c r="W7" s="3">
        <v>94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</row>
    <row r="8" spans="1:30" x14ac:dyDescent="0.3">
      <c r="A8" s="28" t="s">
        <v>87</v>
      </c>
      <c r="B8" s="3">
        <v>384</v>
      </c>
      <c r="C8" s="3">
        <v>237</v>
      </c>
      <c r="D8" s="3">
        <v>119</v>
      </c>
      <c r="E8" s="3">
        <v>0</v>
      </c>
      <c r="F8" s="3">
        <v>434</v>
      </c>
      <c r="G8" s="3">
        <v>166</v>
      </c>
      <c r="H8" s="3">
        <v>233</v>
      </c>
      <c r="I8" s="3">
        <v>476</v>
      </c>
      <c r="J8" s="3">
        <v>454</v>
      </c>
      <c r="K8" s="3">
        <v>461</v>
      </c>
      <c r="L8" s="3">
        <v>287</v>
      </c>
      <c r="M8" s="3">
        <v>269</v>
      </c>
      <c r="N8" s="3">
        <v>404</v>
      </c>
      <c r="Q8" s="28" t="s">
        <v>87</v>
      </c>
      <c r="R8" s="3">
        <v>0</v>
      </c>
      <c r="S8" s="3">
        <v>0</v>
      </c>
      <c r="T8" s="3">
        <v>105</v>
      </c>
      <c r="U8" s="3">
        <v>0</v>
      </c>
      <c r="V8" s="3">
        <v>0</v>
      </c>
      <c r="W8" s="3">
        <v>182</v>
      </c>
      <c r="X8" s="3">
        <v>219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3">
      <c r="A9" s="28" t="s">
        <v>88</v>
      </c>
      <c r="B9" s="3">
        <v>68</v>
      </c>
      <c r="C9" s="3">
        <v>198</v>
      </c>
      <c r="D9" s="3">
        <v>315</v>
      </c>
      <c r="E9" s="3">
        <v>434</v>
      </c>
      <c r="F9" s="3">
        <v>0</v>
      </c>
      <c r="G9" s="3">
        <v>311</v>
      </c>
      <c r="H9" s="3">
        <v>661</v>
      </c>
      <c r="I9" s="3">
        <v>43</v>
      </c>
      <c r="J9" s="3">
        <v>95</v>
      </c>
      <c r="K9" s="3">
        <v>221</v>
      </c>
      <c r="L9" s="3">
        <v>193</v>
      </c>
      <c r="M9" s="3">
        <v>288</v>
      </c>
      <c r="N9" s="3">
        <v>269</v>
      </c>
      <c r="Q9" s="28" t="s">
        <v>88</v>
      </c>
      <c r="R9" s="3">
        <v>169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13</v>
      </c>
      <c r="Z9" s="3">
        <v>34</v>
      </c>
      <c r="AA9" s="3">
        <v>0</v>
      </c>
      <c r="AB9" s="3">
        <v>0</v>
      </c>
      <c r="AC9" s="3">
        <v>0</v>
      </c>
      <c r="AD9" s="3">
        <v>0</v>
      </c>
    </row>
    <row r="10" spans="1:30" x14ac:dyDescent="0.3">
      <c r="A10" s="28" t="s">
        <v>89</v>
      </c>
      <c r="B10" s="3">
        <v>280</v>
      </c>
      <c r="C10" s="3">
        <v>127</v>
      </c>
      <c r="D10" s="3">
        <v>91</v>
      </c>
      <c r="E10" s="3">
        <v>166</v>
      </c>
      <c r="F10" s="3">
        <v>311</v>
      </c>
      <c r="G10" s="3">
        <v>0</v>
      </c>
      <c r="H10" s="3">
        <v>361</v>
      </c>
      <c r="I10" s="3">
        <v>354</v>
      </c>
      <c r="J10" s="3">
        <v>307</v>
      </c>
      <c r="K10" s="3">
        <v>296</v>
      </c>
      <c r="L10" s="3">
        <v>132</v>
      </c>
      <c r="M10" s="3">
        <v>105</v>
      </c>
      <c r="N10" s="3">
        <v>238</v>
      </c>
      <c r="Q10" s="28" t="s">
        <v>89</v>
      </c>
      <c r="R10" s="3">
        <v>0</v>
      </c>
      <c r="S10" s="3">
        <v>0</v>
      </c>
      <c r="T10" s="3">
        <v>94</v>
      </c>
      <c r="U10" s="3">
        <v>182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267</v>
      </c>
      <c r="AC10" s="3">
        <v>182</v>
      </c>
      <c r="AD10" s="3">
        <v>0</v>
      </c>
    </row>
    <row r="11" spans="1:30" x14ac:dyDescent="0.3">
      <c r="A11" s="28" t="s">
        <v>90</v>
      </c>
      <c r="B11" s="3">
        <v>615</v>
      </c>
      <c r="C11" s="3">
        <v>463</v>
      </c>
      <c r="D11" s="3">
        <v>348</v>
      </c>
      <c r="E11" s="3">
        <v>233</v>
      </c>
      <c r="F11" s="3">
        <v>661</v>
      </c>
      <c r="G11" s="3">
        <v>361</v>
      </c>
      <c r="H11" s="3">
        <v>0</v>
      </c>
      <c r="I11" s="3">
        <v>703</v>
      </c>
      <c r="J11" s="3">
        <v>668</v>
      </c>
      <c r="K11" s="3">
        <v>647</v>
      </c>
      <c r="L11" s="3">
        <v>493</v>
      </c>
      <c r="M11" s="3">
        <v>441</v>
      </c>
      <c r="N11" s="3">
        <v>573</v>
      </c>
      <c r="Q11" s="28" t="s">
        <v>90</v>
      </c>
      <c r="R11" s="3">
        <v>0</v>
      </c>
      <c r="S11" s="3">
        <v>0</v>
      </c>
      <c r="T11" s="3">
        <v>0</v>
      </c>
      <c r="U11" s="3">
        <v>219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</row>
    <row r="12" spans="1:30" x14ac:dyDescent="0.3">
      <c r="A12" s="28" t="s">
        <v>91</v>
      </c>
      <c r="B12" s="3">
        <v>101</v>
      </c>
      <c r="C12" s="3">
        <v>240</v>
      </c>
      <c r="D12" s="3">
        <v>357</v>
      </c>
      <c r="E12" s="3">
        <v>476</v>
      </c>
      <c r="F12" s="3">
        <v>43</v>
      </c>
      <c r="G12" s="3">
        <v>354</v>
      </c>
      <c r="H12" s="3">
        <v>703</v>
      </c>
      <c r="I12" s="3">
        <v>0</v>
      </c>
      <c r="J12" s="3">
        <v>106</v>
      </c>
      <c r="K12" s="3">
        <v>236</v>
      </c>
      <c r="L12" s="3">
        <v>233</v>
      </c>
      <c r="M12" s="3">
        <v>326</v>
      </c>
      <c r="N12" s="3">
        <v>295</v>
      </c>
      <c r="Q12" s="28" t="s">
        <v>91</v>
      </c>
      <c r="R12" s="3">
        <v>0</v>
      </c>
      <c r="S12" s="3">
        <v>0</v>
      </c>
      <c r="T12" s="3">
        <v>0</v>
      </c>
      <c r="U12" s="3">
        <v>0</v>
      </c>
      <c r="V12" s="3">
        <v>13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</row>
    <row r="13" spans="1:30" x14ac:dyDescent="0.3">
      <c r="A13" s="28" t="s">
        <v>92</v>
      </c>
      <c r="B13" s="3">
        <v>151</v>
      </c>
      <c r="C13" s="3">
        <v>222</v>
      </c>
      <c r="D13" s="3">
        <v>338</v>
      </c>
      <c r="E13" s="3">
        <v>454</v>
      </c>
      <c r="F13" s="3">
        <v>95</v>
      </c>
      <c r="G13" s="3">
        <v>307</v>
      </c>
      <c r="H13" s="3">
        <v>668</v>
      </c>
      <c r="I13" s="3">
        <v>106</v>
      </c>
      <c r="J13" s="3">
        <v>0</v>
      </c>
      <c r="K13" s="3">
        <v>130</v>
      </c>
      <c r="L13" s="3">
        <v>175</v>
      </c>
      <c r="M13" s="3">
        <v>253</v>
      </c>
      <c r="N13" s="3">
        <v>194</v>
      </c>
      <c r="Q13" s="28" t="s">
        <v>92</v>
      </c>
      <c r="R13" s="3">
        <v>167</v>
      </c>
      <c r="S13" s="3">
        <v>0</v>
      </c>
      <c r="T13" s="3">
        <v>0</v>
      </c>
      <c r="U13" s="3">
        <v>0</v>
      </c>
      <c r="V13" s="3">
        <v>34</v>
      </c>
      <c r="W13" s="3">
        <v>0</v>
      </c>
      <c r="X13" s="3">
        <v>0</v>
      </c>
      <c r="Y13" s="3">
        <v>0</v>
      </c>
      <c r="Z13" s="3">
        <v>0</v>
      </c>
      <c r="AA13" s="3">
        <v>123</v>
      </c>
      <c r="AB13" s="3">
        <v>0</v>
      </c>
      <c r="AC13" s="3">
        <v>0</v>
      </c>
      <c r="AD13" s="3">
        <v>0</v>
      </c>
    </row>
    <row r="14" spans="1:30" x14ac:dyDescent="0.3">
      <c r="A14" s="28" t="s">
        <v>93</v>
      </c>
      <c r="B14" s="3">
        <v>263</v>
      </c>
      <c r="C14" s="3">
        <v>265</v>
      </c>
      <c r="D14" s="3">
        <v>358</v>
      </c>
      <c r="E14" s="3">
        <v>461</v>
      </c>
      <c r="F14" s="3">
        <v>221</v>
      </c>
      <c r="G14" s="3">
        <v>296</v>
      </c>
      <c r="H14" s="3">
        <v>647</v>
      </c>
      <c r="I14" s="3">
        <v>236</v>
      </c>
      <c r="J14" s="3">
        <v>130</v>
      </c>
      <c r="K14" s="3">
        <v>0</v>
      </c>
      <c r="L14" s="3">
        <v>181</v>
      </c>
      <c r="M14" s="3">
        <v>206</v>
      </c>
      <c r="N14" s="3">
        <v>88</v>
      </c>
      <c r="Q14" s="28" t="s">
        <v>93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123</v>
      </c>
      <c r="AA14" s="3">
        <v>0</v>
      </c>
      <c r="AB14" s="3">
        <v>149</v>
      </c>
      <c r="AC14" s="3">
        <v>0</v>
      </c>
      <c r="AD14" s="3">
        <v>0</v>
      </c>
    </row>
    <row r="15" spans="1:30" x14ac:dyDescent="0.3">
      <c r="A15" s="28" t="s">
        <v>94</v>
      </c>
      <c r="B15" s="3">
        <v>183</v>
      </c>
      <c r="C15" s="3">
        <v>92</v>
      </c>
      <c r="D15" s="3">
        <v>178</v>
      </c>
      <c r="E15" s="3">
        <v>287</v>
      </c>
      <c r="F15" s="3">
        <v>193</v>
      </c>
      <c r="G15" s="3">
        <v>132</v>
      </c>
      <c r="H15" s="3">
        <v>493</v>
      </c>
      <c r="I15" s="3">
        <v>233</v>
      </c>
      <c r="J15" s="3">
        <v>175</v>
      </c>
      <c r="K15" s="3">
        <v>181</v>
      </c>
      <c r="L15" s="3">
        <v>0</v>
      </c>
      <c r="M15" s="3">
        <v>98</v>
      </c>
      <c r="N15" s="3">
        <v>153</v>
      </c>
      <c r="Q15" s="28" t="s">
        <v>94</v>
      </c>
      <c r="R15" s="3">
        <v>0</v>
      </c>
      <c r="S15" s="3">
        <v>142</v>
      </c>
      <c r="T15" s="3">
        <v>0</v>
      </c>
      <c r="U15" s="3">
        <v>0</v>
      </c>
      <c r="V15" s="3">
        <v>0</v>
      </c>
      <c r="W15" s="3">
        <v>267</v>
      </c>
      <c r="X15" s="3">
        <v>0</v>
      </c>
      <c r="Y15" s="3">
        <v>0</v>
      </c>
      <c r="Z15" s="3">
        <v>0</v>
      </c>
      <c r="AA15" s="3">
        <v>149</v>
      </c>
      <c r="AB15" s="3">
        <v>0</v>
      </c>
      <c r="AC15" s="3">
        <v>0</v>
      </c>
      <c r="AD15" s="3">
        <v>237</v>
      </c>
    </row>
    <row r="16" spans="1:30" x14ac:dyDescent="0.3">
      <c r="A16" s="28" t="s">
        <v>95</v>
      </c>
      <c r="B16" s="3">
        <v>280</v>
      </c>
      <c r="C16" s="3">
        <v>163</v>
      </c>
      <c r="D16" s="3">
        <v>190</v>
      </c>
      <c r="E16" s="3">
        <v>269</v>
      </c>
      <c r="F16" s="3">
        <v>288</v>
      </c>
      <c r="G16" s="3">
        <v>105</v>
      </c>
      <c r="H16" s="3">
        <v>441</v>
      </c>
      <c r="I16" s="3">
        <v>326</v>
      </c>
      <c r="J16" s="3">
        <v>253</v>
      </c>
      <c r="K16" s="3">
        <v>206</v>
      </c>
      <c r="L16" s="3">
        <v>98</v>
      </c>
      <c r="M16" s="3">
        <v>0</v>
      </c>
      <c r="N16" s="3">
        <v>137</v>
      </c>
      <c r="Q16" s="28" t="s">
        <v>95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182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</row>
    <row r="17" spans="1:30" x14ac:dyDescent="0.3">
      <c r="A17" s="28" t="s">
        <v>96</v>
      </c>
      <c r="B17" s="3">
        <v>294</v>
      </c>
      <c r="C17" s="3">
        <v>246</v>
      </c>
      <c r="D17" s="3">
        <v>314</v>
      </c>
      <c r="E17" s="3">
        <v>404</v>
      </c>
      <c r="F17" s="3">
        <v>269</v>
      </c>
      <c r="G17" s="3">
        <v>238</v>
      </c>
      <c r="H17" s="3">
        <v>573</v>
      </c>
      <c r="I17" s="3">
        <v>295</v>
      </c>
      <c r="J17" s="3">
        <v>194</v>
      </c>
      <c r="K17" s="3">
        <v>88</v>
      </c>
      <c r="L17" s="3">
        <v>153</v>
      </c>
      <c r="M17" s="3">
        <v>137</v>
      </c>
      <c r="N17" s="3">
        <v>0</v>
      </c>
      <c r="Q17" s="28" t="s">
        <v>96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237</v>
      </c>
      <c r="AC17" s="3">
        <v>0</v>
      </c>
      <c r="AD17" s="3">
        <v>0</v>
      </c>
    </row>
    <row r="18" spans="1:30" ht="15.6" x14ac:dyDescent="0.3">
      <c r="AD18" s="31">
        <f>COUNTIF(R5:AD17,"&lt;&gt;0")</f>
        <v>32</v>
      </c>
    </row>
    <row r="20" spans="1:30" x14ac:dyDescent="0.3">
      <c r="B20" s="1" t="s">
        <v>23</v>
      </c>
    </row>
    <row r="23" spans="1:30" x14ac:dyDescent="0.3">
      <c r="B23" s="28" t="s">
        <v>129</v>
      </c>
      <c r="C23" s="28" t="s">
        <v>134</v>
      </c>
      <c r="D23" s="28" t="s">
        <v>374</v>
      </c>
    </row>
    <row r="24" spans="1:30" x14ac:dyDescent="0.3">
      <c r="B24" s="28" t="s">
        <v>84</v>
      </c>
      <c r="C24" s="28" t="s">
        <v>137</v>
      </c>
      <c r="D24" s="3">
        <v>100</v>
      </c>
    </row>
    <row r="25" spans="1:30" x14ac:dyDescent="0.3">
      <c r="B25" s="28" t="s">
        <v>89</v>
      </c>
      <c r="C25" s="28" t="s">
        <v>138</v>
      </c>
      <c r="D25" s="3">
        <v>150</v>
      </c>
    </row>
    <row r="26" spans="1:30" x14ac:dyDescent="0.3">
      <c r="B26" s="28" t="s">
        <v>90</v>
      </c>
      <c r="C26" s="28" t="s">
        <v>135</v>
      </c>
      <c r="D26" s="3">
        <v>213</v>
      </c>
    </row>
    <row r="29" spans="1:30" x14ac:dyDescent="0.3">
      <c r="B29" s="1" t="s">
        <v>375</v>
      </c>
      <c r="H29" s="4"/>
    </row>
    <row r="31" spans="1:30" x14ac:dyDescent="0.3">
      <c r="B31" s="28" t="s">
        <v>129</v>
      </c>
      <c r="C31" s="28" t="s">
        <v>377</v>
      </c>
      <c r="D31" s="28" t="s">
        <v>376</v>
      </c>
    </row>
    <row r="32" spans="1:30" x14ac:dyDescent="0.3">
      <c r="B32" s="28" t="s">
        <v>87</v>
      </c>
      <c r="C32" s="28" t="s">
        <v>139</v>
      </c>
      <c r="D32" s="3">
        <v>35</v>
      </c>
    </row>
    <row r="33" spans="2:4" x14ac:dyDescent="0.3">
      <c r="B33" s="28" t="s">
        <v>89</v>
      </c>
      <c r="C33" s="28" t="s">
        <v>140</v>
      </c>
      <c r="D33" s="3">
        <v>170</v>
      </c>
    </row>
    <row r="34" spans="2:4" x14ac:dyDescent="0.3">
      <c r="B34" s="28" t="s">
        <v>86</v>
      </c>
      <c r="C34" s="28" t="s">
        <v>141</v>
      </c>
      <c r="D34" s="3">
        <v>104</v>
      </c>
    </row>
    <row r="35" spans="2:4" x14ac:dyDescent="0.3">
      <c r="B35" s="28" t="s">
        <v>89</v>
      </c>
      <c r="C35" s="28" t="s">
        <v>142</v>
      </c>
      <c r="D35" s="29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4695-21FC-4662-BA5D-4DD082276EF0}">
  <sheetPr>
    <tabColor rgb="FF9CE8D0"/>
  </sheetPr>
  <dimension ref="A1:AC233"/>
  <sheetViews>
    <sheetView topLeftCell="A226" zoomScale="130" zoomScaleNormal="130" workbookViewId="0">
      <selection activeCell="C232" sqref="C232"/>
    </sheetView>
  </sheetViews>
  <sheetFormatPr defaultRowHeight="14.4" x14ac:dyDescent="0.3"/>
  <cols>
    <col min="1" max="1" width="14.88671875" customWidth="1"/>
    <col min="6" max="6" width="12.5546875" customWidth="1"/>
    <col min="12" max="12" width="11.109375" customWidth="1"/>
  </cols>
  <sheetData>
    <row r="1" spans="1:29" x14ac:dyDescent="0.3">
      <c r="A1" s="77" t="s">
        <v>277</v>
      </c>
      <c r="B1" s="74"/>
      <c r="C1" s="74"/>
      <c r="D1" s="74"/>
      <c r="F1" s="77" t="s">
        <v>13</v>
      </c>
      <c r="G1" s="74"/>
      <c r="H1" s="74"/>
      <c r="I1" s="74"/>
      <c r="J1" s="74"/>
      <c r="K1" s="74"/>
      <c r="L1" s="77" t="s">
        <v>299</v>
      </c>
      <c r="M1" s="74"/>
      <c r="N1" s="74"/>
      <c r="O1" s="74"/>
      <c r="P1" s="74"/>
      <c r="Q1" s="74"/>
      <c r="R1" s="74"/>
      <c r="S1" s="74"/>
    </row>
    <row r="2" spans="1:29" x14ac:dyDescent="0.3">
      <c r="A2" s="77" t="s">
        <v>276</v>
      </c>
      <c r="B2" s="74"/>
      <c r="C2" s="74"/>
      <c r="D2" s="74"/>
      <c r="F2" s="77" t="s">
        <v>286</v>
      </c>
      <c r="G2" s="74"/>
      <c r="H2" s="74"/>
      <c r="I2" s="74"/>
      <c r="J2" s="74"/>
      <c r="K2" s="74"/>
      <c r="L2" s="77" t="s">
        <v>300</v>
      </c>
      <c r="M2" s="74"/>
      <c r="N2" s="74"/>
      <c r="O2" s="74"/>
      <c r="P2" s="74"/>
      <c r="Q2" s="74"/>
      <c r="R2" s="74"/>
      <c r="S2" s="74"/>
      <c r="AB2" s="10" t="s">
        <v>130</v>
      </c>
      <c r="AC2" s="3">
        <v>40</v>
      </c>
    </row>
    <row r="3" spans="1:29" x14ac:dyDescent="0.3">
      <c r="A3" s="86" t="s">
        <v>130</v>
      </c>
      <c r="B3" s="3">
        <v>500</v>
      </c>
      <c r="C3" s="80"/>
      <c r="F3" s="86" t="s">
        <v>139</v>
      </c>
      <c r="G3" s="3">
        <v>909</v>
      </c>
      <c r="L3" s="86" t="s">
        <v>139</v>
      </c>
      <c r="M3" s="3">
        <v>909</v>
      </c>
      <c r="AB3" s="10" t="s">
        <v>131</v>
      </c>
      <c r="AC3" s="3">
        <v>40</v>
      </c>
    </row>
    <row r="4" spans="1:29" x14ac:dyDescent="0.3">
      <c r="A4" s="86" t="s">
        <v>131</v>
      </c>
      <c r="B4" s="3">
        <v>500</v>
      </c>
      <c r="C4" s="80"/>
      <c r="F4" s="86" t="s">
        <v>140</v>
      </c>
      <c r="G4" s="3">
        <v>1296</v>
      </c>
      <c r="L4" s="86" t="s">
        <v>140</v>
      </c>
      <c r="M4" s="3">
        <v>1296</v>
      </c>
      <c r="AB4" s="10" t="s">
        <v>213</v>
      </c>
      <c r="AC4" s="3">
        <v>30</v>
      </c>
    </row>
    <row r="5" spans="1:29" x14ac:dyDescent="0.3">
      <c r="A5" s="86" t="s">
        <v>213</v>
      </c>
      <c r="B5" s="3">
        <v>500</v>
      </c>
      <c r="C5" s="80"/>
      <c r="F5" s="86" t="s">
        <v>141</v>
      </c>
      <c r="G5" s="3">
        <v>1113</v>
      </c>
      <c r="L5" s="86" t="s">
        <v>141</v>
      </c>
      <c r="M5" s="3">
        <v>1113</v>
      </c>
      <c r="AB5" s="10" t="s">
        <v>133</v>
      </c>
      <c r="AC5" s="3">
        <v>30</v>
      </c>
    </row>
    <row r="6" spans="1:29" x14ac:dyDescent="0.3">
      <c r="A6" s="86" t="s">
        <v>133</v>
      </c>
      <c r="B6" s="3">
        <v>100</v>
      </c>
      <c r="C6" s="80"/>
      <c r="F6" s="86" t="s">
        <v>142</v>
      </c>
      <c r="G6" s="3">
        <v>825</v>
      </c>
      <c r="L6" s="86" t="s">
        <v>142</v>
      </c>
      <c r="M6" s="3">
        <v>825</v>
      </c>
      <c r="AB6" s="10" t="s">
        <v>214</v>
      </c>
      <c r="AC6" s="3">
        <v>10</v>
      </c>
    </row>
    <row r="7" spans="1:29" x14ac:dyDescent="0.3">
      <c r="A7" s="86" t="s">
        <v>214</v>
      </c>
      <c r="B7" s="3">
        <v>24</v>
      </c>
      <c r="C7" s="80"/>
      <c r="F7" s="86" t="s">
        <v>143</v>
      </c>
      <c r="G7">
        <v>111</v>
      </c>
      <c r="L7" s="86" t="s">
        <v>143</v>
      </c>
      <c r="M7">
        <v>111</v>
      </c>
      <c r="AB7" s="10" t="s">
        <v>207</v>
      </c>
      <c r="AC7" s="3">
        <v>50</v>
      </c>
    </row>
    <row r="8" spans="1:29" x14ac:dyDescent="0.3">
      <c r="A8" s="86" t="s">
        <v>654</v>
      </c>
      <c r="B8" s="3">
        <v>500</v>
      </c>
      <c r="C8" s="80"/>
      <c r="F8" s="86" t="s">
        <v>144</v>
      </c>
      <c r="G8" s="3">
        <v>28</v>
      </c>
      <c r="L8" s="86" t="s">
        <v>144</v>
      </c>
      <c r="M8" s="3">
        <v>28</v>
      </c>
      <c r="AB8" s="10" t="s">
        <v>208</v>
      </c>
      <c r="AC8" s="3">
        <v>25</v>
      </c>
    </row>
    <row r="9" spans="1:29" x14ac:dyDescent="0.3">
      <c r="A9" s="86" t="s">
        <v>207</v>
      </c>
      <c r="B9" s="3">
        <v>600</v>
      </c>
      <c r="C9" s="80"/>
      <c r="AB9" s="10" t="s">
        <v>209</v>
      </c>
      <c r="AC9" s="3">
        <v>25</v>
      </c>
    </row>
    <row r="10" spans="1:29" x14ac:dyDescent="0.3">
      <c r="A10" s="86" t="s">
        <v>208</v>
      </c>
      <c r="B10" s="3">
        <v>500</v>
      </c>
      <c r="C10" s="80"/>
      <c r="AB10" s="10" t="s">
        <v>210</v>
      </c>
      <c r="AC10" s="3">
        <v>25</v>
      </c>
    </row>
    <row r="11" spans="1:29" x14ac:dyDescent="0.3">
      <c r="A11" s="86" t="s">
        <v>210</v>
      </c>
      <c r="B11" s="3">
        <v>500</v>
      </c>
      <c r="C11" s="80"/>
      <c r="AB11" s="12"/>
      <c r="AC11" s="3"/>
    </row>
    <row r="12" spans="1:29" x14ac:dyDescent="0.3">
      <c r="A12" s="86" t="s">
        <v>132</v>
      </c>
      <c r="B12" s="3">
        <v>500</v>
      </c>
      <c r="C12" s="80"/>
      <c r="AB12" s="12" t="s">
        <v>291</v>
      </c>
      <c r="AC12" s="3">
        <v>40</v>
      </c>
    </row>
    <row r="13" spans="1:29" x14ac:dyDescent="0.3">
      <c r="A13" s="86" t="s">
        <v>291</v>
      </c>
      <c r="B13" s="3">
        <v>350</v>
      </c>
      <c r="C13" s="80"/>
      <c r="AB13" s="12" t="s">
        <v>583</v>
      </c>
      <c r="AC13" s="3">
        <v>25</v>
      </c>
    </row>
    <row r="14" spans="1:29" x14ac:dyDescent="0.3">
      <c r="A14" s="86" t="s">
        <v>583</v>
      </c>
      <c r="B14" s="3">
        <v>500</v>
      </c>
      <c r="AB14" s="12" t="s">
        <v>189</v>
      </c>
      <c r="AC14" s="3">
        <v>40</v>
      </c>
    </row>
    <row r="15" spans="1:29" x14ac:dyDescent="0.3">
      <c r="A15" s="86" t="s">
        <v>139</v>
      </c>
      <c r="B15" s="3">
        <v>218000</v>
      </c>
      <c r="C15" s="80"/>
      <c r="AB15" s="10" t="s">
        <v>98</v>
      </c>
      <c r="AC15" s="3">
        <v>25</v>
      </c>
    </row>
    <row r="16" spans="1:29" x14ac:dyDescent="0.3">
      <c r="A16" s="86" t="s">
        <v>140</v>
      </c>
      <c r="B16" s="3">
        <v>311000</v>
      </c>
      <c r="C16" s="3"/>
      <c r="AB16" s="10"/>
      <c r="AC16" s="3"/>
    </row>
    <row r="17" spans="1:29" x14ac:dyDescent="0.3">
      <c r="A17" s="86" t="s">
        <v>141</v>
      </c>
      <c r="B17" s="3">
        <v>267000</v>
      </c>
      <c r="C17" s="3"/>
      <c r="AB17" s="10" t="s">
        <v>97</v>
      </c>
      <c r="AC17" s="3">
        <v>25</v>
      </c>
    </row>
    <row r="18" spans="1:29" x14ac:dyDescent="0.3">
      <c r="A18" s="86" t="s">
        <v>142</v>
      </c>
      <c r="B18" s="3">
        <v>198000</v>
      </c>
      <c r="C18" s="3"/>
      <c r="AB18" s="10" t="s">
        <v>584</v>
      </c>
      <c r="AC18" s="3"/>
    </row>
    <row r="19" spans="1:29" x14ac:dyDescent="0.3">
      <c r="A19" s="86" t="s">
        <v>143</v>
      </c>
      <c r="B19" s="3">
        <v>333</v>
      </c>
      <c r="C19" s="3"/>
      <c r="AB19" s="10" t="s">
        <v>211</v>
      </c>
      <c r="AC19" s="3"/>
    </row>
    <row r="20" spans="1:29" x14ac:dyDescent="0.3">
      <c r="A20" s="86" t="s">
        <v>144</v>
      </c>
      <c r="B20" s="3">
        <v>333</v>
      </c>
      <c r="C20" s="3"/>
      <c r="AB20" s="11" t="s">
        <v>212</v>
      </c>
      <c r="AC20" s="3"/>
    </row>
    <row r="21" spans="1:29" x14ac:dyDescent="0.3">
      <c r="AB21" s="10" t="s">
        <v>139</v>
      </c>
    </row>
    <row r="22" spans="1:29" x14ac:dyDescent="0.3">
      <c r="AB22" s="10" t="s">
        <v>140</v>
      </c>
    </row>
    <row r="23" spans="1:29" x14ac:dyDescent="0.3">
      <c r="AB23" s="10" t="s">
        <v>141</v>
      </c>
    </row>
    <row r="24" spans="1:29" x14ac:dyDescent="0.3">
      <c r="AB24" s="10" t="s">
        <v>142</v>
      </c>
    </row>
    <row r="25" spans="1:29" x14ac:dyDescent="0.3">
      <c r="A25" s="77" t="s">
        <v>82</v>
      </c>
      <c r="B25" s="74"/>
      <c r="C25" s="74"/>
      <c r="F25" s="77" t="s">
        <v>27</v>
      </c>
      <c r="G25" s="74"/>
      <c r="H25" s="74"/>
      <c r="I25" s="74"/>
      <c r="J25" s="74"/>
      <c r="AB25" s="10" t="s">
        <v>143</v>
      </c>
    </row>
    <row r="26" spans="1:29" x14ac:dyDescent="0.3">
      <c r="A26" s="77" t="s">
        <v>419</v>
      </c>
      <c r="B26" s="74"/>
      <c r="C26" s="74"/>
      <c r="F26" s="77" t="s">
        <v>420</v>
      </c>
      <c r="G26" s="74"/>
      <c r="H26" s="74"/>
      <c r="I26" s="74"/>
      <c r="J26" s="74"/>
      <c r="AB26" s="10" t="s">
        <v>144</v>
      </c>
    </row>
    <row r="27" spans="1:29" x14ac:dyDescent="0.3">
      <c r="A27" s="86" t="s">
        <v>214</v>
      </c>
      <c r="B27" s="3">
        <v>0</v>
      </c>
      <c r="F27" s="86" t="s">
        <v>214</v>
      </c>
      <c r="G27" s="3">
        <v>0</v>
      </c>
    </row>
    <row r="28" spans="1:29" x14ac:dyDescent="0.3">
      <c r="A28" s="86" t="s">
        <v>654</v>
      </c>
      <c r="B28" s="3">
        <v>2</v>
      </c>
      <c r="C28" s="80"/>
      <c r="F28" s="86" t="s">
        <v>654</v>
      </c>
      <c r="G28" s="3">
        <v>2</v>
      </c>
      <c r="H28" s="80"/>
    </row>
    <row r="29" spans="1:29" x14ac:dyDescent="0.3">
      <c r="A29" s="86" t="s">
        <v>207</v>
      </c>
      <c r="B29" s="3">
        <v>12</v>
      </c>
      <c r="F29" s="86" t="s">
        <v>207</v>
      </c>
      <c r="G29" s="3">
        <v>12</v>
      </c>
    </row>
    <row r="30" spans="1:29" x14ac:dyDescent="0.3">
      <c r="A30" s="86" t="s">
        <v>290</v>
      </c>
      <c r="B30" s="3">
        <v>2</v>
      </c>
      <c r="F30" s="86" t="s">
        <v>290</v>
      </c>
      <c r="G30" s="3">
        <v>2</v>
      </c>
    </row>
    <row r="31" spans="1:29" x14ac:dyDescent="0.3">
      <c r="A31" s="86" t="s">
        <v>210</v>
      </c>
      <c r="B31" s="3">
        <v>4</v>
      </c>
      <c r="F31" s="86" t="s">
        <v>210</v>
      </c>
      <c r="G31" s="3">
        <v>4</v>
      </c>
    </row>
    <row r="32" spans="1:29" x14ac:dyDescent="0.3">
      <c r="A32" s="86" t="s">
        <v>208</v>
      </c>
      <c r="B32" s="3">
        <v>1</v>
      </c>
      <c r="F32" s="86" t="s">
        <v>208</v>
      </c>
      <c r="G32" s="3">
        <v>1</v>
      </c>
    </row>
    <row r="33" spans="1:7" x14ac:dyDescent="0.3">
      <c r="A33" s="86" t="s">
        <v>291</v>
      </c>
      <c r="B33" s="3">
        <v>4</v>
      </c>
      <c r="F33" s="86" t="s">
        <v>291</v>
      </c>
      <c r="G33" s="3">
        <v>4</v>
      </c>
    </row>
    <row r="34" spans="1:7" x14ac:dyDescent="0.3">
      <c r="A34" s="86" t="s">
        <v>132</v>
      </c>
      <c r="B34" s="3">
        <v>8</v>
      </c>
      <c r="F34" s="86" t="s">
        <v>132</v>
      </c>
      <c r="G34" s="3">
        <v>8</v>
      </c>
    </row>
    <row r="35" spans="1:7" x14ac:dyDescent="0.3">
      <c r="A35" s="15"/>
    </row>
    <row r="37" spans="1:7" x14ac:dyDescent="0.3">
      <c r="A37" s="77" t="s">
        <v>50</v>
      </c>
      <c r="B37" s="74"/>
      <c r="C37" s="74"/>
      <c r="D37" s="74"/>
    </row>
    <row r="38" spans="1:7" x14ac:dyDescent="0.3">
      <c r="A38" s="77" t="s">
        <v>49</v>
      </c>
      <c r="B38" s="74"/>
      <c r="C38" s="74"/>
      <c r="D38" s="74"/>
    </row>
    <row r="39" spans="1:7" x14ac:dyDescent="0.3">
      <c r="A39" s="86" t="s">
        <v>130</v>
      </c>
      <c r="B39" s="3">
        <v>40</v>
      </c>
      <c r="C39" s="80"/>
    </row>
    <row r="40" spans="1:7" x14ac:dyDescent="0.3">
      <c r="A40" s="86" t="s">
        <v>131</v>
      </c>
      <c r="B40" s="3">
        <v>40</v>
      </c>
      <c r="C40" s="3"/>
    </row>
    <row r="41" spans="1:7" x14ac:dyDescent="0.3">
      <c r="A41" s="86" t="s">
        <v>213</v>
      </c>
      <c r="B41" s="3">
        <v>30</v>
      </c>
      <c r="C41" s="80"/>
    </row>
    <row r="42" spans="1:7" x14ac:dyDescent="0.3">
      <c r="A42" s="86" t="s">
        <v>133</v>
      </c>
      <c r="B42" s="3">
        <v>30</v>
      </c>
      <c r="C42" s="80"/>
    </row>
    <row r="43" spans="1:7" x14ac:dyDescent="0.3">
      <c r="A43" s="86" t="s">
        <v>214</v>
      </c>
      <c r="B43" s="3">
        <v>10</v>
      </c>
      <c r="C43" s="80"/>
    </row>
    <row r="44" spans="1:7" x14ac:dyDescent="0.3">
      <c r="A44" s="86" t="s">
        <v>654</v>
      </c>
      <c r="B44" s="3">
        <v>30</v>
      </c>
      <c r="C44" s="80"/>
    </row>
    <row r="45" spans="1:7" x14ac:dyDescent="0.3">
      <c r="A45" s="86" t="s">
        <v>207</v>
      </c>
      <c r="B45" s="3">
        <v>50</v>
      </c>
      <c r="C45" s="80"/>
    </row>
    <row r="46" spans="1:7" x14ac:dyDescent="0.3">
      <c r="A46" s="86" t="s">
        <v>208</v>
      </c>
      <c r="B46" s="3">
        <v>30</v>
      </c>
      <c r="C46" s="3"/>
    </row>
    <row r="47" spans="1:7" x14ac:dyDescent="0.3">
      <c r="A47" s="86" t="s">
        <v>210</v>
      </c>
      <c r="B47" s="3">
        <v>30</v>
      </c>
      <c r="C47" s="3"/>
    </row>
    <row r="48" spans="1:7" x14ac:dyDescent="0.3">
      <c r="A48" s="86" t="s">
        <v>132</v>
      </c>
      <c r="B48" s="3">
        <v>40</v>
      </c>
      <c r="C48" s="3"/>
    </row>
    <row r="49" spans="1:3" x14ac:dyDescent="0.3">
      <c r="A49" s="86" t="s">
        <v>291</v>
      </c>
      <c r="B49" s="3">
        <v>40</v>
      </c>
      <c r="C49" s="3"/>
    </row>
    <row r="50" spans="1:3" x14ac:dyDescent="0.3">
      <c r="A50" s="86" t="s">
        <v>583</v>
      </c>
      <c r="B50" s="3">
        <v>30</v>
      </c>
      <c r="C50" s="3"/>
    </row>
    <row r="51" spans="1:3" x14ac:dyDescent="0.3">
      <c r="A51" s="86" t="s">
        <v>98</v>
      </c>
      <c r="B51" s="3">
        <v>30</v>
      </c>
      <c r="C51" s="3"/>
    </row>
    <row r="52" spans="1:3" x14ac:dyDescent="0.3">
      <c r="A52" s="86" t="s">
        <v>99</v>
      </c>
      <c r="B52" s="3">
        <v>20</v>
      </c>
      <c r="C52" s="3"/>
    </row>
    <row r="53" spans="1:3" x14ac:dyDescent="0.3">
      <c r="A53" s="86" t="s">
        <v>97</v>
      </c>
      <c r="B53" s="3">
        <v>30</v>
      </c>
      <c r="C53" s="3"/>
    </row>
    <row r="54" spans="1:3" x14ac:dyDescent="0.3">
      <c r="A54" s="86" t="s">
        <v>584</v>
      </c>
      <c r="B54" s="3">
        <v>40</v>
      </c>
      <c r="C54" s="80"/>
    </row>
    <row r="55" spans="1:3" x14ac:dyDescent="0.3">
      <c r="A55" s="86" t="s">
        <v>211</v>
      </c>
      <c r="B55" s="3">
        <v>20</v>
      </c>
      <c r="C55" s="3"/>
    </row>
    <row r="56" spans="1:3" x14ac:dyDescent="0.3">
      <c r="A56" s="86" t="s">
        <v>212</v>
      </c>
      <c r="B56" s="3">
        <v>50</v>
      </c>
      <c r="C56" s="3"/>
    </row>
    <row r="57" spans="1:3" x14ac:dyDescent="0.3">
      <c r="A57" s="86" t="s">
        <v>139</v>
      </c>
      <c r="B57" s="3">
        <v>40</v>
      </c>
      <c r="C57" s="80"/>
    </row>
    <row r="58" spans="1:3" x14ac:dyDescent="0.3">
      <c r="A58" s="86" t="s">
        <v>140</v>
      </c>
      <c r="B58" s="3">
        <v>40</v>
      </c>
      <c r="C58" s="3"/>
    </row>
    <row r="59" spans="1:3" x14ac:dyDescent="0.3">
      <c r="A59" s="86" t="s">
        <v>141</v>
      </c>
      <c r="B59" s="3">
        <v>40</v>
      </c>
      <c r="C59" s="3"/>
    </row>
    <row r="60" spans="1:3" x14ac:dyDescent="0.3">
      <c r="A60" s="86" t="s">
        <v>142</v>
      </c>
      <c r="B60" s="3">
        <v>40</v>
      </c>
      <c r="C60" s="3"/>
    </row>
    <row r="61" spans="1:3" x14ac:dyDescent="0.3">
      <c r="A61" s="86" t="s">
        <v>143</v>
      </c>
      <c r="B61" s="3">
        <v>40</v>
      </c>
      <c r="C61" s="3"/>
    </row>
    <row r="62" spans="1:3" x14ac:dyDescent="0.3">
      <c r="A62" s="86" t="s">
        <v>144</v>
      </c>
      <c r="B62" s="3">
        <v>40</v>
      </c>
      <c r="C62" s="3"/>
    </row>
    <row r="63" spans="1:3" x14ac:dyDescent="0.3">
      <c r="A63" s="1"/>
    </row>
    <row r="65" spans="1:21" x14ac:dyDescent="0.3">
      <c r="A65" s="77" t="s">
        <v>66</v>
      </c>
      <c r="B65" s="74"/>
      <c r="C65" s="74"/>
      <c r="D65" s="74"/>
      <c r="E65" s="74"/>
      <c r="F65" s="77" t="s">
        <v>64</v>
      </c>
      <c r="G65" s="74"/>
      <c r="H65" s="74"/>
      <c r="I65" s="74"/>
      <c r="J65" s="74"/>
      <c r="K65" s="77" t="s">
        <v>76</v>
      </c>
      <c r="L65" s="74"/>
      <c r="M65" s="74"/>
      <c r="N65" s="74"/>
      <c r="O65" s="74"/>
      <c r="P65" s="77" t="s">
        <v>74</v>
      </c>
      <c r="Q65" s="74"/>
      <c r="R65" s="74"/>
      <c r="S65" s="77"/>
      <c r="T65" s="74"/>
      <c r="U65" s="74"/>
    </row>
    <row r="66" spans="1:21" x14ac:dyDescent="0.3">
      <c r="A66" s="77" t="s">
        <v>65</v>
      </c>
      <c r="B66" s="74"/>
      <c r="C66" s="74"/>
      <c r="D66" s="74"/>
      <c r="E66" s="74"/>
      <c r="F66" s="77" t="s">
        <v>63</v>
      </c>
      <c r="G66" s="74"/>
      <c r="H66" s="74"/>
      <c r="I66" s="74"/>
      <c r="J66" s="74"/>
      <c r="K66" s="77" t="s">
        <v>75</v>
      </c>
      <c r="L66" s="74"/>
      <c r="M66" s="74"/>
      <c r="N66" s="74"/>
      <c r="O66" s="74"/>
      <c r="P66" s="77" t="s">
        <v>73</v>
      </c>
      <c r="Q66" s="74"/>
      <c r="R66" s="74"/>
      <c r="S66" s="77"/>
      <c r="T66" s="74"/>
      <c r="U66" s="74"/>
    </row>
    <row r="67" spans="1:21" x14ac:dyDescent="0.3">
      <c r="A67" s="86" t="s">
        <v>130</v>
      </c>
      <c r="B67" s="3">
        <v>0.2</v>
      </c>
      <c r="C67" s="80"/>
      <c r="D67" s="3"/>
      <c r="F67" s="86" t="s">
        <v>130</v>
      </c>
      <c r="G67" s="3">
        <v>0.95</v>
      </c>
      <c r="H67" s="88"/>
      <c r="I67" s="3"/>
      <c r="K67" s="86" t="s">
        <v>139</v>
      </c>
      <c r="L67" s="44">
        <v>0</v>
      </c>
      <c r="M67" s="4"/>
      <c r="P67" s="86" t="s">
        <v>139</v>
      </c>
      <c r="Q67" s="44">
        <v>0.8</v>
      </c>
      <c r="R67" s="4"/>
      <c r="S67" s="15"/>
    </row>
    <row r="68" spans="1:21" x14ac:dyDescent="0.3">
      <c r="A68" s="86" t="s">
        <v>131</v>
      </c>
      <c r="B68" s="3">
        <v>0.2</v>
      </c>
      <c r="C68" s="3"/>
      <c r="D68" s="3"/>
      <c r="F68" s="86" t="s">
        <v>131</v>
      </c>
      <c r="G68" s="3">
        <v>0.95</v>
      </c>
      <c r="H68" s="3"/>
      <c r="I68" s="3"/>
      <c r="K68" s="86" t="s">
        <v>140</v>
      </c>
      <c r="L68" s="44">
        <v>0</v>
      </c>
      <c r="P68" s="86" t="s">
        <v>140</v>
      </c>
      <c r="Q68" s="44">
        <v>0.8</v>
      </c>
      <c r="S68" s="15"/>
    </row>
    <row r="69" spans="1:21" x14ac:dyDescent="0.3">
      <c r="A69" s="86" t="s">
        <v>213</v>
      </c>
      <c r="B69" s="44">
        <v>0.2</v>
      </c>
      <c r="C69" s="3"/>
      <c r="D69" s="3"/>
      <c r="F69" s="86" t="s">
        <v>213</v>
      </c>
      <c r="G69" s="3">
        <v>0.91</v>
      </c>
      <c r="H69" s="3"/>
      <c r="I69" s="3"/>
      <c r="K69" s="86" t="s">
        <v>141</v>
      </c>
      <c r="L69" s="44">
        <v>0</v>
      </c>
      <c r="P69" s="86" t="s">
        <v>141</v>
      </c>
      <c r="Q69" s="44">
        <v>0.8</v>
      </c>
      <c r="S69" s="15"/>
    </row>
    <row r="70" spans="1:21" x14ac:dyDescent="0.3">
      <c r="A70" s="86" t="s">
        <v>133</v>
      </c>
      <c r="B70" s="44">
        <v>0.2</v>
      </c>
      <c r="C70" s="3"/>
      <c r="D70" s="3"/>
      <c r="F70" s="86" t="s">
        <v>133</v>
      </c>
      <c r="G70" s="3">
        <v>0.98</v>
      </c>
      <c r="H70" s="3"/>
      <c r="I70" s="3"/>
      <c r="K70" s="86" t="s">
        <v>142</v>
      </c>
      <c r="L70" s="44">
        <v>0</v>
      </c>
      <c r="P70" s="86" t="s">
        <v>142</v>
      </c>
      <c r="Q70" s="44">
        <v>0.8</v>
      </c>
      <c r="S70" s="15"/>
    </row>
    <row r="71" spans="1:21" x14ac:dyDescent="0.3">
      <c r="A71" s="86" t="s">
        <v>654</v>
      </c>
      <c r="B71" s="3">
        <v>0.35</v>
      </c>
      <c r="C71" s="3"/>
      <c r="D71" s="3"/>
      <c r="F71" s="86" t="s">
        <v>654</v>
      </c>
      <c r="G71" s="3">
        <v>1</v>
      </c>
      <c r="H71" s="3"/>
      <c r="I71" s="3"/>
      <c r="K71" s="86" t="s">
        <v>143</v>
      </c>
      <c r="L71" s="3">
        <v>0</v>
      </c>
      <c r="M71" s="4"/>
      <c r="P71" s="86" t="s">
        <v>143</v>
      </c>
      <c r="Q71" s="3">
        <v>1</v>
      </c>
      <c r="R71" s="4"/>
      <c r="S71" s="15"/>
    </row>
    <row r="72" spans="1:21" x14ac:dyDescent="0.3">
      <c r="A72" s="86" t="s">
        <v>214</v>
      </c>
      <c r="B72" s="3">
        <v>0.1</v>
      </c>
      <c r="C72" s="80"/>
      <c r="D72" s="3"/>
      <c r="F72" s="86" t="s">
        <v>214</v>
      </c>
      <c r="G72" s="3">
        <v>1</v>
      </c>
      <c r="H72" s="80"/>
      <c r="I72" s="3"/>
      <c r="K72" s="86" t="s">
        <v>144</v>
      </c>
      <c r="L72" s="3">
        <v>0</v>
      </c>
      <c r="P72" s="86" t="s">
        <v>144</v>
      </c>
      <c r="Q72" s="3">
        <v>1</v>
      </c>
      <c r="S72" s="15"/>
    </row>
    <row r="73" spans="1:21" x14ac:dyDescent="0.3">
      <c r="A73" s="86" t="s">
        <v>207</v>
      </c>
      <c r="B73" s="3">
        <v>0.5</v>
      </c>
      <c r="C73" s="3"/>
      <c r="D73" s="3"/>
      <c r="F73" s="86" t="s">
        <v>207</v>
      </c>
      <c r="G73" s="3">
        <v>0.88</v>
      </c>
      <c r="H73" s="3"/>
      <c r="I73" s="3"/>
    </row>
    <row r="74" spans="1:21" x14ac:dyDescent="0.3">
      <c r="A74" s="86" t="s">
        <v>208</v>
      </c>
      <c r="B74" s="3">
        <v>0.3</v>
      </c>
      <c r="C74" s="3"/>
      <c r="D74" s="3"/>
      <c r="F74" s="86" t="s">
        <v>208</v>
      </c>
      <c r="G74" s="3">
        <v>0.94</v>
      </c>
      <c r="H74" s="3"/>
      <c r="I74" s="3"/>
    </row>
    <row r="75" spans="1:21" x14ac:dyDescent="0.3">
      <c r="A75" s="86" t="s">
        <v>210</v>
      </c>
      <c r="B75" s="3">
        <v>0.5</v>
      </c>
      <c r="C75" s="3"/>
      <c r="D75" s="3"/>
      <c r="F75" s="86" t="s">
        <v>210</v>
      </c>
      <c r="G75" s="3">
        <v>0.8</v>
      </c>
      <c r="H75" s="3"/>
      <c r="I75" s="3"/>
    </row>
    <row r="76" spans="1:21" x14ac:dyDescent="0.3">
      <c r="A76" s="86" t="s">
        <v>132</v>
      </c>
      <c r="B76" s="3">
        <v>0.5</v>
      </c>
      <c r="C76" s="3"/>
      <c r="D76" s="3"/>
      <c r="F76" s="86" t="s">
        <v>132</v>
      </c>
      <c r="G76" s="3">
        <v>0.8</v>
      </c>
      <c r="H76" s="3"/>
      <c r="I76" s="3"/>
    </row>
    <row r="77" spans="1:21" x14ac:dyDescent="0.3">
      <c r="A77" s="86" t="s">
        <v>291</v>
      </c>
      <c r="B77" s="3">
        <v>0.4</v>
      </c>
      <c r="C77" s="3"/>
      <c r="D77" s="3"/>
      <c r="F77" s="86" t="s">
        <v>291</v>
      </c>
      <c r="G77" s="3">
        <v>0.8</v>
      </c>
      <c r="H77" s="3"/>
      <c r="I77" s="3"/>
    </row>
    <row r="78" spans="1:21" x14ac:dyDescent="0.3">
      <c r="A78" s="86" t="s">
        <v>583</v>
      </c>
      <c r="B78">
        <v>0.35</v>
      </c>
      <c r="C78" s="3"/>
      <c r="D78" s="3"/>
      <c r="F78" s="86" t="s">
        <v>583</v>
      </c>
      <c r="G78" s="3">
        <v>0.87</v>
      </c>
      <c r="H78" s="3"/>
      <c r="I78" s="3"/>
    </row>
    <row r="79" spans="1:21" x14ac:dyDescent="0.3">
      <c r="A79" s="76"/>
      <c r="B79" s="3"/>
      <c r="C79" s="3"/>
      <c r="D79" s="3"/>
      <c r="F79" s="76"/>
      <c r="G79" s="3"/>
      <c r="H79" s="3"/>
      <c r="I79" s="3"/>
    </row>
    <row r="80" spans="1:21" x14ac:dyDescent="0.3">
      <c r="A80" s="76"/>
      <c r="B80" s="3"/>
      <c r="C80" s="3"/>
      <c r="D80" s="3"/>
      <c r="F80" s="76"/>
      <c r="G80" s="3"/>
      <c r="H80" s="3"/>
      <c r="I80" s="3"/>
    </row>
    <row r="83" spans="1:18" x14ac:dyDescent="0.3">
      <c r="A83" s="77" t="s">
        <v>70</v>
      </c>
      <c r="B83" s="74"/>
      <c r="C83" s="74"/>
      <c r="F83" s="77" t="s">
        <v>71</v>
      </c>
      <c r="G83" s="74"/>
      <c r="H83" s="74"/>
      <c r="K83" s="77" t="s">
        <v>72</v>
      </c>
      <c r="L83" s="74"/>
      <c r="M83" s="74"/>
      <c r="P83" s="77" t="s">
        <v>72</v>
      </c>
      <c r="Q83" s="74"/>
      <c r="R83" s="74"/>
    </row>
    <row r="84" spans="1:18" x14ac:dyDescent="0.3">
      <c r="A84" s="77" t="s">
        <v>476</v>
      </c>
      <c r="B84" s="74"/>
      <c r="C84" s="74"/>
      <c r="F84" s="77" t="s">
        <v>477</v>
      </c>
      <c r="G84" s="74"/>
      <c r="H84" s="74"/>
      <c r="K84" s="77" t="s">
        <v>478</v>
      </c>
      <c r="L84" s="74"/>
      <c r="M84" s="74"/>
      <c r="P84" s="77" t="s">
        <v>479</v>
      </c>
      <c r="Q84" s="74"/>
      <c r="R84" s="74"/>
    </row>
    <row r="85" spans="1:18" x14ac:dyDescent="0.3">
      <c r="A85" s="86" t="s">
        <v>214</v>
      </c>
      <c r="B85" s="3">
        <v>1</v>
      </c>
      <c r="C85" s="80"/>
      <c r="F85" s="86" t="s">
        <v>214</v>
      </c>
      <c r="G85" s="3">
        <v>1</v>
      </c>
      <c r="H85" s="80"/>
      <c r="J85" s="45"/>
      <c r="K85" s="86" t="s">
        <v>214</v>
      </c>
      <c r="L85" s="3">
        <v>1</v>
      </c>
      <c r="M85" s="80"/>
      <c r="P85" s="86" t="s">
        <v>214</v>
      </c>
      <c r="Q85" s="3">
        <v>1</v>
      </c>
      <c r="R85" s="80"/>
    </row>
    <row r="86" spans="1:18" x14ac:dyDescent="0.3">
      <c r="A86" s="86" t="s">
        <v>654</v>
      </c>
      <c r="B86" s="3">
        <v>1</v>
      </c>
      <c r="C86" s="80"/>
      <c r="F86" s="86" t="s">
        <v>654</v>
      </c>
      <c r="G86" s="3">
        <v>1</v>
      </c>
      <c r="H86" s="80"/>
      <c r="J86" s="45"/>
      <c r="K86" s="86" t="s">
        <v>654</v>
      </c>
      <c r="L86" s="3">
        <v>1</v>
      </c>
      <c r="M86" s="3"/>
      <c r="P86" s="86" t="s">
        <v>654</v>
      </c>
      <c r="Q86" s="3">
        <v>1</v>
      </c>
      <c r="R86" s="3"/>
    </row>
    <row r="87" spans="1:18" x14ac:dyDescent="0.3">
      <c r="A87" s="86" t="s">
        <v>207</v>
      </c>
      <c r="B87" s="3">
        <v>0.1</v>
      </c>
      <c r="C87" s="80"/>
      <c r="F87" s="86" t="s">
        <v>207</v>
      </c>
      <c r="G87" s="3">
        <v>0.1</v>
      </c>
      <c r="H87" s="80"/>
      <c r="J87" s="45"/>
      <c r="K87" s="86" t="s">
        <v>207</v>
      </c>
      <c r="L87" s="3">
        <v>0.1</v>
      </c>
      <c r="M87" s="80"/>
      <c r="P87" s="86" t="s">
        <v>207</v>
      </c>
      <c r="Q87" s="3">
        <v>0.1</v>
      </c>
      <c r="R87" s="80"/>
    </row>
    <row r="88" spans="1:18" x14ac:dyDescent="0.3">
      <c r="A88" s="86" t="s">
        <v>210</v>
      </c>
      <c r="B88" s="3">
        <v>1</v>
      </c>
      <c r="C88" s="3"/>
      <c r="F88" s="86" t="s">
        <v>210</v>
      </c>
      <c r="G88" s="3">
        <v>1</v>
      </c>
      <c r="H88" s="80"/>
      <c r="J88" s="45"/>
      <c r="K88" s="86" t="s">
        <v>210</v>
      </c>
      <c r="L88" s="3">
        <v>1</v>
      </c>
      <c r="M88" s="3"/>
      <c r="P88" s="86" t="s">
        <v>210</v>
      </c>
      <c r="Q88" s="3">
        <v>1</v>
      </c>
      <c r="R88" s="3"/>
    </row>
    <row r="89" spans="1:18" x14ac:dyDescent="0.3">
      <c r="A89" s="86" t="s">
        <v>208</v>
      </c>
      <c r="B89" s="3">
        <v>1</v>
      </c>
      <c r="C89" s="3"/>
      <c r="F89" s="86" t="s">
        <v>208</v>
      </c>
      <c r="G89" s="3">
        <v>1</v>
      </c>
      <c r="H89" s="80"/>
      <c r="J89" s="45"/>
      <c r="K89" s="86" t="s">
        <v>208</v>
      </c>
      <c r="L89" s="3">
        <v>1</v>
      </c>
      <c r="M89" s="3"/>
      <c r="P89" s="86" t="s">
        <v>208</v>
      </c>
      <c r="Q89" s="3">
        <v>1</v>
      </c>
      <c r="R89" s="3"/>
    </row>
    <row r="90" spans="1:18" x14ac:dyDescent="0.3">
      <c r="A90" s="86" t="s">
        <v>132</v>
      </c>
      <c r="B90" s="3">
        <v>0.3</v>
      </c>
      <c r="C90" s="3"/>
      <c r="F90" s="86" t="s">
        <v>132</v>
      </c>
      <c r="G90" s="3">
        <v>0.3</v>
      </c>
      <c r="H90" s="80"/>
      <c r="J90" s="45"/>
      <c r="K90" s="86" t="s">
        <v>132</v>
      </c>
      <c r="L90" s="3">
        <v>0.3</v>
      </c>
      <c r="M90" s="3"/>
      <c r="P90" s="86" t="s">
        <v>132</v>
      </c>
      <c r="Q90" s="3">
        <v>0.3</v>
      </c>
      <c r="R90" s="3"/>
    </row>
    <row r="91" spans="1:18" x14ac:dyDescent="0.3">
      <c r="A91" s="86" t="s">
        <v>291</v>
      </c>
      <c r="B91" s="3">
        <v>0.3</v>
      </c>
      <c r="C91" s="3"/>
      <c r="F91" s="86" t="s">
        <v>291</v>
      </c>
      <c r="G91" s="3">
        <v>0.3</v>
      </c>
      <c r="H91" s="80"/>
      <c r="J91" s="45"/>
      <c r="K91" s="86" t="s">
        <v>291</v>
      </c>
      <c r="L91" s="3">
        <v>0.3</v>
      </c>
      <c r="M91" s="3"/>
      <c r="P91" s="86" t="s">
        <v>291</v>
      </c>
      <c r="Q91" s="3">
        <v>0.3</v>
      </c>
      <c r="R91" s="3"/>
    </row>
    <row r="92" spans="1:18" x14ac:dyDescent="0.3">
      <c r="A92" s="86" t="s">
        <v>583</v>
      </c>
      <c r="B92" s="3">
        <v>1</v>
      </c>
      <c r="C92" s="3"/>
      <c r="F92" s="86" t="s">
        <v>583</v>
      </c>
      <c r="G92" s="3">
        <v>1</v>
      </c>
      <c r="H92" s="80"/>
      <c r="J92" s="45"/>
      <c r="K92" s="86" t="s">
        <v>583</v>
      </c>
      <c r="L92" s="3">
        <v>1</v>
      </c>
      <c r="M92" s="3"/>
      <c r="P92" s="86" t="s">
        <v>583</v>
      </c>
      <c r="Q92" s="3">
        <v>1</v>
      </c>
      <c r="R92" s="3"/>
    </row>
    <row r="93" spans="1:18" x14ac:dyDescent="0.3">
      <c r="A93" s="86" t="s">
        <v>130</v>
      </c>
      <c r="B93" s="3">
        <v>0.1</v>
      </c>
      <c r="C93" s="80"/>
      <c r="F93" s="86" t="s">
        <v>130</v>
      </c>
      <c r="G93" s="3">
        <v>0.1</v>
      </c>
      <c r="H93" s="80"/>
    </row>
    <row r="94" spans="1:18" x14ac:dyDescent="0.3">
      <c r="A94" s="86" t="s">
        <v>131</v>
      </c>
      <c r="B94" s="3">
        <v>0.1</v>
      </c>
      <c r="C94" s="3"/>
      <c r="F94" s="86" t="s">
        <v>131</v>
      </c>
      <c r="G94" s="3">
        <v>0.1</v>
      </c>
      <c r="H94" s="80"/>
    </row>
    <row r="95" spans="1:18" x14ac:dyDescent="0.3">
      <c r="A95" s="86" t="s">
        <v>213</v>
      </c>
      <c r="B95" s="3">
        <v>0.1</v>
      </c>
      <c r="C95" s="3"/>
      <c r="F95" s="86" t="s">
        <v>213</v>
      </c>
      <c r="G95" s="3">
        <v>0.1</v>
      </c>
      <c r="H95" s="80"/>
    </row>
    <row r="96" spans="1:18" x14ac:dyDescent="0.3">
      <c r="A96" s="86" t="s">
        <v>133</v>
      </c>
      <c r="B96" s="3">
        <v>1</v>
      </c>
      <c r="C96" s="3"/>
      <c r="F96" s="86" t="s">
        <v>133</v>
      </c>
      <c r="G96" s="3">
        <v>1</v>
      </c>
      <c r="H96" s="80"/>
    </row>
    <row r="97" spans="1:10" x14ac:dyDescent="0.3">
      <c r="A97" s="15"/>
      <c r="F97" s="15"/>
      <c r="H97" s="4"/>
    </row>
    <row r="99" spans="1:10" x14ac:dyDescent="0.3">
      <c r="A99" s="77" t="s">
        <v>526</v>
      </c>
      <c r="B99" s="74"/>
      <c r="C99" s="74"/>
      <c r="J99" s="17"/>
    </row>
    <row r="100" spans="1:10" x14ac:dyDescent="0.3">
      <c r="A100" s="77" t="s">
        <v>587</v>
      </c>
      <c r="B100" s="74"/>
      <c r="C100" s="74"/>
      <c r="J100" s="17"/>
    </row>
    <row r="101" spans="1:10" x14ac:dyDescent="0.3">
      <c r="A101" s="113"/>
      <c r="B101" s="113">
        <v>1</v>
      </c>
      <c r="C101" s="113">
        <v>2</v>
      </c>
      <c r="D101" s="113">
        <v>3</v>
      </c>
      <c r="E101" s="113">
        <v>4</v>
      </c>
      <c r="F101" s="113">
        <v>5</v>
      </c>
      <c r="G101" s="113">
        <v>6</v>
      </c>
      <c r="H101" s="35"/>
      <c r="J101" s="17"/>
    </row>
    <row r="102" spans="1:10" x14ac:dyDescent="0.3">
      <c r="A102" s="115" t="s">
        <v>130</v>
      </c>
      <c r="B102" s="35">
        <v>0.71</v>
      </c>
      <c r="C102" s="35">
        <v>0.71</v>
      </c>
      <c r="D102" s="35">
        <v>0.71</v>
      </c>
      <c r="E102" s="35">
        <v>0.71</v>
      </c>
      <c r="F102" s="35">
        <v>0.71</v>
      </c>
      <c r="G102" s="35">
        <v>0.71</v>
      </c>
      <c r="H102" s="88"/>
      <c r="J102" s="17"/>
    </row>
    <row r="103" spans="1:10" x14ac:dyDescent="0.3">
      <c r="A103" s="115" t="s">
        <v>131</v>
      </c>
      <c r="B103" s="35">
        <v>0.83</v>
      </c>
      <c r="C103" s="35">
        <v>0.83</v>
      </c>
      <c r="D103" s="35">
        <v>0.83</v>
      </c>
      <c r="E103" s="35">
        <v>0.83</v>
      </c>
      <c r="F103" s="35">
        <v>0.83</v>
      </c>
      <c r="G103" s="35">
        <v>0.83</v>
      </c>
      <c r="H103" s="88"/>
      <c r="J103" s="17"/>
    </row>
    <row r="104" spans="1:10" x14ac:dyDescent="0.3">
      <c r="A104" s="115" t="s">
        <v>213</v>
      </c>
      <c r="B104" s="35">
        <v>0.69</v>
      </c>
      <c r="C104" s="35">
        <v>0.69</v>
      </c>
      <c r="D104" s="35">
        <v>0.69</v>
      </c>
      <c r="E104" s="35">
        <v>0.69</v>
      </c>
      <c r="F104" s="35">
        <v>0.69</v>
      </c>
      <c r="G104" s="35">
        <v>0.69</v>
      </c>
      <c r="H104" s="88"/>
      <c r="J104" s="17"/>
    </row>
    <row r="105" spans="1:10" x14ac:dyDescent="0.3">
      <c r="A105" s="115" t="s">
        <v>133</v>
      </c>
      <c r="B105" s="35">
        <v>0.76</v>
      </c>
      <c r="C105" s="35">
        <v>0.79</v>
      </c>
      <c r="D105" s="35">
        <v>0.8</v>
      </c>
      <c r="E105" s="35">
        <v>0.81</v>
      </c>
      <c r="F105" s="35">
        <v>0.82</v>
      </c>
      <c r="G105" s="35">
        <v>0.82</v>
      </c>
      <c r="H105" s="88"/>
      <c r="J105" s="17"/>
    </row>
    <row r="106" spans="1:10" x14ac:dyDescent="0.3">
      <c r="A106" s="115" t="s">
        <v>214</v>
      </c>
      <c r="B106" s="35">
        <v>0.6</v>
      </c>
      <c r="C106" s="35">
        <v>0.6</v>
      </c>
      <c r="D106" s="35">
        <v>0.6</v>
      </c>
      <c r="E106" s="35">
        <v>0.6</v>
      </c>
      <c r="F106" s="35">
        <v>0.6</v>
      </c>
      <c r="G106" s="35">
        <v>0.6</v>
      </c>
      <c r="H106" s="88"/>
      <c r="J106" s="17"/>
    </row>
    <row r="107" spans="1:10" x14ac:dyDescent="0.3">
      <c r="A107" s="115" t="s">
        <v>654</v>
      </c>
      <c r="B107" s="35">
        <v>0.48</v>
      </c>
      <c r="C107" s="35">
        <v>0.48</v>
      </c>
      <c r="D107" s="35">
        <v>0.48</v>
      </c>
      <c r="E107" s="35">
        <v>0.53</v>
      </c>
      <c r="F107" s="35">
        <v>0.53</v>
      </c>
      <c r="G107" s="35">
        <v>0.53</v>
      </c>
      <c r="H107" s="88"/>
      <c r="J107" s="17"/>
    </row>
    <row r="108" spans="1:10" x14ac:dyDescent="0.3">
      <c r="A108" s="115" t="s">
        <v>207</v>
      </c>
      <c r="B108" s="35">
        <v>0.39100000000000001</v>
      </c>
      <c r="C108" s="35">
        <v>0.39100000000000001</v>
      </c>
      <c r="D108" s="35">
        <v>0.39100000000000001</v>
      </c>
      <c r="E108" s="35">
        <v>0.39100000000000001</v>
      </c>
      <c r="F108" s="35">
        <v>0.39100000000000001</v>
      </c>
      <c r="G108" s="35">
        <v>0.39100000000000001</v>
      </c>
      <c r="H108" s="88"/>
      <c r="J108" s="17"/>
    </row>
    <row r="109" spans="1:10" x14ac:dyDescent="0.3">
      <c r="A109" s="115" t="s">
        <v>208</v>
      </c>
      <c r="B109" s="35">
        <v>0.39</v>
      </c>
      <c r="C109" s="35">
        <v>0.39</v>
      </c>
      <c r="D109" s="35">
        <v>0.39</v>
      </c>
      <c r="E109" s="35">
        <v>0.39</v>
      </c>
      <c r="F109" s="35">
        <v>0.39</v>
      </c>
      <c r="G109" s="35">
        <v>0.39</v>
      </c>
      <c r="H109" s="35"/>
      <c r="J109" s="17"/>
    </row>
    <row r="110" spans="1:10" x14ac:dyDescent="0.3">
      <c r="A110" s="115" t="s">
        <v>210</v>
      </c>
      <c r="B110" s="35">
        <v>0.48899999999999999</v>
      </c>
      <c r="C110" s="35">
        <v>0.48899999999999999</v>
      </c>
      <c r="D110" s="35">
        <v>0.48899999999999999</v>
      </c>
      <c r="E110" s="35">
        <v>0.48899999999999999</v>
      </c>
      <c r="F110" s="35">
        <v>0.48899999999999999</v>
      </c>
      <c r="G110" s="35">
        <v>0.48899999999999999</v>
      </c>
      <c r="H110" s="35"/>
      <c r="J110" s="17"/>
    </row>
    <row r="111" spans="1:10" x14ac:dyDescent="0.3">
      <c r="A111" s="115" t="s">
        <v>132</v>
      </c>
      <c r="B111" s="35">
        <v>0.28000000000000003</v>
      </c>
      <c r="C111" s="35">
        <v>0.28000000000000003</v>
      </c>
      <c r="D111" s="35">
        <v>0.28000000000000003</v>
      </c>
      <c r="E111" s="35">
        <v>0.28000000000000003</v>
      </c>
      <c r="F111" s="35">
        <v>0.28000000000000003</v>
      </c>
      <c r="G111" s="35">
        <v>0.28000000000000003</v>
      </c>
      <c r="H111" s="35"/>
      <c r="J111" s="17"/>
    </row>
    <row r="112" spans="1:10" x14ac:dyDescent="0.3">
      <c r="A112" s="115" t="s">
        <v>291</v>
      </c>
      <c r="B112" s="35">
        <v>0.35</v>
      </c>
      <c r="C112" s="35">
        <v>0.35</v>
      </c>
      <c r="D112" s="35">
        <v>0.35</v>
      </c>
      <c r="E112" s="35">
        <v>0.35</v>
      </c>
      <c r="F112" s="35">
        <v>0.35</v>
      </c>
      <c r="G112" s="35">
        <v>0.35</v>
      </c>
      <c r="H112" s="35"/>
      <c r="J112" s="17"/>
    </row>
    <row r="113" spans="1:11" x14ac:dyDescent="0.3">
      <c r="A113" s="115" t="s">
        <v>583</v>
      </c>
      <c r="B113" s="35">
        <v>0.51</v>
      </c>
      <c r="C113" s="35">
        <v>0.51</v>
      </c>
      <c r="D113" s="35">
        <v>0.51</v>
      </c>
      <c r="E113" s="35">
        <v>0.51</v>
      </c>
      <c r="F113" s="35">
        <v>0.51</v>
      </c>
      <c r="G113" s="35">
        <v>0.51</v>
      </c>
      <c r="H113" s="35"/>
      <c r="J113" s="17"/>
    </row>
    <row r="114" spans="1:11" x14ac:dyDescent="0.3">
      <c r="A114" s="115" t="s">
        <v>98</v>
      </c>
      <c r="B114" s="35">
        <v>1</v>
      </c>
      <c r="C114" s="35">
        <v>1</v>
      </c>
      <c r="D114" s="35">
        <v>1</v>
      </c>
      <c r="E114" s="35">
        <v>1</v>
      </c>
      <c r="F114" s="35">
        <v>1</v>
      </c>
      <c r="G114" s="35">
        <v>1</v>
      </c>
      <c r="H114" s="35"/>
      <c r="J114" s="17"/>
    </row>
    <row r="115" spans="1:11" x14ac:dyDescent="0.3">
      <c r="A115" s="115" t="s">
        <v>99</v>
      </c>
      <c r="B115" s="35">
        <v>1</v>
      </c>
      <c r="C115" s="35">
        <v>1</v>
      </c>
      <c r="D115" s="35">
        <v>1</v>
      </c>
      <c r="E115" s="35">
        <v>1</v>
      </c>
      <c r="F115" s="35">
        <v>1</v>
      </c>
      <c r="G115" s="35">
        <v>1</v>
      </c>
      <c r="H115" s="35"/>
      <c r="J115" s="17"/>
    </row>
    <row r="116" spans="1:11" x14ac:dyDescent="0.3">
      <c r="A116" s="115" t="s">
        <v>97</v>
      </c>
      <c r="B116" s="35">
        <v>1</v>
      </c>
      <c r="C116" s="35">
        <v>1</v>
      </c>
      <c r="D116" s="35">
        <v>1</v>
      </c>
      <c r="E116" s="35">
        <v>1</v>
      </c>
      <c r="F116" s="35">
        <v>1</v>
      </c>
      <c r="G116" s="35">
        <v>1</v>
      </c>
      <c r="H116" s="35"/>
      <c r="J116" s="17"/>
    </row>
    <row r="117" spans="1:11" x14ac:dyDescent="0.3">
      <c r="A117" s="115" t="s">
        <v>584</v>
      </c>
      <c r="B117" s="35">
        <v>1</v>
      </c>
      <c r="C117" s="35">
        <v>1</v>
      </c>
      <c r="D117" s="35">
        <v>1</v>
      </c>
      <c r="E117" s="35">
        <v>1</v>
      </c>
      <c r="F117" s="35">
        <v>1</v>
      </c>
      <c r="G117" s="35">
        <v>1</v>
      </c>
      <c r="H117" s="35"/>
      <c r="J117" s="17"/>
    </row>
    <row r="118" spans="1:11" x14ac:dyDescent="0.3">
      <c r="A118" s="115" t="s">
        <v>211</v>
      </c>
      <c r="B118" s="35">
        <v>0.85</v>
      </c>
      <c r="C118" s="35">
        <v>0.85</v>
      </c>
      <c r="D118" s="35">
        <v>0.85</v>
      </c>
      <c r="E118" s="35">
        <v>0.85</v>
      </c>
      <c r="F118" s="35">
        <v>0.85</v>
      </c>
      <c r="G118" s="35">
        <v>0.85</v>
      </c>
      <c r="H118" s="35"/>
      <c r="K118" t="s">
        <v>742</v>
      </c>
    </row>
    <row r="119" spans="1:11" x14ac:dyDescent="0.3">
      <c r="A119" s="115" t="s">
        <v>212</v>
      </c>
      <c r="B119" s="35">
        <v>0.75</v>
      </c>
      <c r="C119" s="35">
        <v>0.75</v>
      </c>
      <c r="D119" s="35">
        <v>0.75</v>
      </c>
      <c r="E119" s="35">
        <v>0.75</v>
      </c>
      <c r="F119" s="35">
        <v>0.75</v>
      </c>
      <c r="G119" s="35">
        <v>0.75</v>
      </c>
      <c r="H119" s="35"/>
      <c r="J119" s="17"/>
    </row>
    <row r="120" spans="1:11" x14ac:dyDescent="0.3">
      <c r="A120" s="115" t="s">
        <v>139</v>
      </c>
      <c r="B120" s="35">
        <v>0.997</v>
      </c>
      <c r="C120" s="35">
        <v>0.997</v>
      </c>
      <c r="D120" s="35">
        <v>0.997</v>
      </c>
      <c r="E120" s="35">
        <v>0.997</v>
      </c>
      <c r="F120" s="35">
        <v>0.997</v>
      </c>
      <c r="G120" s="35">
        <v>0.997</v>
      </c>
      <c r="H120" s="88"/>
      <c r="J120" s="17"/>
    </row>
    <row r="121" spans="1:11" x14ac:dyDescent="0.3">
      <c r="A121" s="115" t="s">
        <v>140</v>
      </c>
      <c r="B121" s="35">
        <v>0.996</v>
      </c>
      <c r="C121" s="35">
        <v>0.996</v>
      </c>
      <c r="D121" s="35">
        <v>0.996</v>
      </c>
      <c r="E121" s="35">
        <v>0.996</v>
      </c>
      <c r="F121" s="35">
        <v>0.996</v>
      </c>
      <c r="G121" s="35">
        <v>0.996</v>
      </c>
      <c r="H121" s="35"/>
      <c r="J121" s="17"/>
    </row>
    <row r="122" spans="1:11" x14ac:dyDescent="0.3">
      <c r="A122" s="115" t="s">
        <v>141</v>
      </c>
      <c r="B122" s="35">
        <v>0.99399999999999999</v>
      </c>
      <c r="C122" s="35">
        <v>0.99399999999999999</v>
      </c>
      <c r="D122" s="35">
        <v>0.99399999999999999</v>
      </c>
      <c r="E122" s="35">
        <v>0.99399999999999999</v>
      </c>
      <c r="F122" s="35">
        <v>0.99399999999999999</v>
      </c>
      <c r="G122" s="35">
        <v>0.99399999999999999</v>
      </c>
      <c r="H122" s="35"/>
      <c r="J122" s="17"/>
    </row>
    <row r="123" spans="1:11" x14ac:dyDescent="0.3">
      <c r="A123" s="115" t="s">
        <v>142</v>
      </c>
      <c r="B123" s="35">
        <v>0.996</v>
      </c>
      <c r="C123" s="35">
        <v>0.996</v>
      </c>
      <c r="D123" s="35">
        <v>0.996</v>
      </c>
      <c r="E123" s="35">
        <v>0.996</v>
      </c>
      <c r="F123" s="35">
        <v>0.996</v>
      </c>
      <c r="G123" s="35">
        <v>0.996</v>
      </c>
      <c r="H123" s="35"/>
      <c r="J123" s="17"/>
    </row>
    <row r="124" spans="1:11" x14ac:dyDescent="0.3">
      <c r="A124" s="115" t="s">
        <v>143</v>
      </c>
      <c r="B124" s="35">
        <v>1</v>
      </c>
      <c r="C124" s="35">
        <v>1</v>
      </c>
      <c r="D124" s="35">
        <v>1</v>
      </c>
      <c r="E124" s="35">
        <v>1</v>
      </c>
      <c r="F124" s="35">
        <v>1</v>
      </c>
      <c r="G124" s="35">
        <v>1</v>
      </c>
      <c r="H124" s="35"/>
      <c r="J124" s="17"/>
    </row>
    <row r="125" spans="1:11" x14ac:dyDescent="0.3">
      <c r="A125" s="115" t="s">
        <v>144</v>
      </c>
      <c r="B125" s="35">
        <v>1</v>
      </c>
      <c r="C125" s="35">
        <v>1</v>
      </c>
      <c r="D125" s="35">
        <v>1</v>
      </c>
      <c r="E125" s="35">
        <v>1</v>
      </c>
      <c r="F125" s="35">
        <v>1</v>
      </c>
      <c r="G125" s="35">
        <v>1</v>
      </c>
      <c r="H125" s="35"/>
      <c r="J125" s="17"/>
    </row>
    <row r="126" spans="1:11" x14ac:dyDescent="0.3">
      <c r="J126" s="17"/>
    </row>
    <row r="127" spans="1:11" x14ac:dyDescent="0.3">
      <c r="J127" s="17"/>
    </row>
    <row r="128" spans="1:11" x14ac:dyDescent="0.3">
      <c r="A128" s="78" t="s">
        <v>532</v>
      </c>
      <c r="B128" s="79"/>
    </row>
    <row r="129" spans="1:14" x14ac:dyDescent="0.3">
      <c r="A129" s="76" t="s">
        <v>211</v>
      </c>
      <c r="B129" s="3">
        <v>6</v>
      </c>
    </row>
    <row r="130" spans="1:14" x14ac:dyDescent="0.3">
      <c r="A130" s="76" t="s">
        <v>212</v>
      </c>
      <c r="B130" s="3">
        <v>8</v>
      </c>
    </row>
    <row r="133" spans="1:14" x14ac:dyDescent="0.3">
      <c r="A133" s="77" t="s">
        <v>565</v>
      </c>
    </row>
    <row r="134" spans="1:14" x14ac:dyDescent="0.3">
      <c r="A134" s="77" t="s">
        <v>564</v>
      </c>
    </row>
    <row r="135" spans="1:14" x14ac:dyDescent="0.3">
      <c r="A135" s="76" t="s">
        <v>214</v>
      </c>
      <c r="B135" s="3">
        <v>0.8</v>
      </c>
      <c r="C135" t="s">
        <v>449</v>
      </c>
      <c r="M135" s="3">
        <v>0.8</v>
      </c>
    </row>
    <row r="136" spans="1:14" x14ac:dyDescent="0.3">
      <c r="A136" s="76" t="s">
        <v>654</v>
      </c>
      <c r="B136" s="3">
        <v>0.91</v>
      </c>
      <c r="C136" t="s">
        <v>678</v>
      </c>
      <c r="H136" s="4"/>
      <c r="M136" s="3">
        <v>0.87</v>
      </c>
    </row>
    <row r="137" spans="1:14" x14ac:dyDescent="0.3">
      <c r="A137" s="76" t="s">
        <v>207</v>
      </c>
      <c r="B137" s="3">
        <v>0.754</v>
      </c>
      <c r="C137" s="80" t="s">
        <v>760</v>
      </c>
      <c r="H137" s="4"/>
      <c r="M137" s="3">
        <v>0.78</v>
      </c>
      <c r="N137" s="80"/>
    </row>
    <row r="138" spans="1:14" x14ac:dyDescent="0.3">
      <c r="A138" s="76" t="s">
        <v>208</v>
      </c>
      <c r="B138" s="3">
        <v>0.93500000000000005</v>
      </c>
      <c r="C138" s="80" t="s">
        <v>100</v>
      </c>
      <c r="H138" s="4"/>
      <c r="M138" s="3">
        <v>0.95</v>
      </c>
      <c r="N138" s="80"/>
    </row>
    <row r="139" spans="1:14" x14ac:dyDescent="0.3">
      <c r="A139" s="76" t="s">
        <v>210</v>
      </c>
      <c r="B139" s="3">
        <v>0.91</v>
      </c>
      <c r="C139" s="80"/>
      <c r="M139" s="3">
        <v>0.9</v>
      </c>
      <c r="N139" s="80"/>
    </row>
    <row r="140" spans="1:14" x14ac:dyDescent="0.3">
      <c r="A140" s="76" t="s">
        <v>132</v>
      </c>
      <c r="B140" s="3">
        <v>0.88</v>
      </c>
      <c r="C140" s="80" t="s">
        <v>100</v>
      </c>
      <c r="H140" s="4"/>
      <c r="M140" s="3">
        <v>0.88</v>
      </c>
      <c r="N140" s="80"/>
    </row>
    <row r="141" spans="1:14" x14ac:dyDescent="0.3">
      <c r="A141" s="76" t="s">
        <v>291</v>
      </c>
      <c r="B141" s="3">
        <v>0.85</v>
      </c>
      <c r="C141" s="80"/>
      <c r="H141" s="4"/>
      <c r="M141" s="3">
        <v>0.85</v>
      </c>
      <c r="N141" s="80"/>
    </row>
    <row r="142" spans="1:14" x14ac:dyDescent="0.3">
      <c r="A142" s="76" t="s">
        <v>583</v>
      </c>
      <c r="B142" s="3">
        <v>0.91</v>
      </c>
      <c r="C142" s="80" t="s">
        <v>760</v>
      </c>
      <c r="H142" s="4"/>
      <c r="M142" s="3">
        <v>0.87</v>
      </c>
      <c r="N142" s="80"/>
    </row>
    <row r="143" spans="1:14" x14ac:dyDescent="0.3">
      <c r="A143" s="76" t="s">
        <v>98</v>
      </c>
      <c r="B143" s="3">
        <v>0.14399999999999999</v>
      </c>
      <c r="C143" s="80" t="s">
        <v>760</v>
      </c>
      <c r="H143" s="4"/>
      <c r="M143" s="3">
        <v>0.25</v>
      </c>
      <c r="N143" s="80"/>
    </row>
    <row r="144" spans="1:14" x14ac:dyDescent="0.3">
      <c r="A144" s="76" t="s">
        <v>99</v>
      </c>
      <c r="B144" s="3">
        <v>0.14399999999999999</v>
      </c>
      <c r="C144" s="80"/>
      <c r="H144" s="4"/>
      <c r="M144" s="3">
        <v>0.36</v>
      </c>
      <c r="N144" s="80"/>
    </row>
    <row r="145" spans="1:16" x14ac:dyDescent="0.3">
      <c r="A145" s="76" t="s">
        <v>97</v>
      </c>
      <c r="B145" s="3">
        <v>0</v>
      </c>
      <c r="C145" s="80"/>
      <c r="H145" s="4"/>
      <c r="M145" s="3">
        <v>0.14000000000000001</v>
      </c>
      <c r="N145" s="80"/>
    </row>
    <row r="146" spans="1:16" x14ac:dyDescent="0.3">
      <c r="A146" s="76" t="s">
        <v>584</v>
      </c>
      <c r="B146" s="3">
        <v>0.91</v>
      </c>
      <c r="C146" s="3"/>
      <c r="M146" s="3">
        <v>1</v>
      </c>
      <c r="N146" s="3"/>
    </row>
    <row r="147" spans="1:16" x14ac:dyDescent="0.3">
      <c r="A147" s="76" t="s">
        <v>211</v>
      </c>
      <c r="B147" s="3">
        <v>0.48799999999999999</v>
      </c>
      <c r="C147" s="80"/>
      <c r="H147" s="4"/>
      <c r="M147" s="3">
        <v>0.8</v>
      </c>
      <c r="N147" s="80"/>
    </row>
    <row r="148" spans="1:16" x14ac:dyDescent="0.3">
      <c r="A148" s="76" t="s">
        <v>212</v>
      </c>
      <c r="B148" s="3">
        <v>0.48799999999999999</v>
      </c>
      <c r="C148" s="80"/>
      <c r="H148" s="4"/>
      <c r="M148" s="3">
        <v>1</v>
      </c>
      <c r="N148" s="80"/>
    </row>
    <row r="151" spans="1:16" x14ac:dyDescent="0.3">
      <c r="A151" s="111" t="s">
        <v>761</v>
      </c>
      <c r="B151" s="112"/>
      <c r="C151" s="112"/>
      <c r="D151" s="112"/>
      <c r="E151" s="27"/>
      <c r="F151" s="27"/>
      <c r="G151" s="27"/>
      <c r="H151" s="27"/>
      <c r="I151" s="27"/>
    </row>
    <row r="152" spans="1:16" x14ac:dyDescent="0.3">
      <c r="A152" s="111" t="s">
        <v>588</v>
      </c>
      <c r="B152" s="112"/>
      <c r="C152" s="112"/>
      <c r="D152" s="112"/>
      <c r="E152" s="27"/>
      <c r="F152" s="27"/>
      <c r="G152" s="27"/>
      <c r="H152" s="27"/>
      <c r="I152" s="27"/>
    </row>
    <row r="153" spans="1:16" x14ac:dyDescent="0.3">
      <c r="A153" s="113"/>
      <c r="B153" s="35" t="s">
        <v>353</v>
      </c>
      <c r="C153" s="35" t="s">
        <v>354</v>
      </c>
      <c r="D153" s="35" t="s">
        <v>355</v>
      </c>
      <c r="E153" s="35" t="s">
        <v>356</v>
      </c>
      <c r="F153" s="35" t="s">
        <v>357</v>
      </c>
      <c r="G153" s="35" t="s">
        <v>358</v>
      </c>
      <c r="H153" s="35"/>
      <c r="I153" s="27"/>
      <c r="K153" s="35" t="s">
        <v>353</v>
      </c>
      <c r="L153" s="35" t="s">
        <v>354</v>
      </c>
      <c r="M153" s="35" t="s">
        <v>355</v>
      </c>
      <c r="N153" s="35" t="s">
        <v>356</v>
      </c>
      <c r="O153" s="35" t="s">
        <v>357</v>
      </c>
      <c r="P153" s="35" t="s">
        <v>358</v>
      </c>
    </row>
    <row r="154" spans="1:16" x14ac:dyDescent="0.3">
      <c r="A154" s="114" t="s">
        <v>130</v>
      </c>
      <c r="B154" s="35"/>
      <c r="C154" s="35">
        <v>10000</v>
      </c>
      <c r="D154" s="35"/>
      <c r="E154" s="35">
        <v>20000</v>
      </c>
      <c r="F154" s="35"/>
      <c r="G154" s="35">
        <v>20000</v>
      </c>
      <c r="H154" s="35"/>
      <c r="I154" s="27"/>
      <c r="J154">
        <f>SUM(C154:G154)</f>
        <v>50000</v>
      </c>
      <c r="K154" s="35"/>
      <c r="L154" s="35">
        <v>10000</v>
      </c>
      <c r="M154" s="35"/>
      <c r="N154" s="35">
        <v>20000</v>
      </c>
      <c r="O154" s="35"/>
      <c r="P154" s="35">
        <v>20000</v>
      </c>
    </row>
    <row r="155" spans="1:16" x14ac:dyDescent="0.3">
      <c r="A155" s="114" t="s">
        <v>131</v>
      </c>
      <c r="B155" s="35"/>
      <c r="C155" s="35">
        <v>10000</v>
      </c>
      <c r="D155" s="35"/>
      <c r="E155" s="35">
        <v>20000</v>
      </c>
      <c r="F155" s="35"/>
      <c r="G155" s="35">
        <v>20000</v>
      </c>
      <c r="H155" s="35"/>
      <c r="I155" s="27"/>
      <c r="J155">
        <f t="shared" ref="J155:J180" si="0">SUM(C155:G155)</f>
        <v>50000</v>
      </c>
      <c r="K155" s="35"/>
      <c r="L155" s="35">
        <v>10000</v>
      </c>
      <c r="M155" s="35"/>
      <c r="N155" s="35">
        <v>20000</v>
      </c>
      <c r="O155" s="35"/>
      <c r="P155" s="35">
        <v>20000</v>
      </c>
    </row>
    <row r="156" spans="1:16" x14ac:dyDescent="0.3">
      <c r="A156" s="114" t="s">
        <v>213</v>
      </c>
      <c r="B156" s="35"/>
      <c r="C156" s="35">
        <v>10000</v>
      </c>
      <c r="D156" s="35"/>
      <c r="E156" s="35">
        <v>20000</v>
      </c>
      <c r="F156" s="35"/>
      <c r="G156" s="35">
        <v>20000</v>
      </c>
      <c r="H156" s="35"/>
      <c r="I156" s="27"/>
      <c r="J156">
        <f t="shared" si="0"/>
        <v>50000</v>
      </c>
      <c r="K156" s="35"/>
      <c r="L156" s="35">
        <v>10000</v>
      </c>
      <c r="M156" s="35"/>
      <c r="N156" s="35">
        <v>20000</v>
      </c>
      <c r="O156" s="35"/>
      <c r="P156" s="35">
        <v>20000</v>
      </c>
    </row>
    <row r="157" spans="1:16" x14ac:dyDescent="0.3">
      <c r="A157" s="114" t="s">
        <v>133</v>
      </c>
      <c r="B157" s="35"/>
      <c r="C157" s="35">
        <v>10000</v>
      </c>
      <c r="D157" s="35"/>
      <c r="E157" s="35">
        <v>20000</v>
      </c>
      <c r="F157" s="35"/>
      <c r="G157" s="35">
        <v>20000</v>
      </c>
      <c r="H157" s="35"/>
      <c r="I157" s="27"/>
      <c r="J157">
        <f t="shared" si="0"/>
        <v>50000</v>
      </c>
      <c r="K157" s="35"/>
      <c r="L157" s="35">
        <v>10000</v>
      </c>
      <c r="M157" s="35"/>
      <c r="N157" s="35">
        <v>20000</v>
      </c>
      <c r="O157" s="35"/>
      <c r="P157" s="35">
        <v>20000</v>
      </c>
    </row>
    <row r="158" spans="1:16" x14ac:dyDescent="0.3">
      <c r="A158" s="114" t="s">
        <v>654</v>
      </c>
      <c r="B158" s="35"/>
      <c r="C158" s="35">
        <v>10000</v>
      </c>
      <c r="D158" s="35"/>
      <c r="E158" s="35">
        <v>20000</v>
      </c>
      <c r="F158" s="35"/>
      <c r="G158" s="35">
        <v>20000</v>
      </c>
      <c r="H158" s="35"/>
      <c r="I158" s="27"/>
      <c r="J158">
        <f t="shared" si="0"/>
        <v>50000</v>
      </c>
      <c r="K158" s="35"/>
      <c r="L158" s="35">
        <v>10000</v>
      </c>
      <c r="M158" s="35"/>
      <c r="N158" s="35">
        <v>20000</v>
      </c>
      <c r="O158" s="35"/>
      <c r="P158" s="35">
        <v>20000</v>
      </c>
    </row>
    <row r="159" spans="1:16" x14ac:dyDescent="0.3">
      <c r="A159" s="114" t="s">
        <v>214</v>
      </c>
      <c r="B159" s="35"/>
      <c r="C159" s="35">
        <v>10000</v>
      </c>
      <c r="D159" s="35"/>
      <c r="E159" s="35">
        <v>20000</v>
      </c>
      <c r="F159" s="35"/>
      <c r="G159" s="35">
        <v>20000</v>
      </c>
      <c r="H159" s="35"/>
      <c r="I159" s="27"/>
      <c r="J159">
        <f t="shared" si="0"/>
        <v>50000</v>
      </c>
      <c r="K159" s="35"/>
      <c r="L159" s="35">
        <v>10000</v>
      </c>
      <c r="M159" s="35"/>
      <c r="N159" s="35">
        <v>20000</v>
      </c>
      <c r="O159" s="35"/>
      <c r="P159" s="35">
        <v>20000</v>
      </c>
    </row>
    <row r="160" spans="1:16" x14ac:dyDescent="0.3">
      <c r="A160" s="114" t="s">
        <v>207</v>
      </c>
      <c r="B160" s="35"/>
      <c r="C160" s="35">
        <v>6666</v>
      </c>
      <c r="D160" s="35"/>
      <c r="E160" s="35">
        <v>6666</v>
      </c>
      <c r="F160" s="35"/>
      <c r="G160" s="35">
        <v>6666</v>
      </c>
      <c r="H160" s="88"/>
      <c r="I160" s="27"/>
      <c r="J160">
        <f t="shared" si="0"/>
        <v>19998</v>
      </c>
      <c r="K160" s="35"/>
      <c r="L160" s="35">
        <v>3333</v>
      </c>
      <c r="M160" s="35"/>
      <c r="N160" s="35">
        <v>3333</v>
      </c>
      <c r="O160" s="35"/>
      <c r="P160" s="35">
        <v>3333</v>
      </c>
    </row>
    <row r="161" spans="1:16" x14ac:dyDescent="0.3">
      <c r="A161" s="114" t="s">
        <v>208</v>
      </c>
      <c r="B161" s="35"/>
      <c r="C161" s="35">
        <v>0</v>
      </c>
      <c r="D161" s="35"/>
      <c r="E161" s="35">
        <v>0</v>
      </c>
      <c r="F161" s="35"/>
      <c r="G161" s="35">
        <v>0</v>
      </c>
      <c r="H161" s="35"/>
      <c r="I161" s="27"/>
      <c r="J161">
        <f t="shared" si="0"/>
        <v>0</v>
      </c>
      <c r="K161" s="35"/>
      <c r="L161" s="35">
        <v>10000</v>
      </c>
      <c r="M161" s="35"/>
      <c r="N161" s="35">
        <v>10000</v>
      </c>
      <c r="O161" s="35"/>
      <c r="P161" s="35">
        <v>10000</v>
      </c>
    </row>
    <row r="162" spans="1:16" x14ac:dyDescent="0.3">
      <c r="A162" s="114" t="s">
        <v>210</v>
      </c>
      <c r="B162" s="35"/>
      <c r="C162" s="35">
        <v>10000</v>
      </c>
      <c r="D162" s="35"/>
      <c r="E162" s="35">
        <v>10000</v>
      </c>
      <c r="F162" s="35"/>
      <c r="G162" s="35">
        <v>10000</v>
      </c>
      <c r="H162" s="88"/>
      <c r="I162" s="27"/>
      <c r="J162">
        <f t="shared" si="0"/>
        <v>30000</v>
      </c>
      <c r="K162" s="35"/>
      <c r="L162" s="35">
        <v>10000</v>
      </c>
      <c r="M162" s="35"/>
      <c r="N162" s="35">
        <v>10000</v>
      </c>
      <c r="O162" s="35"/>
      <c r="P162" s="35">
        <v>10000</v>
      </c>
    </row>
    <row r="163" spans="1:16" x14ac:dyDescent="0.3">
      <c r="A163" s="114" t="s">
        <v>132</v>
      </c>
      <c r="B163" s="35"/>
      <c r="C163" s="35">
        <v>2000</v>
      </c>
      <c r="D163" s="35"/>
      <c r="E163" s="35">
        <v>2000</v>
      </c>
      <c r="F163" s="35"/>
      <c r="G163" s="35">
        <v>2000</v>
      </c>
      <c r="H163" s="35"/>
      <c r="I163" s="27"/>
      <c r="J163">
        <f t="shared" si="0"/>
        <v>6000</v>
      </c>
      <c r="K163" s="35"/>
      <c r="L163" s="35">
        <v>2000</v>
      </c>
      <c r="M163" s="35"/>
      <c r="N163" s="35">
        <v>2000</v>
      </c>
      <c r="O163" s="35"/>
      <c r="P163" s="35">
        <v>2000</v>
      </c>
    </row>
    <row r="164" spans="1:16" x14ac:dyDescent="0.3">
      <c r="A164" s="114" t="s">
        <v>291</v>
      </c>
      <c r="B164" s="35"/>
      <c r="C164" s="35">
        <v>0</v>
      </c>
      <c r="D164" s="35"/>
      <c r="E164" s="35">
        <v>0</v>
      </c>
      <c r="F164" s="35"/>
      <c r="G164" s="35">
        <v>0</v>
      </c>
      <c r="H164" s="35"/>
      <c r="I164" s="27"/>
      <c r="J164">
        <f t="shared" si="0"/>
        <v>0</v>
      </c>
      <c r="K164" s="35"/>
      <c r="L164" s="35">
        <v>0</v>
      </c>
      <c r="M164" s="35"/>
      <c r="N164" s="35">
        <v>0</v>
      </c>
      <c r="O164" s="35"/>
      <c r="P164" s="35">
        <v>0</v>
      </c>
    </row>
    <row r="165" spans="1:16" x14ac:dyDescent="0.3">
      <c r="A165" s="114" t="s">
        <v>583</v>
      </c>
      <c r="B165" s="35"/>
      <c r="C165" s="35">
        <v>0</v>
      </c>
      <c r="D165" s="35"/>
      <c r="E165" s="35">
        <v>0</v>
      </c>
      <c r="F165" s="35"/>
      <c r="G165" s="35">
        <v>0</v>
      </c>
      <c r="H165" s="35"/>
      <c r="I165" s="27"/>
      <c r="J165">
        <f t="shared" si="0"/>
        <v>0</v>
      </c>
      <c r="K165" s="35"/>
      <c r="L165" s="35">
        <v>0</v>
      </c>
      <c r="M165" s="35"/>
      <c r="N165" s="35">
        <v>0</v>
      </c>
      <c r="O165" s="35"/>
      <c r="P165" s="35">
        <v>0</v>
      </c>
    </row>
    <row r="166" spans="1:16" x14ac:dyDescent="0.3">
      <c r="A166" s="114" t="s">
        <v>98</v>
      </c>
      <c r="B166" s="35"/>
      <c r="C166" s="35">
        <v>5000</v>
      </c>
      <c r="D166" s="35"/>
      <c r="E166" s="35">
        <v>5000</v>
      </c>
      <c r="F166" s="35"/>
      <c r="G166" s="35">
        <v>5000</v>
      </c>
      <c r="H166" s="88"/>
      <c r="I166" s="27"/>
      <c r="J166">
        <f t="shared" si="0"/>
        <v>15000</v>
      </c>
      <c r="K166" s="35"/>
      <c r="L166" s="35">
        <v>5000</v>
      </c>
      <c r="M166" s="35"/>
      <c r="N166" s="35">
        <v>5000</v>
      </c>
      <c r="O166" s="35"/>
      <c r="P166" s="35">
        <v>5000</v>
      </c>
    </row>
    <row r="167" spans="1:16" x14ac:dyDescent="0.3">
      <c r="A167" s="114" t="s">
        <v>99</v>
      </c>
      <c r="B167" s="35"/>
      <c r="C167" s="35">
        <v>30000</v>
      </c>
      <c r="D167" s="35"/>
      <c r="E167" s="35">
        <v>30000</v>
      </c>
      <c r="F167" s="35"/>
      <c r="G167" s="35">
        <v>30000</v>
      </c>
      <c r="H167" s="88"/>
      <c r="I167" s="27"/>
      <c r="J167">
        <f t="shared" si="0"/>
        <v>90000</v>
      </c>
      <c r="K167" s="35"/>
      <c r="L167" s="35">
        <v>30000</v>
      </c>
      <c r="M167" s="35"/>
      <c r="N167" s="35">
        <v>30000</v>
      </c>
      <c r="O167" s="35"/>
      <c r="P167" s="35">
        <v>30000</v>
      </c>
    </row>
    <row r="168" spans="1:16" x14ac:dyDescent="0.3">
      <c r="A168" s="114" t="s">
        <v>97</v>
      </c>
      <c r="B168" s="35"/>
      <c r="C168" s="35">
        <v>30000</v>
      </c>
      <c r="D168" s="35"/>
      <c r="E168" s="35">
        <v>30000</v>
      </c>
      <c r="F168" s="35"/>
      <c r="G168" s="35">
        <v>30000</v>
      </c>
      <c r="H168" s="88"/>
      <c r="I168" s="27"/>
      <c r="J168">
        <f t="shared" si="0"/>
        <v>90000</v>
      </c>
      <c r="K168" s="35"/>
      <c r="L168" s="35">
        <v>30000</v>
      </c>
      <c r="M168" s="35"/>
      <c r="N168" s="35">
        <v>30000</v>
      </c>
      <c r="O168" s="35"/>
      <c r="P168" s="35">
        <v>30000</v>
      </c>
    </row>
    <row r="169" spans="1:16" x14ac:dyDescent="0.3">
      <c r="A169" s="114" t="s">
        <v>584</v>
      </c>
      <c r="B169" s="35"/>
      <c r="C169" s="35">
        <v>0</v>
      </c>
      <c r="D169" s="35"/>
      <c r="E169" s="35">
        <v>0</v>
      </c>
      <c r="F169" s="35"/>
      <c r="G169" s="35">
        <v>0</v>
      </c>
      <c r="H169" s="35"/>
      <c r="I169" s="27"/>
      <c r="J169">
        <f t="shared" si="0"/>
        <v>0</v>
      </c>
      <c r="K169" s="35"/>
      <c r="L169" s="35">
        <v>0</v>
      </c>
      <c r="M169" s="35"/>
      <c r="N169" s="35">
        <v>0</v>
      </c>
      <c r="O169" s="35"/>
      <c r="P169" s="35">
        <v>0</v>
      </c>
    </row>
    <row r="170" spans="1:16" x14ac:dyDescent="0.3">
      <c r="A170" s="114" t="s">
        <v>211</v>
      </c>
      <c r="B170" s="35"/>
      <c r="C170" s="35">
        <v>30000</v>
      </c>
      <c r="D170" s="35"/>
      <c r="E170" s="35">
        <v>30000</v>
      </c>
      <c r="F170" s="35"/>
      <c r="G170" s="35">
        <v>30000</v>
      </c>
      <c r="H170" s="88"/>
      <c r="I170" s="27"/>
      <c r="J170">
        <f t="shared" si="0"/>
        <v>90000</v>
      </c>
      <c r="K170" s="35"/>
      <c r="L170" s="35">
        <v>30000</v>
      </c>
      <c r="M170" s="35"/>
      <c r="N170" s="35">
        <v>30000</v>
      </c>
      <c r="O170" s="35"/>
      <c r="P170" s="35">
        <v>30000</v>
      </c>
    </row>
    <row r="171" spans="1:16" x14ac:dyDescent="0.3">
      <c r="A171" s="114" t="s">
        <v>212</v>
      </c>
      <c r="B171" s="35"/>
      <c r="C171" s="35">
        <v>0</v>
      </c>
      <c r="D171" s="35"/>
      <c r="E171" s="35">
        <v>0</v>
      </c>
      <c r="F171" s="35"/>
      <c r="G171" s="35">
        <v>0</v>
      </c>
      <c r="H171" s="35"/>
      <c r="I171" s="27"/>
      <c r="J171">
        <f t="shared" si="0"/>
        <v>0</v>
      </c>
      <c r="K171" s="35"/>
      <c r="L171" s="35">
        <v>0</v>
      </c>
      <c r="M171" s="35"/>
      <c r="N171" s="35">
        <v>0</v>
      </c>
      <c r="O171" s="35"/>
      <c r="P171" s="35">
        <v>0</v>
      </c>
    </row>
    <row r="172" spans="1:16" x14ac:dyDescent="0.3">
      <c r="A172" s="114" t="s">
        <v>139</v>
      </c>
      <c r="B172" s="35"/>
      <c r="C172" s="35">
        <v>218000</v>
      </c>
      <c r="D172" s="35"/>
      <c r="E172" s="35">
        <v>218000</v>
      </c>
      <c r="F172" s="35"/>
      <c r="G172" s="35">
        <v>218000</v>
      </c>
      <c r="H172" s="35"/>
      <c r="I172" s="27"/>
      <c r="J172">
        <f t="shared" si="0"/>
        <v>654000</v>
      </c>
      <c r="K172" s="35"/>
      <c r="L172" s="35">
        <v>218000</v>
      </c>
      <c r="M172" s="35"/>
      <c r="N172" s="35">
        <v>218000</v>
      </c>
      <c r="O172" s="35"/>
      <c r="P172" s="35">
        <v>218000</v>
      </c>
    </row>
    <row r="173" spans="1:16" x14ac:dyDescent="0.3">
      <c r="A173" s="114" t="s">
        <v>140</v>
      </c>
      <c r="B173" s="35"/>
      <c r="C173" s="35">
        <v>311000</v>
      </c>
      <c r="D173" s="35"/>
      <c r="E173" s="35">
        <v>311000</v>
      </c>
      <c r="F173" s="35"/>
      <c r="G173" s="35">
        <v>311000</v>
      </c>
      <c r="H173" s="35"/>
      <c r="I173" s="27"/>
      <c r="J173">
        <f t="shared" si="0"/>
        <v>933000</v>
      </c>
      <c r="K173" s="35"/>
      <c r="L173" s="35">
        <v>311000</v>
      </c>
      <c r="M173" s="35"/>
      <c r="N173" s="35">
        <v>311000</v>
      </c>
      <c r="O173" s="35"/>
      <c r="P173" s="35">
        <v>311000</v>
      </c>
    </row>
    <row r="174" spans="1:16" x14ac:dyDescent="0.3">
      <c r="A174" s="114" t="s">
        <v>141</v>
      </c>
      <c r="B174" s="35"/>
      <c r="C174" s="35">
        <v>267000</v>
      </c>
      <c r="D174" s="35"/>
      <c r="E174" s="35">
        <v>267000</v>
      </c>
      <c r="F174" s="35"/>
      <c r="G174" s="35">
        <v>267000</v>
      </c>
      <c r="H174" s="35"/>
      <c r="I174" s="27"/>
      <c r="J174">
        <f t="shared" si="0"/>
        <v>801000</v>
      </c>
      <c r="K174" s="35"/>
      <c r="L174" s="35">
        <v>267000</v>
      </c>
      <c r="M174" s="35"/>
      <c r="N174" s="35">
        <v>267000</v>
      </c>
      <c r="O174" s="35"/>
      <c r="P174" s="35">
        <v>267000</v>
      </c>
    </row>
    <row r="175" spans="1:16" x14ac:dyDescent="0.3">
      <c r="A175" s="114" t="s">
        <v>142</v>
      </c>
      <c r="B175" s="35"/>
      <c r="C175" s="35">
        <v>198000</v>
      </c>
      <c r="D175" s="35"/>
      <c r="E175" s="35">
        <v>198000</v>
      </c>
      <c r="F175" s="35"/>
      <c r="G175" s="35">
        <v>198000</v>
      </c>
      <c r="H175" s="35"/>
      <c r="I175" s="27"/>
      <c r="J175">
        <f t="shared" si="0"/>
        <v>594000</v>
      </c>
      <c r="K175" s="35"/>
      <c r="L175" s="35">
        <v>198000</v>
      </c>
      <c r="M175" s="35"/>
      <c r="N175" s="35">
        <v>198000</v>
      </c>
      <c r="O175" s="35"/>
      <c r="P175" s="35">
        <v>198000</v>
      </c>
    </row>
    <row r="176" spans="1:16" x14ac:dyDescent="0.3">
      <c r="A176" s="114" t="s">
        <v>143</v>
      </c>
      <c r="B176" s="35"/>
      <c r="C176" s="35">
        <v>30000</v>
      </c>
      <c r="D176" s="35"/>
      <c r="E176" s="35">
        <v>30000</v>
      </c>
      <c r="F176" s="35"/>
      <c r="G176" s="35">
        <v>30000</v>
      </c>
      <c r="H176" s="35" t="s">
        <v>762</v>
      </c>
      <c r="I176" s="27"/>
      <c r="J176">
        <f t="shared" si="0"/>
        <v>90000</v>
      </c>
      <c r="K176" s="35"/>
      <c r="L176" s="35">
        <v>30000</v>
      </c>
      <c r="M176" s="35"/>
      <c r="N176" s="35">
        <v>30000</v>
      </c>
      <c r="O176" s="35"/>
      <c r="P176" s="35">
        <v>30000</v>
      </c>
    </row>
    <row r="177" spans="1:16" x14ac:dyDescent="0.3">
      <c r="A177" s="114" t="s">
        <v>144</v>
      </c>
      <c r="B177" s="35"/>
      <c r="C177" s="35">
        <v>30000</v>
      </c>
      <c r="D177" s="35"/>
      <c r="E177" s="35">
        <v>30000</v>
      </c>
      <c r="F177" s="35"/>
      <c r="G177" s="35">
        <v>30000</v>
      </c>
      <c r="H177" s="35"/>
      <c r="I177" s="27"/>
      <c r="J177">
        <f t="shared" si="0"/>
        <v>90000</v>
      </c>
      <c r="K177" s="35"/>
      <c r="L177" s="35">
        <v>30000</v>
      </c>
      <c r="M177" s="35"/>
      <c r="N177" s="35">
        <v>30000</v>
      </c>
      <c r="O177" s="35"/>
      <c r="P177" s="35">
        <v>30000</v>
      </c>
    </row>
    <row r="178" spans="1:16" x14ac:dyDescent="0.3">
      <c r="A178" s="114" t="s">
        <v>598</v>
      </c>
      <c r="B178" s="35"/>
      <c r="C178" s="35">
        <v>0</v>
      </c>
      <c r="D178" s="35"/>
      <c r="E178" s="35">
        <v>0</v>
      </c>
      <c r="F178" s="35"/>
      <c r="G178" s="35">
        <v>0</v>
      </c>
      <c r="H178" s="27"/>
      <c r="I178" s="27"/>
      <c r="J178">
        <f t="shared" si="0"/>
        <v>0</v>
      </c>
      <c r="K178" s="35"/>
      <c r="L178" s="35">
        <v>0</v>
      </c>
      <c r="M178" s="35"/>
      <c r="N178" s="35">
        <v>0</v>
      </c>
      <c r="O178" s="35"/>
      <c r="P178" s="35">
        <v>0</v>
      </c>
    </row>
    <row r="179" spans="1:16" x14ac:dyDescent="0.3">
      <c r="A179" s="114" t="s">
        <v>599</v>
      </c>
      <c r="B179" s="35"/>
      <c r="C179" s="35">
        <v>5000</v>
      </c>
      <c r="D179" s="35"/>
      <c r="E179" s="35">
        <v>25000</v>
      </c>
      <c r="F179" s="35"/>
      <c r="G179" s="35">
        <v>25000</v>
      </c>
      <c r="H179" s="27"/>
      <c r="I179" s="27"/>
      <c r="J179">
        <f t="shared" si="0"/>
        <v>55000</v>
      </c>
      <c r="K179" s="35"/>
      <c r="L179" s="35">
        <v>5000</v>
      </c>
      <c r="M179" s="35"/>
      <c r="N179" s="35">
        <v>25000</v>
      </c>
      <c r="O179" s="35"/>
      <c r="P179" s="35">
        <v>25000</v>
      </c>
    </row>
    <row r="180" spans="1:16" x14ac:dyDescent="0.3">
      <c r="A180" s="114" t="s">
        <v>600</v>
      </c>
      <c r="B180" s="35"/>
      <c r="C180" s="35">
        <v>600000</v>
      </c>
      <c r="D180" s="35"/>
      <c r="E180" s="35">
        <v>600000</v>
      </c>
      <c r="F180" s="35"/>
      <c r="G180" s="35">
        <v>600000</v>
      </c>
      <c r="H180" s="27"/>
      <c r="I180" s="27"/>
      <c r="J180">
        <f t="shared" si="0"/>
        <v>1800000</v>
      </c>
      <c r="K180" s="35"/>
      <c r="L180" s="35">
        <v>600000</v>
      </c>
      <c r="M180" s="35"/>
      <c r="N180" s="35">
        <v>600000</v>
      </c>
      <c r="O180" s="35"/>
      <c r="P180" s="35">
        <v>600000</v>
      </c>
    </row>
    <row r="181" spans="1:16" x14ac:dyDescent="0.3">
      <c r="A181" s="114" t="s">
        <v>780</v>
      </c>
      <c r="B181" s="35"/>
      <c r="C181" s="35">
        <v>600000</v>
      </c>
      <c r="D181" s="35"/>
      <c r="E181" s="35">
        <v>600000</v>
      </c>
      <c r="F181" s="35"/>
      <c r="G181" s="35">
        <v>600000</v>
      </c>
      <c r="H181" s="27"/>
      <c r="I181" s="27"/>
      <c r="K181" s="35"/>
      <c r="L181" s="35"/>
      <c r="M181" s="35"/>
      <c r="N181" s="35"/>
      <c r="O181" s="35"/>
      <c r="P181" s="35"/>
    </row>
    <row r="182" spans="1:16" x14ac:dyDescent="0.3">
      <c r="A182" s="114" t="s">
        <v>781</v>
      </c>
      <c r="B182" s="35"/>
      <c r="C182" s="35">
        <v>600000</v>
      </c>
      <c r="D182" s="35"/>
      <c r="E182" s="35">
        <v>600000</v>
      </c>
      <c r="F182" s="35"/>
      <c r="G182" s="35">
        <v>600000</v>
      </c>
    </row>
    <row r="184" spans="1:16" x14ac:dyDescent="0.3">
      <c r="A184" s="77" t="s">
        <v>720</v>
      </c>
      <c r="E184" s="77" t="s">
        <v>721</v>
      </c>
    </row>
    <row r="185" spans="1:16" x14ac:dyDescent="0.3">
      <c r="A185" s="77" t="s">
        <v>719</v>
      </c>
      <c r="E185" s="77" t="s">
        <v>722</v>
      </c>
    </row>
    <row r="186" spans="1:16" x14ac:dyDescent="0.3">
      <c r="A186" s="76" t="s">
        <v>130</v>
      </c>
      <c r="B186" s="3">
        <v>0.1</v>
      </c>
      <c r="E186" s="76" t="s">
        <v>130</v>
      </c>
      <c r="F186" s="3">
        <v>1</v>
      </c>
      <c r="G186" t="s">
        <v>292</v>
      </c>
    </row>
    <row r="187" spans="1:16" x14ac:dyDescent="0.3">
      <c r="A187" s="76" t="s">
        <v>131</v>
      </c>
      <c r="B187" s="3">
        <v>0.1</v>
      </c>
      <c r="E187" s="76" t="s">
        <v>131</v>
      </c>
      <c r="F187" s="3">
        <v>1</v>
      </c>
    </row>
    <row r="188" spans="1:16" x14ac:dyDescent="0.3">
      <c r="A188" s="76" t="s">
        <v>213</v>
      </c>
      <c r="B188" s="3">
        <v>0.1</v>
      </c>
      <c r="E188" s="76" t="s">
        <v>213</v>
      </c>
      <c r="F188" s="3">
        <v>1</v>
      </c>
    </row>
    <row r="189" spans="1:16" x14ac:dyDescent="0.3">
      <c r="A189" s="76" t="s">
        <v>133</v>
      </c>
      <c r="B189" s="3">
        <v>0.3</v>
      </c>
      <c r="E189" s="76" t="s">
        <v>133</v>
      </c>
      <c r="F189" s="3">
        <v>1</v>
      </c>
    </row>
    <row r="190" spans="1:16" x14ac:dyDescent="0.3">
      <c r="A190" s="76" t="s">
        <v>214</v>
      </c>
      <c r="B190" s="3">
        <v>0.1</v>
      </c>
      <c r="E190" s="76" t="s">
        <v>214</v>
      </c>
      <c r="F190" s="3">
        <v>1</v>
      </c>
    </row>
    <row r="191" spans="1:16" x14ac:dyDescent="0.3">
      <c r="A191" s="76" t="s">
        <v>654</v>
      </c>
      <c r="B191" s="3">
        <v>0.83</v>
      </c>
      <c r="E191" s="76" t="s">
        <v>654</v>
      </c>
      <c r="F191" s="3">
        <v>1</v>
      </c>
    </row>
    <row r="192" spans="1:16" x14ac:dyDescent="0.3">
      <c r="A192" s="76" t="s">
        <v>207</v>
      </c>
      <c r="B192" s="3">
        <v>0.7</v>
      </c>
      <c r="E192" s="76" t="s">
        <v>207</v>
      </c>
      <c r="F192" s="3">
        <v>0.85</v>
      </c>
    </row>
    <row r="193" spans="1:7" x14ac:dyDescent="0.3">
      <c r="A193" s="76" t="s">
        <v>208</v>
      </c>
      <c r="B193" s="3">
        <v>0.25</v>
      </c>
      <c r="E193" s="76" t="s">
        <v>208</v>
      </c>
      <c r="F193" s="3">
        <v>0.45</v>
      </c>
      <c r="G193" t="s">
        <v>723</v>
      </c>
    </row>
    <row r="194" spans="1:7" x14ac:dyDescent="0.3">
      <c r="A194" s="76" t="s">
        <v>210</v>
      </c>
      <c r="B194" s="3">
        <v>0.83</v>
      </c>
      <c r="E194" s="76" t="s">
        <v>210</v>
      </c>
      <c r="F194" s="3">
        <v>1</v>
      </c>
    </row>
    <row r="195" spans="1:7" x14ac:dyDescent="0.3">
      <c r="A195" s="76" t="s">
        <v>132</v>
      </c>
      <c r="B195" s="3">
        <v>0.74</v>
      </c>
      <c r="E195" s="76" t="s">
        <v>132</v>
      </c>
      <c r="F195" s="3">
        <v>0.94</v>
      </c>
    </row>
    <row r="196" spans="1:7" x14ac:dyDescent="0.3">
      <c r="A196" s="76" t="s">
        <v>291</v>
      </c>
      <c r="B196" s="3">
        <v>0.74</v>
      </c>
      <c r="E196" s="76" t="s">
        <v>291</v>
      </c>
      <c r="F196" s="3">
        <v>0.94</v>
      </c>
    </row>
    <row r="197" spans="1:7" x14ac:dyDescent="0.3">
      <c r="A197" s="76" t="s">
        <v>583</v>
      </c>
      <c r="B197" s="3">
        <v>0.83</v>
      </c>
      <c r="E197" s="76" t="s">
        <v>583</v>
      </c>
      <c r="F197" s="3">
        <v>1</v>
      </c>
    </row>
    <row r="198" spans="1:7" x14ac:dyDescent="0.3">
      <c r="A198" s="76" t="s">
        <v>98</v>
      </c>
      <c r="B198" s="3">
        <v>0.38</v>
      </c>
      <c r="E198" s="76" t="s">
        <v>98</v>
      </c>
      <c r="F198" s="3">
        <v>0.57999999999999996</v>
      </c>
    </row>
    <row r="199" spans="1:7" x14ac:dyDescent="0.3">
      <c r="A199" s="76" t="s">
        <v>99</v>
      </c>
      <c r="B199" s="3">
        <v>0.59</v>
      </c>
      <c r="E199" s="76" t="s">
        <v>99</v>
      </c>
      <c r="F199" s="3">
        <v>0.79</v>
      </c>
    </row>
    <row r="200" spans="1:7" x14ac:dyDescent="0.3">
      <c r="A200" s="76" t="s">
        <v>97</v>
      </c>
      <c r="B200" s="3">
        <v>0.01</v>
      </c>
      <c r="E200" s="76" t="s">
        <v>97</v>
      </c>
      <c r="F200" s="3">
        <v>0.21</v>
      </c>
    </row>
    <row r="201" spans="1:7" x14ac:dyDescent="0.3">
      <c r="A201" s="76" t="s">
        <v>584</v>
      </c>
      <c r="B201" s="3">
        <v>0.45</v>
      </c>
      <c r="E201" s="76" t="s">
        <v>584</v>
      </c>
      <c r="F201" s="3">
        <v>0.45</v>
      </c>
    </row>
    <row r="202" spans="1:7" x14ac:dyDescent="0.3">
      <c r="A202" s="76" t="s">
        <v>139</v>
      </c>
      <c r="B202" s="3">
        <v>0</v>
      </c>
      <c r="E202" s="76" t="s">
        <v>139</v>
      </c>
      <c r="F202" s="3">
        <v>1</v>
      </c>
    </row>
    <row r="203" spans="1:7" x14ac:dyDescent="0.3">
      <c r="A203" s="76" t="s">
        <v>140</v>
      </c>
      <c r="B203" s="3">
        <v>0</v>
      </c>
      <c r="E203" s="76" t="s">
        <v>140</v>
      </c>
      <c r="F203" s="3">
        <v>1</v>
      </c>
    </row>
    <row r="204" spans="1:7" x14ac:dyDescent="0.3">
      <c r="A204" s="76" t="s">
        <v>141</v>
      </c>
      <c r="B204" s="3">
        <v>0</v>
      </c>
      <c r="E204" s="76" t="s">
        <v>141</v>
      </c>
      <c r="F204" s="3">
        <v>1</v>
      </c>
    </row>
    <row r="205" spans="1:7" x14ac:dyDescent="0.3">
      <c r="A205" s="76" t="s">
        <v>142</v>
      </c>
      <c r="B205" s="3">
        <v>0</v>
      </c>
      <c r="E205" s="76" t="s">
        <v>142</v>
      </c>
      <c r="F205" s="3">
        <v>1</v>
      </c>
    </row>
    <row r="206" spans="1:7" x14ac:dyDescent="0.3">
      <c r="A206" s="76" t="s">
        <v>143</v>
      </c>
      <c r="B206" s="3">
        <v>0</v>
      </c>
      <c r="E206" s="76" t="s">
        <v>143</v>
      </c>
      <c r="F206" s="3">
        <v>1</v>
      </c>
    </row>
    <row r="207" spans="1:7" x14ac:dyDescent="0.3">
      <c r="A207" s="76" t="s">
        <v>144</v>
      </c>
      <c r="B207" s="3">
        <v>0</v>
      </c>
      <c r="E207" s="76" t="s">
        <v>144</v>
      </c>
      <c r="F207" s="3">
        <v>1</v>
      </c>
    </row>
    <row r="208" spans="1:7" x14ac:dyDescent="0.3">
      <c r="A208" s="76" t="s">
        <v>211</v>
      </c>
      <c r="B208" s="3">
        <v>0</v>
      </c>
      <c r="E208" s="76" t="s">
        <v>211</v>
      </c>
      <c r="F208" s="3">
        <v>1</v>
      </c>
    </row>
    <row r="209" spans="1:6" x14ac:dyDescent="0.3">
      <c r="A209" s="76" t="s">
        <v>212</v>
      </c>
      <c r="B209" s="3">
        <v>0</v>
      </c>
      <c r="E209" s="76" t="s">
        <v>212</v>
      </c>
      <c r="F209" s="3">
        <v>1</v>
      </c>
    </row>
    <row r="212" spans="1:6" x14ac:dyDescent="0.3">
      <c r="A212" s="77" t="s">
        <v>726</v>
      </c>
    </row>
    <row r="213" spans="1:6" x14ac:dyDescent="0.3">
      <c r="A213" s="77" t="s">
        <v>730</v>
      </c>
    </row>
    <row r="214" spans="1:6" x14ac:dyDescent="0.3">
      <c r="A214" s="76" t="s">
        <v>139</v>
      </c>
      <c r="B214" s="3">
        <v>0</v>
      </c>
    </row>
    <row r="215" spans="1:6" x14ac:dyDescent="0.3">
      <c r="A215" s="76" t="s">
        <v>140</v>
      </c>
      <c r="B215" s="3">
        <v>0</v>
      </c>
    </row>
    <row r="216" spans="1:6" x14ac:dyDescent="0.3">
      <c r="A216" s="76" t="s">
        <v>141</v>
      </c>
      <c r="B216" s="3">
        <v>0</v>
      </c>
    </row>
    <row r="217" spans="1:6" x14ac:dyDescent="0.3">
      <c r="A217" s="76" t="s">
        <v>142</v>
      </c>
      <c r="B217" s="3">
        <v>0</v>
      </c>
    </row>
    <row r="218" spans="1:6" x14ac:dyDescent="0.3">
      <c r="A218" s="76" t="s">
        <v>143</v>
      </c>
      <c r="B218" s="3">
        <v>0</v>
      </c>
    </row>
    <row r="219" spans="1:6" x14ac:dyDescent="0.3">
      <c r="A219" s="76" t="s">
        <v>144</v>
      </c>
      <c r="B219" s="3">
        <v>0</v>
      </c>
    </row>
    <row r="220" spans="1:6" x14ac:dyDescent="0.3">
      <c r="A220" s="76" t="s">
        <v>211</v>
      </c>
      <c r="B220" s="3">
        <v>1.2500000000000001E-2</v>
      </c>
      <c r="C220" s="4"/>
    </row>
    <row r="221" spans="1:6" x14ac:dyDescent="0.3">
      <c r="A221" s="76" t="s">
        <v>212</v>
      </c>
      <c r="B221" s="3">
        <v>0</v>
      </c>
    </row>
    <row r="222" spans="1:6" x14ac:dyDescent="0.3">
      <c r="A222" s="15"/>
    </row>
    <row r="223" spans="1:6" x14ac:dyDescent="0.3">
      <c r="A223" s="15"/>
    </row>
    <row r="224" spans="1:6" x14ac:dyDescent="0.3">
      <c r="A224" s="77" t="s">
        <v>754</v>
      </c>
    </row>
    <row r="225" spans="1:3" x14ac:dyDescent="0.3">
      <c r="A225" s="77" t="s">
        <v>755</v>
      </c>
    </row>
    <row r="226" spans="1:3" x14ac:dyDescent="0.3">
      <c r="A226" s="76" t="s">
        <v>139</v>
      </c>
      <c r="B226" s="3">
        <v>1</v>
      </c>
    </row>
    <row r="227" spans="1:3" x14ac:dyDescent="0.3">
      <c r="A227" s="76" t="s">
        <v>140</v>
      </c>
      <c r="B227" s="3">
        <v>1</v>
      </c>
    </row>
    <row r="228" spans="1:3" x14ac:dyDescent="0.3">
      <c r="A228" s="76" t="s">
        <v>141</v>
      </c>
      <c r="B228" s="3">
        <v>1</v>
      </c>
    </row>
    <row r="229" spans="1:3" x14ac:dyDescent="0.3">
      <c r="A229" s="76" t="s">
        <v>142</v>
      </c>
      <c r="B229" s="3">
        <v>1</v>
      </c>
    </row>
    <row r="230" spans="1:3" x14ac:dyDescent="0.3">
      <c r="A230" s="76" t="s">
        <v>143</v>
      </c>
      <c r="B230" s="3">
        <v>1</v>
      </c>
    </row>
    <row r="231" spans="1:3" x14ac:dyDescent="0.3">
      <c r="A231" s="76" t="s">
        <v>144</v>
      </c>
      <c r="B231" s="3">
        <v>1</v>
      </c>
    </row>
    <row r="232" spans="1:3" x14ac:dyDescent="0.3">
      <c r="A232" s="76" t="s">
        <v>211</v>
      </c>
      <c r="B232" s="3">
        <v>4</v>
      </c>
      <c r="C232" s="4"/>
    </row>
    <row r="233" spans="1:3" x14ac:dyDescent="0.3">
      <c r="A233" s="76" t="s">
        <v>212</v>
      </c>
      <c r="B233" s="3">
        <v>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CA58-C8B3-4A70-995E-A773C6226C01}">
  <sheetPr>
    <tabColor rgb="FFC5D7FF"/>
  </sheetPr>
  <dimension ref="A1:H27"/>
  <sheetViews>
    <sheetView workbookViewId="0">
      <selection activeCell="C21" sqref="C21:C24"/>
    </sheetView>
  </sheetViews>
  <sheetFormatPr defaultRowHeight="14.4" x14ac:dyDescent="0.3"/>
  <sheetData>
    <row r="1" spans="1:8" x14ac:dyDescent="0.3">
      <c r="A1" s="92" t="s">
        <v>280</v>
      </c>
      <c r="B1" s="93"/>
      <c r="C1" s="93"/>
      <c r="D1" s="93"/>
      <c r="E1" s="93"/>
    </row>
    <row r="2" spans="1:8" x14ac:dyDescent="0.3">
      <c r="A2" s="92" t="s">
        <v>602</v>
      </c>
      <c r="B2" s="113">
        <v>1</v>
      </c>
      <c r="C2" s="113">
        <v>2</v>
      </c>
      <c r="D2" s="113">
        <v>3</v>
      </c>
      <c r="E2" s="113">
        <v>4</v>
      </c>
      <c r="F2" s="113">
        <v>5</v>
      </c>
      <c r="G2" s="113">
        <v>6</v>
      </c>
      <c r="H2" s="3"/>
    </row>
    <row r="3" spans="1:8" x14ac:dyDescent="0.3">
      <c r="A3" s="86" t="s">
        <v>598</v>
      </c>
      <c r="B3" s="3">
        <v>48000</v>
      </c>
      <c r="C3" s="3">
        <v>48000</v>
      </c>
      <c r="D3" s="3">
        <v>48000</v>
      </c>
      <c r="E3" s="3">
        <v>48000</v>
      </c>
      <c r="F3" s="3">
        <v>48000</v>
      </c>
      <c r="G3" s="3">
        <v>48000</v>
      </c>
      <c r="H3" s="85"/>
    </row>
    <row r="4" spans="1:8" x14ac:dyDescent="0.3">
      <c r="A4" s="86" t="s">
        <v>599</v>
      </c>
      <c r="B4" s="3">
        <v>48000</v>
      </c>
      <c r="C4" s="3">
        <v>48000</v>
      </c>
      <c r="D4" s="3">
        <v>48000</v>
      </c>
      <c r="E4" s="3">
        <v>48000</v>
      </c>
      <c r="F4" s="3">
        <v>48000</v>
      </c>
      <c r="G4" s="3">
        <v>48000</v>
      </c>
      <c r="H4" s="84"/>
    </row>
    <row r="5" spans="1:8" x14ac:dyDescent="0.3">
      <c r="A5" s="86" t="s">
        <v>600</v>
      </c>
      <c r="B5" s="3">
        <v>412000</v>
      </c>
      <c r="C5" s="3">
        <v>412000</v>
      </c>
      <c r="D5" s="3">
        <v>412000</v>
      </c>
      <c r="E5" s="3">
        <v>412000</v>
      </c>
      <c r="F5" s="3">
        <v>412000</v>
      </c>
      <c r="G5" s="3">
        <v>412000</v>
      </c>
      <c r="H5" s="84"/>
    </row>
    <row r="6" spans="1:8" x14ac:dyDescent="0.3">
      <c r="A6" s="86" t="s">
        <v>780</v>
      </c>
      <c r="B6" s="3">
        <v>209000</v>
      </c>
      <c r="C6" s="3">
        <v>209000</v>
      </c>
      <c r="D6" s="3">
        <v>209000</v>
      </c>
      <c r="E6" s="3">
        <v>209000</v>
      </c>
      <c r="F6" s="3">
        <v>209000</v>
      </c>
      <c r="G6" s="3">
        <v>209000</v>
      </c>
      <c r="H6" s="84"/>
    </row>
    <row r="7" spans="1:8" x14ac:dyDescent="0.3">
      <c r="A7" s="86" t="s">
        <v>781</v>
      </c>
      <c r="B7" s="3">
        <v>48000</v>
      </c>
      <c r="C7" s="3">
        <v>48000</v>
      </c>
      <c r="D7" s="3">
        <v>48000</v>
      </c>
      <c r="E7" s="3">
        <v>48000</v>
      </c>
      <c r="F7" s="3">
        <v>48000</v>
      </c>
      <c r="G7" s="3">
        <v>48000</v>
      </c>
      <c r="H7" s="84"/>
    </row>
    <row r="8" spans="1:8" x14ac:dyDescent="0.3">
      <c r="A8" s="24"/>
      <c r="H8" s="94"/>
    </row>
    <row r="9" spans="1:8" x14ac:dyDescent="0.3">
      <c r="A9" s="24"/>
      <c r="H9" s="94"/>
    </row>
    <row r="10" spans="1:8" x14ac:dyDescent="0.3">
      <c r="A10" s="92" t="s">
        <v>605</v>
      </c>
      <c r="B10" s="93"/>
      <c r="C10" s="93"/>
      <c r="D10" s="93"/>
      <c r="E10" s="93"/>
    </row>
    <row r="11" spans="1:8" x14ac:dyDescent="0.3">
      <c r="A11" s="92" t="s">
        <v>604</v>
      </c>
      <c r="B11" s="113">
        <v>1</v>
      </c>
      <c r="C11" s="113">
        <v>2</v>
      </c>
      <c r="D11" s="113">
        <v>3</v>
      </c>
      <c r="E11" s="113">
        <v>4</v>
      </c>
      <c r="F11" s="113">
        <v>5</v>
      </c>
      <c r="G11" s="113">
        <v>6</v>
      </c>
      <c r="H11" s="3"/>
    </row>
    <row r="12" spans="1:8" x14ac:dyDescent="0.3">
      <c r="A12" s="86" t="s">
        <v>598</v>
      </c>
      <c r="B12" s="3">
        <v>0.9</v>
      </c>
      <c r="C12" s="3">
        <v>0.9</v>
      </c>
      <c r="D12" s="3">
        <v>0.9</v>
      </c>
      <c r="E12" s="3">
        <v>0.9</v>
      </c>
      <c r="F12" s="3">
        <v>0.9</v>
      </c>
      <c r="G12" s="3">
        <v>0.9</v>
      </c>
      <c r="H12" s="85"/>
    </row>
    <row r="13" spans="1:8" x14ac:dyDescent="0.3">
      <c r="A13" s="86" t="s">
        <v>599</v>
      </c>
      <c r="B13" s="3">
        <v>0.9</v>
      </c>
      <c r="C13" s="3">
        <v>0.9</v>
      </c>
      <c r="D13" s="3">
        <v>0.9</v>
      </c>
      <c r="E13" s="3">
        <v>0.9</v>
      </c>
      <c r="F13" s="3">
        <v>0.9</v>
      </c>
      <c r="G13" s="3">
        <v>0.9</v>
      </c>
      <c r="H13" s="84"/>
    </row>
    <row r="14" spans="1:8" x14ac:dyDescent="0.3">
      <c r="A14" s="86" t="s">
        <v>600</v>
      </c>
      <c r="B14" s="3">
        <v>0.9</v>
      </c>
      <c r="C14" s="3">
        <v>0.9</v>
      </c>
      <c r="D14" s="3">
        <v>0.9</v>
      </c>
      <c r="E14" s="3">
        <v>0.9</v>
      </c>
      <c r="F14" s="3">
        <v>0.9</v>
      </c>
      <c r="G14" s="3">
        <v>0.9</v>
      </c>
      <c r="H14" s="84"/>
    </row>
    <row r="15" spans="1:8" x14ac:dyDescent="0.3">
      <c r="A15" s="86" t="s">
        <v>780</v>
      </c>
      <c r="B15" s="3">
        <v>0.9</v>
      </c>
      <c r="C15" s="3">
        <v>0.9</v>
      </c>
      <c r="D15" s="3">
        <v>0.9</v>
      </c>
      <c r="E15" s="3">
        <v>0.9</v>
      </c>
      <c r="F15" s="3">
        <v>0.9</v>
      </c>
      <c r="G15" s="3">
        <v>0.9</v>
      </c>
      <c r="H15" s="84"/>
    </row>
    <row r="16" spans="1:8" x14ac:dyDescent="0.3">
      <c r="A16" s="86" t="s">
        <v>781</v>
      </c>
      <c r="B16" s="3">
        <v>0.9</v>
      </c>
      <c r="C16" s="3">
        <v>0.9</v>
      </c>
      <c r="D16" s="3">
        <v>0.9</v>
      </c>
      <c r="E16" s="3">
        <v>0.9</v>
      </c>
      <c r="F16" s="3">
        <v>0.9</v>
      </c>
      <c r="G16" s="3">
        <v>0.9</v>
      </c>
      <c r="H16" s="84"/>
    </row>
    <row r="17" spans="1:8" x14ac:dyDescent="0.3">
      <c r="A17" s="86"/>
      <c r="B17" s="3"/>
      <c r="C17" s="3"/>
      <c r="D17" s="3"/>
      <c r="E17" s="3"/>
      <c r="F17" s="3"/>
      <c r="G17" s="3"/>
      <c r="H17" s="84"/>
    </row>
    <row r="18" spans="1:8" x14ac:dyDescent="0.3">
      <c r="A18" s="86"/>
      <c r="B18" s="3"/>
      <c r="C18" s="3"/>
      <c r="D18" s="3"/>
      <c r="E18" s="3"/>
      <c r="F18" s="3"/>
      <c r="G18" s="3"/>
      <c r="H18" s="84"/>
    </row>
    <row r="19" spans="1:8" x14ac:dyDescent="0.3">
      <c r="A19" s="92" t="s">
        <v>613</v>
      </c>
      <c r="B19" s="93"/>
      <c r="C19" s="93"/>
      <c r="D19" s="93"/>
      <c r="E19" s="3"/>
      <c r="F19" s="3"/>
      <c r="G19" s="3"/>
      <c r="H19" s="84"/>
    </row>
    <row r="20" spans="1:8" x14ac:dyDescent="0.3">
      <c r="A20" s="92" t="s">
        <v>606</v>
      </c>
      <c r="B20" s="93"/>
      <c r="C20" s="3"/>
      <c r="D20" s="3"/>
      <c r="E20" s="3"/>
      <c r="F20" s="3"/>
      <c r="G20" s="3"/>
      <c r="H20" s="84"/>
    </row>
    <row r="21" spans="1:8" x14ac:dyDescent="0.3">
      <c r="A21" s="86" t="s">
        <v>598</v>
      </c>
      <c r="B21" s="3">
        <v>20</v>
      </c>
      <c r="C21" s="85"/>
      <c r="D21" s="3"/>
      <c r="E21" s="3"/>
      <c r="F21" s="3"/>
      <c r="G21" s="3"/>
      <c r="H21" s="84"/>
    </row>
    <row r="22" spans="1:8" x14ac:dyDescent="0.3">
      <c r="A22" s="86" t="s">
        <v>599</v>
      </c>
      <c r="B22" s="3">
        <v>20</v>
      </c>
      <c r="C22" s="91"/>
      <c r="D22" s="3"/>
      <c r="E22" s="3"/>
      <c r="F22" s="3"/>
      <c r="G22" s="3"/>
      <c r="H22" s="84"/>
    </row>
    <row r="23" spans="1:8" x14ac:dyDescent="0.3">
      <c r="A23" s="86" t="s">
        <v>600</v>
      </c>
      <c r="B23" s="3">
        <v>30</v>
      </c>
      <c r="C23" s="3"/>
      <c r="D23" s="3"/>
      <c r="E23" s="3"/>
      <c r="F23" s="3"/>
      <c r="G23" s="3"/>
      <c r="H23" s="84"/>
    </row>
    <row r="24" spans="1:8" x14ac:dyDescent="0.3">
      <c r="A24" s="86" t="s">
        <v>780</v>
      </c>
      <c r="B24" s="3">
        <v>20</v>
      </c>
      <c r="C24" s="3"/>
      <c r="D24" s="3"/>
      <c r="E24" s="3"/>
      <c r="F24" s="3"/>
      <c r="G24" s="3"/>
      <c r="H24" s="84"/>
    </row>
    <row r="25" spans="1:8" x14ac:dyDescent="0.3">
      <c r="A25" s="86" t="s">
        <v>781</v>
      </c>
      <c r="B25" s="3">
        <v>20</v>
      </c>
      <c r="C25" s="3"/>
      <c r="D25" s="3"/>
      <c r="E25" s="3"/>
      <c r="F25" s="3"/>
      <c r="G25" s="3"/>
      <c r="H25" s="84"/>
    </row>
    <row r="26" spans="1:8" x14ac:dyDescent="0.3">
      <c r="A26" s="86"/>
      <c r="B26" s="3"/>
      <c r="C26" s="3"/>
      <c r="D26" s="3"/>
      <c r="E26" s="3"/>
      <c r="F26" s="3"/>
      <c r="G26" s="3"/>
      <c r="H26" s="84"/>
    </row>
    <row r="27" spans="1:8" x14ac:dyDescent="0.3">
      <c r="A27" s="86"/>
      <c r="B27" s="3"/>
      <c r="C27" s="3"/>
      <c r="D27" s="3"/>
      <c r="E27" s="3"/>
      <c r="F27" s="3"/>
      <c r="G27" s="3"/>
      <c r="H27" s="8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2690-6C91-4723-9D27-2BB2EFC67719}">
  <sheetPr>
    <tabColor theme="7" tint="0.59999389629810485"/>
  </sheetPr>
  <dimension ref="A1:AJ44"/>
  <sheetViews>
    <sheetView topLeftCell="A19" zoomScale="86" zoomScaleNormal="86" workbookViewId="0">
      <selection activeCell="C36" sqref="C31:C36"/>
    </sheetView>
  </sheetViews>
  <sheetFormatPr defaultRowHeight="14.4" x14ac:dyDescent="0.3"/>
  <cols>
    <col min="1" max="1" width="13" customWidth="1"/>
    <col min="2" max="2" width="9.109375" customWidth="1"/>
    <col min="12" max="12" width="15.6640625" bestFit="1" customWidth="1"/>
    <col min="23" max="23" width="13.44140625" customWidth="1"/>
  </cols>
  <sheetData>
    <row r="1" spans="1:36" x14ac:dyDescent="0.3">
      <c r="A1" s="72" t="s">
        <v>280</v>
      </c>
      <c r="B1" s="83"/>
      <c r="C1" s="83"/>
      <c r="D1" s="83"/>
      <c r="L1" s="72" t="s">
        <v>57</v>
      </c>
      <c r="M1" s="83"/>
      <c r="N1" s="83"/>
      <c r="O1" s="83"/>
      <c r="P1" s="83"/>
      <c r="Q1" s="83"/>
      <c r="W1" s="72" t="s">
        <v>58</v>
      </c>
      <c r="X1" s="83"/>
      <c r="Y1" s="83"/>
      <c r="Z1" s="83"/>
      <c r="AA1" s="83"/>
      <c r="AB1" s="83"/>
      <c r="AE1" s="72" t="s">
        <v>58</v>
      </c>
      <c r="AF1" s="83"/>
      <c r="AG1" s="83"/>
      <c r="AH1" s="83"/>
      <c r="AI1" s="83"/>
      <c r="AJ1" s="83"/>
    </row>
    <row r="2" spans="1:36" x14ac:dyDescent="0.3">
      <c r="A2" s="72" t="s">
        <v>279</v>
      </c>
      <c r="B2" s="113">
        <v>1</v>
      </c>
      <c r="C2" s="113">
        <v>2</v>
      </c>
      <c r="D2" s="113">
        <v>3</v>
      </c>
      <c r="E2" s="113">
        <v>4</v>
      </c>
      <c r="F2" s="113">
        <v>5</v>
      </c>
      <c r="G2" s="113">
        <v>6</v>
      </c>
      <c r="H2" s="3"/>
      <c r="L2" s="72" t="s">
        <v>56</v>
      </c>
      <c r="M2" s="113">
        <v>1</v>
      </c>
      <c r="N2" s="113">
        <v>2</v>
      </c>
      <c r="O2" s="113">
        <v>3</v>
      </c>
      <c r="P2" s="113">
        <v>4</v>
      </c>
      <c r="Q2" s="113">
        <v>5</v>
      </c>
      <c r="R2" s="113">
        <v>6</v>
      </c>
      <c r="W2" s="72" t="s">
        <v>457</v>
      </c>
      <c r="AE2" s="72" t="s">
        <v>733</v>
      </c>
    </row>
    <row r="3" spans="1:36" x14ac:dyDescent="0.3">
      <c r="A3" s="86" t="s">
        <v>130</v>
      </c>
      <c r="B3" s="3">
        <v>638420.00000000012</v>
      </c>
      <c r="C3" s="3">
        <v>598600</v>
      </c>
      <c r="D3" s="3">
        <v>561350</v>
      </c>
      <c r="E3" s="3">
        <v>526670.00000000012</v>
      </c>
      <c r="F3" s="3">
        <v>494550</v>
      </c>
      <c r="G3" s="3">
        <v>463725</v>
      </c>
      <c r="H3" s="84"/>
      <c r="L3" s="86" t="s">
        <v>130</v>
      </c>
      <c r="M3" s="3">
        <v>28070</v>
      </c>
      <c r="N3" s="3">
        <v>28070</v>
      </c>
      <c r="O3" s="3">
        <v>28070</v>
      </c>
      <c r="P3" s="3">
        <v>28070</v>
      </c>
      <c r="Q3" s="3">
        <v>28070</v>
      </c>
      <c r="R3" s="3">
        <v>28070</v>
      </c>
      <c r="S3" s="80"/>
      <c r="T3" s="80"/>
      <c r="U3" s="80"/>
      <c r="V3" s="4"/>
      <c r="W3" s="86" t="s">
        <v>130</v>
      </c>
      <c r="X3" s="3">
        <v>0.1</v>
      </c>
      <c r="Y3" s="80"/>
      <c r="Z3" s="80"/>
      <c r="AA3" s="3"/>
      <c r="AE3" s="86" t="s">
        <v>139</v>
      </c>
      <c r="AF3" s="3">
        <v>0</v>
      </c>
      <c r="AG3" s="80"/>
      <c r="AH3" s="80"/>
      <c r="AI3" s="3"/>
    </row>
    <row r="4" spans="1:36" x14ac:dyDescent="0.3">
      <c r="A4" s="86" t="s">
        <v>131</v>
      </c>
      <c r="B4" s="3">
        <v>723730</v>
      </c>
      <c r="C4" s="3">
        <v>685275.00000000012</v>
      </c>
      <c r="D4" s="3">
        <v>628970</v>
      </c>
      <c r="E4" s="3">
        <v>590515</v>
      </c>
      <c r="F4" s="3">
        <v>553440</v>
      </c>
      <c r="G4" s="3">
        <v>519105</v>
      </c>
      <c r="H4" s="84"/>
      <c r="L4" s="86" t="s">
        <v>131</v>
      </c>
      <c r="M4" s="3">
        <v>26990</v>
      </c>
      <c r="N4" s="3">
        <v>26990</v>
      </c>
      <c r="O4" s="3">
        <v>26990</v>
      </c>
      <c r="P4" s="3">
        <v>26990</v>
      </c>
      <c r="Q4" s="3">
        <v>26990</v>
      </c>
      <c r="R4" s="3">
        <v>26990</v>
      </c>
      <c r="S4" s="80"/>
      <c r="T4" s="80"/>
      <c r="U4" s="80"/>
      <c r="V4" s="4"/>
      <c r="W4" s="86" t="s">
        <v>131</v>
      </c>
      <c r="X4" s="3">
        <v>0.1</v>
      </c>
      <c r="Y4" s="80"/>
      <c r="Z4" s="80"/>
      <c r="AA4" s="3"/>
      <c r="AE4" s="86" t="s">
        <v>140</v>
      </c>
      <c r="AF4" s="3">
        <v>0</v>
      </c>
      <c r="AG4" s="80"/>
      <c r="AH4" s="80"/>
      <c r="AI4" s="3"/>
    </row>
    <row r="5" spans="1:36" x14ac:dyDescent="0.3">
      <c r="A5" s="86" t="s">
        <v>213</v>
      </c>
      <c r="B5" s="3">
        <v>1134840</v>
      </c>
      <c r="C5" s="3">
        <v>1134840</v>
      </c>
      <c r="D5" s="3">
        <v>1095550</v>
      </c>
      <c r="E5" s="3">
        <v>1056270</v>
      </c>
      <c r="F5" s="3">
        <v>1030079.9999999999</v>
      </c>
      <c r="G5" s="3">
        <v>1003890</v>
      </c>
      <c r="H5" s="84"/>
      <c r="L5" s="86" t="s">
        <v>213</v>
      </c>
      <c r="M5" s="3">
        <v>100000</v>
      </c>
      <c r="N5" s="3">
        <v>95000</v>
      </c>
      <c r="O5" s="3">
        <v>92000</v>
      </c>
      <c r="P5" s="3">
        <v>89000</v>
      </c>
      <c r="Q5" s="3">
        <v>87000</v>
      </c>
      <c r="R5" s="3">
        <v>84000</v>
      </c>
      <c r="S5" s="80"/>
      <c r="T5" s="80"/>
      <c r="U5" s="80"/>
      <c r="V5" s="4"/>
      <c r="W5" s="86" t="s">
        <v>213</v>
      </c>
      <c r="X5" s="3">
        <v>7.5</v>
      </c>
      <c r="Y5" s="80"/>
      <c r="Z5" s="80"/>
      <c r="AA5" s="3"/>
      <c r="AE5" s="86" t="s">
        <v>141</v>
      </c>
      <c r="AF5" s="3">
        <v>0</v>
      </c>
      <c r="AG5" s="80"/>
      <c r="AH5" s="80"/>
      <c r="AI5" s="3"/>
    </row>
    <row r="6" spans="1:36" x14ac:dyDescent="0.3">
      <c r="A6" s="86" t="s">
        <v>133</v>
      </c>
      <c r="B6" s="3">
        <v>730000</v>
      </c>
      <c r="C6" s="3">
        <v>562000</v>
      </c>
      <c r="D6" s="3">
        <v>519000</v>
      </c>
      <c r="E6" s="3">
        <v>477000</v>
      </c>
      <c r="F6" s="3">
        <v>468000</v>
      </c>
      <c r="G6" s="3">
        <v>458000</v>
      </c>
      <c r="H6" s="84"/>
      <c r="L6" s="86" t="s">
        <v>133</v>
      </c>
      <c r="M6" s="3">
        <v>34720</v>
      </c>
      <c r="N6" s="3">
        <v>33380</v>
      </c>
      <c r="O6" s="3">
        <v>32880</v>
      </c>
      <c r="P6" s="3">
        <v>32380</v>
      </c>
      <c r="Q6" s="3">
        <v>32210</v>
      </c>
      <c r="R6" s="3">
        <v>32050</v>
      </c>
      <c r="S6" s="80"/>
      <c r="T6" s="80"/>
      <c r="U6" s="80"/>
      <c r="V6" s="4"/>
      <c r="W6" s="86" t="s">
        <v>133</v>
      </c>
      <c r="X6" s="3">
        <v>3</v>
      </c>
      <c r="Y6" s="80"/>
      <c r="Z6" s="80"/>
      <c r="AA6" s="3"/>
      <c r="AE6" s="86" t="s">
        <v>142</v>
      </c>
      <c r="AF6" s="3">
        <v>0</v>
      </c>
      <c r="AG6" s="80"/>
      <c r="AH6" s="80"/>
      <c r="AI6" s="3"/>
    </row>
    <row r="7" spans="1:36" x14ac:dyDescent="0.3">
      <c r="A7" s="86" t="s">
        <v>214</v>
      </c>
      <c r="B7" s="3">
        <v>1176250</v>
      </c>
      <c r="C7" s="3">
        <v>1176250</v>
      </c>
      <c r="D7" s="3">
        <v>1176250</v>
      </c>
      <c r="E7" s="3">
        <v>1176250</v>
      </c>
      <c r="F7" s="3">
        <v>1176250</v>
      </c>
      <c r="G7" s="3">
        <v>1176250</v>
      </c>
      <c r="H7" s="84"/>
      <c r="L7" s="86" t="s">
        <v>214</v>
      </c>
      <c r="M7" s="3">
        <v>70583</v>
      </c>
      <c r="N7" s="3">
        <v>70583</v>
      </c>
      <c r="O7" s="3">
        <v>70583</v>
      </c>
      <c r="P7" s="3">
        <v>70583</v>
      </c>
      <c r="Q7" s="3">
        <v>70583</v>
      </c>
      <c r="R7" s="3">
        <v>70583</v>
      </c>
      <c r="S7" s="80"/>
      <c r="T7" s="80"/>
      <c r="U7" s="80"/>
      <c r="V7" s="4"/>
      <c r="W7" s="86" t="s">
        <v>214</v>
      </c>
      <c r="X7" s="3">
        <v>1.18</v>
      </c>
      <c r="Y7" s="80"/>
      <c r="Z7" s="80"/>
      <c r="AA7" s="3"/>
      <c r="AE7" s="86" t="s">
        <v>143</v>
      </c>
      <c r="AF7" s="3">
        <v>0</v>
      </c>
      <c r="AG7" s="80"/>
      <c r="AH7" s="80"/>
      <c r="AI7" s="3"/>
    </row>
    <row r="8" spans="1:36" x14ac:dyDescent="0.3">
      <c r="A8" s="86" t="s">
        <v>654</v>
      </c>
      <c r="B8" s="3">
        <v>710000</v>
      </c>
      <c r="C8" s="3">
        <v>710000</v>
      </c>
      <c r="D8" s="3">
        <v>710000</v>
      </c>
      <c r="E8" s="3">
        <v>610000</v>
      </c>
      <c r="F8" s="3">
        <v>610000</v>
      </c>
      <c r="G8" s="3">
        <v>610000</v>
      </c>
      <c r="H8" s="84"/>
      <c r="L8" s="86" t="s">
        <v>654</v>
      </c>
      <c r="M8" s="3">
        <v>15500</v>
      </c>
      <c r="N8" s="3">
        <v>15500</v>
      </c>
      <c r="O8" s="3">
        <v>15500</v>
      </c>
      <c r="P8" s="3">
        <v>14000</v>
      </c>
      <c r="Q8" s="3">
        <v>14000</v>
      </c>
      <c r="R8" s="3">
        <v>14000</v>
      </c>
      <c r="S8" s="80"/>
      <c r="T8" s="80"/>
      <c r="U8" s="80"/>
      <c r="V8" s="4"/>
      <c r="W8" s="86" t="s">
        <v>654</v>
      </c>
      <c r="X8" s="3">
        <v>2</v>
      </c>
      <c r="Y8" s="80"/>
      <c r="Z8" s="80"/>
      <c r="AA8" s="3"/>
      <c r="AE8" s="86" t="s">
        <v>144</v>
      </c>
      <c r="AF8" s="3">
        <v>0</v>
      </c>
      <c r="AG8" s="80"/>
      <c r="AH8" s="80"/>
      <c r="AI8" s="3"/>
    </row>
    <row r="9" spans="1:36" x14ac:dyDescent="0.3">
      <c r="A9" s="86" t="s">
        <v>207</v>
      </c>
      <c r="B9" s="3">
        <v>4435500</v>
      </c>
      <c r="C9" s="3">
        <v>4435500</v>
      </c>
      <c r="D9" s="3">
        <v>4435500</v>
      </c>
      <c r="E9" s="3">
        <v>4435500</v>
      </c>
      <c r="F9" s="3">
        <v>4435500</v>
      </c>
      <c r="G9" s="3">
        <v>4435500</v>
      </c>
      <c r="H9" s="84"/>
      <c r="L9" s="86" t="s">
        <v>207</v>
      </c>
      <c r="M9" s="3">
        <v>72940</v>
      </c>
      <c r="N9" s="3">
        <v>72940</v>
      </c>
      <c r="O9" s="3">
        <v>72940</v>
      </c>
      <c r="P9" s="3">
        <v>72940</v>
      </c>
      <c r="Q9" s="3">
        <v>72940</v>
      </c>
      <c r="R9" s="3">
        <v>72940</v>
      </c>
      <c r="S9" s="80"/>
      <c r="T9" s="80"/>
      <c r="U9" s="80"/>
      <c r="V9" s="4"/>
      <c r="W9" s="86" t="s">
        <v>207</v>
      </c>
      <c r="X9" s="3">
        <v>2.62</v>
      </c>
      <c r="Y9" s="80"/>
      <c r="Z9" s="80"/>
      <c r="AA9" s="3"/>
      <c r="AE9" s="86" t="s">
        <v>211</v>
      </c>
      <c r="AF9" s="3">
        <v>3</v>
      </c>
      <c r="AG9" s="80"/>
      <c r="AH9" s="80"/>
      <c r="AI9" s="3"/>
    </row>
    <row r="10" spans="1:36" x14ac:dyDescent="0.3">
      <c r="A10" s="86" t="s">
        <v>208</v>
      </c>
      <c r="B10" s="3">
        <v>750000</v>
      </c>
      <c r="C10" s="3">
        <v>750000</v>
      </c>
      <c r="D10" s="3">
        <v>750000</v>
      </c>
      <c r="E10" s="3">
        <v>750000</v>
      </c>
      <c r="F10" s="3">
        <v>750000</v>
      </c>
      <c r="G10" s="3">
        <v>750000</v>
      </c>
      <c r="H10" s="84"/>
      <c r="L10" s="86" t="s">
        <v>208</v>
      </c>
      <c r="M10" s="3">
        <v>4564</v>
      </c>
      <c r="N10" s="3">
        <v>4564</v>
      </c>
      <c r="O10" s="3">
        <v>4564</v>
      </c>
      <c r="P10" s="3">
        <v>4564</v>
      </c>
      <c r="Q10" s="3">
        <v>4564</v>
      </c>
      <c r="R10" s="3">
        <v>4564</v>
      </c>
      <c r="S10" s="80"/>
      <c r="T10" s="80"/>
      <c r="U10" s="80"/>
      <c r="V10" s="4"/>
      <c r="W10" s="86" t="s">
        <v>208</v>
      </c>
      <c r="X10" s="3">
        <v>1.91</v>
      </c>
      <c r="Y10" s="80"/>
      <c r="Z10" s="80"/>
      <c r="AA10" s="3"/>
      <c r="AE10" s="86" t="s">
        <v>212</v>
      </c>
      <c r="AF10" s="3">
        <v>10</v>
      </c>
      <c r="AG10" s="80"/>
      <c r="AH10" s="80"/>
      <c r="AI10" s="3"/>
    </row>
    <row r="11" spans="1:36" x14ac:dyDescent="0.3">
      <c r="A11" s="86" t="s">
        <v>210</v>
      </c>
      <c r="B11" s="3">
        <v>2100000</v>
      </c>
      <c r="C11" s="3">
        <v>2100000</v>
      </c>
      <c r="D11" s="3">
        <v>2100000</v>
      </c>
      <c r="E11" s="3">
        <v>2100000</v>
      </c>
      <c r="F11" s="3">
        <v>2100000</v>
      </c>
      <c r="G11" s="3">
        <v>2100000</v>
      </c>
      <c r="H11" s="84"/>
      <c r="L11" s="86" t="s">
        <v>210</v>
      </c>
      <c r="M11" s="3">
        <v>30979</v>
      </c>
      <c r="N11" s="3">
        <v>30979</v>
      </c>
      <c r="O11" s="3">
        <v>30979</v>
      </c>
      <c r="P11" s="3">
        <v>30979</v>
      </c>
      <c r="Q11" s="3">
        <v>30979</v>
      </c>
      <c r="R11" s="3">
        <v>30979</v>
      </c>
      <c r="S11" s="80"/>
      <c r="T11" s="80"/>
      <c r="U11" s="80"/>
      <c r="V11" s="4"/>
      <c r="W11" s="86" t="s">
        <v>210</v>
      </c>
      <c r="X11" s="3">
        <v>1.43</v>
      </c>
      <c r="Y11" s="80"/>
      <c r="Z11" s="80"/>
      <c r="AA11" s="3"/>
      <c r="AE11" s="86"/>
      <c r="AF11" s="3"/>
      <c r="AG11" s="80"/>
      <c r="AH11" s="80"/>
      <c r="AI11" s="3"/>
    </row>
    <row r="12" spans="1:36" x14ac:dyDescent="0.3">
      <c r="A12" s="86" t="s">
        <v>132</v>
      </c>
      <c r="B12" s="3">
        <v>5885500</v>
      </c>
      <c r="C12" s="3">
        <v>5885500</v>
      </c>
      <c r="D12" s="3">
        <v>5885500</v>
      </c>
      <c r="E12" s="3">
        <v>5885500</v>
      </c>
      <c r="F12" s="3">
        <v>5885500</v>
      </c>
      <c r="G12" s="3">
        <v>5885500</v>
      </c>
      <c r="H12" s="84"/>
      <c r="L12" s="86" t="s">
        <v>132</v>
      </c>
      <c r="M12" s="3">
        <v>139139</v>
      </c>
      <c r="N12" s="3">
        <v>139139</v>
      </c>
      <c r="O12" s="3">
        <v>139139</v>
      </c>
      <c r="P12" s="3">
        <v>139139</v>
      </c>
      <c r="Q12" s="3">
        <v>139139</v>
      </c>
      <c r="R12" s="3">
        <v>139139</v>
      </c>
      <c r="S12" s="80"/>
      <c r="T12" s="80"/>
      <c r="U12" s="80"/>
      <c r="V12" s="4"/>
      <c r="W12" s="86" t="s">
        <v>132</v>
      </c>
      <c r="X12">
        <v>7.86</v>
      </c>
      <c r="Y12" s="80"/>
      <c r="Z12" s="80"/>
      <c r="AA12" s="3"/>
      <c r="AE12" s="86"/>
      <c r="AG12" s="80"/>
      <c r="AH12" s="80"/>
      <c r="AI12" s="3"/>
    </row>
    <row r="13" spans="1:36" x14ac:dyDescent="0.3">
      <c r="A13" s="86" t="s">
        <v>291</v>
      </c>
      <c r="B13" s="3">
        <v>2319000</v>
      </c>
      <c r="C13" s="3">
        <v>2319000</v>
      </c>
      <c r="D13" s="3">
        <v>2319000</v>
      </c>
      <c r="E13" s="3">
        <v>2319000</v>
      </c>
      <c r="F13" s="3">
        <v>2319000</v>
      </c>
      <c r="G13" s="3">
        <v>2319000</v>
      </c>
      <c r="H13" s="84"/>
      <c r="L13" s="86" t="s">
        <v>291</v>
      </c>
      <c r="M13" s="35">
        <v>65500</v>
      </c>
      <c r="N13" s="35">
        <v>65500</v>
      </c>
      <c r="O13" s="35">
        <v>65500</v>
      </c>
      <c r="P13" s="35">
        <v>65500</v>
      </c>
      <c r="Q13" s="35">
        <v>65500</v>
      </c>
      <c r="R13" s="35">
        <v>65500</v>
      </c>
      <c r="S13" s="80"/>
      <c r="T13" s="80"/>
      <c r="U13" s="80"/>
      <c r="V13" s="4"/>
      <c r="W13" s="86" t="s">
        <v>291</v>
      </c>
      <c r="X13" s="3">
        <v>4</v>
      </c>
      <c r="Y13" s="80"/>
      <c r="Z13" s="80"/>
      <c r="AA13" s="3"/>
      <c r="AE13" s="86"/>
      <c r="AF13" s="3"/>
      <c r="AG13" s="80"/>
      <c r="AH13" s="80"/>
      <c r="AI13" s="3"/>
    </row>
    <row r="14" spans="1:36" x14ac:dyDescent="0.3">
      <c r="A14" s="86" t="s">
        <v>583</v>
      </c>
      <c r="B14" s="3">
        <v>583500</v>
      </c>
      <c r="C14" s="3">
        <v>583500</v>
      </c>
      <c r="D14" s="3">
        <v>583500</v>
      </c>
      <c r="E14" s="3">
        <v>583500</v>
      </c>
      <c r="F14" s="3">
        <v>583500</v>
      </c>
      <c r="G14" s="3">
        <v>583500</v>
      </c>
      <c r="H14" s="84"/>
      <c r="L14" s="86" t="s">
        <v>583</v>
      </c>
      <c r="M14" s="35">
        <v>11440</v>
      </c>
      <c r="N14" s="35">
        <v>11440</v>
      </c>
      <c r="O14" s="35">
        <v>11440</v>
      </c>
      <c r="P14" s="35">
        <v>11440</v>
      </c>
      <c r="Q14" s="35">
        <v>11440</v>
      </c>
      <c r="R14" s="35">
        <v>11440</v>
      </c>
      <c r="S14" s="80"/>
      <c r="T14" s="80"/>
      <c r="U14" s="80"/>
      <c r="V14" s="4"/>
      <c r="W14" s="86" t="s">
        <v>583</v>
      </c>
      <c r="X14" s="3">
        <v>1.43</v>
      </c>
      <c r="Y14" s="80"/>
      <c r="Z14" s="80"/>
      <c r="AA14" s="3"/>
      <c r="AE14" s="86"/>
      <c r="AF14" s="3"/>
      <c r="AG14" s="80"/>
      <c r="AH14" s="80"/>
      <c r="AI14" s="3"/>
    </row>
    <row r="15" spans="1:36" x14ac:dyDescent="0.3">
      <c r="A15" s="86" t="s">
        <v>98</v>
      </c>
      <c r="B15" s="3">
        <v>1350000</v>
      </c>
      <c r="C15" s="3">
        <v>1350000</v>
      </c>
      <c r="D15" s="3">
        <v>1350000</v>
      </c>
      <c r="E15" s="3">
        <v>1350000</v>
      </c>
      <c r="F15" s="3">
        <v>1350000</v>
      </c>
      <c r="G15" s="3">
        <v>1350000</v>
      </c>
      <c r="H15" s="84"/>
      <c r="L15" s="86" t="s">
        <v>98</v>
      </c>
      <c r="M15" s="35">
        <v>23500</v>
      </c>
      <c r="N15" s="35">
        <v>23500</v>
      </c>
      <c r="O15" s="35">
        <v>23500</v>
      </c>
      <c r="P15" s="35">
        <v>23500</v>
      </c>
      <c r="Q15" s="35">
        <v>23500</v>
      </c>
      <c r="R15" s="35">
        <v>23500</v>
      </c>
      <c r="S15" s="80"/>
      <c r="T15" s="80"/>
      <c r="U15" s="80"/>
      <c r="V15" s="4"/>
      <c r="W15" s="86" t="s">
        <v>98</v>
      </c>
      <c r="X15" s="3">
        <v>0</v>
      </c>
      <c r="Y15" s="80"/>
      <c r="Z15" s="80"/>
      <c r="AA15" s="3"/>
      <c r="AE15" s="86"/>
      <c r="AF15" s="3"/>
      <c r="AG15" s="80"/>
      <c r="AH15" s="80"/>
      <c r="AI15" s="3"/>
    </row>
    <row r="16" spans="1:36" x14ac:dyDescent="0.3">
      <c r="A16" s="86" t="s">
        <v>99</v>
      </c>
      <c r="B16" s="3">
        <v>2100000</v>
      </c>
      <c r="C16" s="3">
        <v>2100000</v>
      </c>
      <c r="D16" s="3">
        <v>2100000</v>
      </c>
      <c r="E16" s="3">
        <v>2100000</v>
      </c>
      <c r="F16" s="3">
        <v>2100000</v>
      </c>
      <c r="G16" s="3">
        <v>2100000</v>
      </c>
      <c r="H16" s="84"/>
      <c r="L16" s="86" t="s">
        <v>99</v>
      </c>
      <c r="M16" s="35">
        <v>36300</v>
      </c>
      <c r="N16" s="35">
        <v>28000</v>
      </c>
      <c r="O16" s="35">
        <v>24500</v>
      </c>
      <c r="P16" s="35">
        <v>22500</v>
      </c>
      <c r="Q16" s="35">
        <v>22500</v>
      </c>
      <c r="R16" s="35">
        <v>22500</v>
      </c>
      <c r="S16" s="80"/>
      <c r="T16" s="80"/>
      <c r="U16" s="80"/>
      <c r="V16" s="4"/>
      <c r="W16" s="86" t="s">
        <v>99</v>
      </c>
      <c r="X16" s="3">
        <v>0</v>
      </c>
      <c r="Y16" s="80"/>
      <c r="Z16" s="80"/>
      <c r="AA16" s="3"/>
      <c r="AE16" s="86"/>
      <c r="AF16" s="3"/>
      <c r="AG16" s="80"/>
      <c r="AH16" s="80"/>
      <c r="AI16" s="3"/>
    </row>
    <row r="17" spans="1:35" x14ac:dyDescent="0.3">
      <c r="A17" s="86" t="s">
        <v>97</v>
      </c>
      <c r="B17" s="3">
        <v>750000</v>
      </c>
      <c r="C17" s="3">
        <v>750000</v>
      </c>
      <c r="D17" s="3">
        <v>750000</v>
      </c>
      <c r="E17" s="3">
        <v>750000</v>
      </c>
      <c r="F17" s="3">
        <v>750000</v>
      </c>
      <c r="G17" s="3">
        <v>750000</v>
      </c>
      <c r="H17" s="84"/>
      <c r="L17" s="86" t="s">
        <v>97</v>
      </c>
      <c r="M17" s="35">
        <v>6700</v>
      </c>
      <c r="N17" s="35">
        <v>6400</v>
      </c>
      <c r="O17" s="35">
        <v>6000</v>
      </c>
      <c r="P17" s="35">
        <v>5700</v>
      </c>
      <c r="Q17" s="35">
        <v>5700</v>
      </c>
      <c r="R17" s="35">
        <v>5700</v>
      </c>
      <c r="S17" s="80"/>
      <c r="T17" s="80"/>
      <c r="U17" s="80"/>
      <c r="V17" s="4"/>
      <c r="W17" s="86" t="s">
        <v>97</v>
      </c>
      <c r="X17" s="3">
        <v>0</v>
      </c>
      <c r="Y17" s="80"/>
      <c r="Z17" s="80"/>
      <c r="AA17" s="3"/>
      <c r="AE17" s="86"/>
      <c r="AF17" s="3"/>
      <c r="AG17" s="80"/>
      <c r="AH17" s="80"/>
      <c r="AI17" s="3"/>
    </row>
    <row r="18" spans="1:35" x14ac:dyDescent="0.3">
      <c r="A18" s="86" t="s">
        <v>584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84"/>
      <c r="L18" s="86" t="s">
        <v>584</v>
      </c>
      <c r="M18" s="35">
        <v>54640</v>
      </c>
      <c r="N18" s="35">
        <v>54640</v>
      </c>
      <c r="O18" s="35">
        <v>54640</v>
      </c>
      <c r="P18" s="35">
        <v>54640</v>
      </c>
      <c r="Q18" s="35">
        <v>54640</v>
      </c>
      <c r="R18" s="35">
        <v>54640</v>
      </c>
      <c r="S18" s="80"/>
      <c r="T18" s="80"/>
      <c r="U18" s="80"/>
      <c r="V18" s="4"/>
      <c r="W18" s="86" t="s">
        <v>584</v>
      </c>
      <c r="X18" s="3">
        <v>0</v>
      </c>
      <c r="Y18" s="80"/>
      <c r="Z18" s="80"/>
      <c r="AA18" s="3"/>
      <c r="AE18" s="86"/>
      <c r="AF18" s="3"/>
      <c r="AG18" s="80"/>
      <c r="AH18" s="80"/>
      <c r="AI18" s="3"/>
    </row>
    <row r="19" spans="1:35" x14ac:dyDescent="0.3">
      <c r="A19" s="86" t="s">
        <v>139</v>
      </c>
      <c r="B19" s="3">
        <v>8240</v>
      </c>
      <c r="C19" s="3">
        <v>8240</v>
      </c>
      <c r="D19" s="3">
        <v>8240</v>
      </c>
      <c r="E19" s="3">
        <v>8240</v>
      </c>
      <c r="F19" s="3">
        <v>8240</v>
      </c>
      <c r="G19" s="3">
        <v>8240</v>
      </c>
      <c r="H19" s="84"/>
      <c r="L19" s="86" t="s">
        <v>139</v>
      </c>
      <c r="M19" s="35">
        <v>240</v>
      </c>
      <c r="N19" s="35">
        <v>240</v>
      </c>
      <c r="O19" s="35">
        <v>240</v>
      </c>
      <c r="P19" s="35">
        <v>240</v>
      </c>
      <c r="Q19" s="35">
        <v>240</v>
      </c>
      <c r="R19" s="35">
        <v>240</v>
      </c>
      <c r="S19" s="80"/>
      <c r="T19" s="80"/>
      <c r="U19" s="80"/>
      <c r="V19" s="4"/>
      <c r="W19" s="86" t="s">
        <v>139</v>
      </c>
      <c r="X19" s="3">
        <v>0.28999999999999998</v>
      </c>
      <c r="Y19" s="80"/>
      <c r="Z19" s="80"/>
      <c r="AA19" s="3"/>
      <c r="AE19" s="86"/>
      <c r="AF19" s="3"/>
      <c r="AG19" s="80"/>
      <c r="AH19" s="80"/>
      <c r="AI19" s="3"/>
    </row>
    <row r="20" spans="1:35" x14ac:dyDescent="0.3">
      <c r="A20" s="86" t="s">
        <v>140</v>
      </c>
      <c r="B20" s="3">
        <v>1764</v>
      </c>
      <c r="C20" s="3">
        <v>1764</v>
      </c>
      <c r="D20" s="3">
        <v>1764</v>
      </c>
      <c r="E20" s="3">
        <v>1764</v>
      </c>
      <c r="F20" s="3">
        <v>1764</v>
      </c>
      <c r="G20" s="3">
        <v>1764</v>
      </c>
      <c r="H20" s="84"/>
      <c r="L20" s="86" t="s">
        <v>140</v>
      </c>
      <c r="M20" s="3">
        <v>70</v>
      </c>
      <c r="N20" s="3">
        <v>70</v>
      </c>
      <c r="O20" s="3">
        <v>70</v>
      </c>
      <c r="P20" s="3">
        <v>70</v>
      </c>
      <c r="Q20" s="3">
        <v>70</v>
      </c>
      <c r="R20" s="3">
        <v>70</v>
      </c>
      <c r="S20" s="80"/>
      <c r="T20" s="80"/>
      <c r="U20" s="80"/>
      <c r="V20" s="4"/>
      <c r="W20" s="86" t="s">
        <v>140</v>
      </c>
      <c r="X20" s="3">
        <v>0.42</v>
      </c>
      <c r="Y20" s="80"/>
      <c r="Z20" s="80"/>
      <c r="AA20" s="3"/>
      <c r="AE20" s="86"/>
      <c r="AF20" s="3"/>
      <c r="AG20" s="80"/>
      <c r="AH20" s="80"/>
      <c r="AI20" s="3"/>
    </row>
    <row r="21" spans="1:35" x14ac:dyDescent="0.3">
      <c r="A21" s="86" t="s">
        <v>141</v>
      </c>
      <c r="B21" s="3">
        <v>1403</v>
      </c>
      <c r="C21" s="3">
        <v>1403</v>
      </c>
      <c r="D21" s="3">
        <v>1403</v>
      </c>
      <c r="E21" s="3">
        <v>1403</v>
      </c>
      <c r="F21" s="3">
        <v>1403</v>
      </c>
      <c r="G21" s="3">
        <v>1403</v>
      </c>
      <c r="H21" s="84"/>
      <c r="L21" s="86" t="s">
        <v>141</v>
      </c>
      <c r="M21" s="3">
        <v>80</v>
      </c>
      <c r="N21" s="3">
        <v>80</v>
      </c>
      <c r="O21" s="3">
        <v>80</v>
      </c>
      <c r="P21" s="3">
        <v>80</v>
      </c>
      <c r="Q21" s="3">
        <v>80</v>
      </c>
      <c r="R21" s="3">
        <v>80</v>
      </c>
      <c r="S21" s="80"/>
      <c r="T21" s="80"/>
      <c r="U21" s="80"/>
      <c r="V21" s="4"/>
      <c r="W21" s="86" t="s">
        <v>141</v>
      </c>
      <c r="X21" s="3">
        <v>0.64</v>
      </c>
      <c r="Y21" s="80"/>
      <c r="Z21" s="80"/>
      <c r="AA21" s="3"/>
      <c r="AE21" s="86"/>
      <c r="AF21" s="3"/>
      <c r="AG21" s="80"/>
      <c r="AH21" s="80"/>
      <c r="AI21" s="3"/>
    </row>
    <row r="22" spans="1:35" x14ac:dyDescent="0.3">
      <c r="A22" s="86" t="s">
        <v>142</v>
      </c>
      <c r="B22" s="3">
        <v>1764</v>
      </c>
      <c r="C22" s="3">
        <v>1764</v>
      </c>
      <c r="D22" s="3">
        <v>1764</v>
      </c>
      <c r="E22" s="3">
        <v>1764</v>
      </c>
      <c r="F22" s="3">
        <v>1764</v>
      </c>
      <c r="G22" s="3">
        <v>1764</v>
      </c>
      <c r="H22" s="84"/>
      <c r="L22" s="86" t="s">
        <v>142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80"/>
      <c r="T22" s="80"/>
      <c r="U22" s="80"/>
      <c r="V22" s="4"/>
      <c r="W22" s="86" t="s">
        <v>142</v>
      </c>
      <c r="X22" s="3">
        <v>0.42</v>
      </c>
      <c r="Y22" s="80"/>
      <c r="Z22" s="80"/>
      <c r="AA22" s="3"/>
      <c r="AE22" s="86"/>
      <c r="AF22" s="3"/>
      <c r="AG22" s="80"/>
      <c r="AH22" s="80"/>
      <c r="AI22" s="3"/>
    </row>
    <row r="23" spans="1:35" x14ac:dyDescent="0.3">
      <c r="A23" s="86" t="s">
        <v>143</v>
      </c>
      <c r="B23" s="3">
        <v>11450</v>
      </c>
      <c r="C23" s="3">
        <v>11450</v>
      </c>
      <c r="D23" s="3">
        <v>11450</v>
      </c>
      <c r="E23" s="3">
        <v>11450</v>
      </c>
      <c r="F23" s="3">
        <v>11450</v>
      </c>
      <c r="G23" s="3">
        <v>11450</v>
      </c>
      <c r="H23" s="84"/>
      <c r="L23" s="86" t="s">
        <v>143</v>
      </c>
      <c r="M23" s="3">
        <v>343.5</v>
      </c>
      <c r="N23" s="3">
        <v>343.5</v>
      </c>
      <c r="O23" s="3">
        <v>343.5</v>
      </c>
      <c r="P23" s="3">
        <v>343.5</v>
      </c>
      <c r="Q23" s="3">
        <v>343.5</v>
      </c>
      <c r="R23" s="3">
        <v>343.5</v>
      </c>
      <c r="S23" s="80"/>
      <c r="T23" s="80"/>
      <c r="U23" s="80"/>
      <c r="V23" s="4"/>
      <c r="W23" s="86" t="s">
        <v>143</v>
      </c>
      <c r="X23" s="3">
        <v>0</v>
      </c>
      <c r="Y23" s="80"/>
      <c r="Z23" s="80"/>
      <c r="AA23" s="3"/>
      <c r="AE23" s="86"/>
      <c r="AF23" s="3"/>
      <c r="AG23" s="80"/>
      <c r="AH23" s="80"/>
      <c r="AI23" s="3"/>
    </row>
    <row r="24" spans="1:35" x14ac:dyDescent="0.3">
      <c r="A24" s="86" t="s">
        <v>144</v>
      </c>
      <c r="B24" s="3">
        <v>54750</v>
      </c>
      <c r="C24" s="3">
        <v>54750</v>
      </c>
      <c r="D24" s="3">
        <v>54750</v>
      </c>
      <c r="E24" s="3">
        <v>54750</v>
      </c>
      <c r="F24" s="3">
        <v>54750</v>
      </c>
      <c r="G24" s="3">
        <v>54750</v>
      </c>
      <c r="H24" s="84"/>
      <c r="L24" s="86" t="s">
        <v>144</v>
      </c>
      <c r="M24" s="3">
        <v>1060</v>
      </c>
      <c r="N24" s="3">
        <v>1060</v>
      </c>
      <c r="O24" s="3">
        <v>1060</v>
      </c>
      <c r="P24" s="3">
        <v>1060</v>
      </c>
      <c r="Q24" s="3">
        <v>1060</v>
      </c>
      <c r="R24" s="3">
        <v>1060</v>
      </c>
      <c r="S24" s="80"/>
      <c r="T24" s="80"/>
      <c r="U24" s="80"/>
      <c r="V24" s="4"/>
      <c r="W24" s="86" t="s">
        <v>144</v>
      </c>
      <c r="X24" s="3">
        <v>52.900000000000006</v>
      </c>
      <c r="Y24" s="80"/>
      <c r="Z24" s="80"/>
      <c r="AA24" s="3"/>
      <c r="AE24" s="86"/>
      <c r="AF24" s="3"/>
      <c r="AG24" s="80"/>
      <c r="AH24" s="80"/>
      <c r="AI24" s="3"/>
    </row>
    <row r="25" spans="1:35" x14ac:dyDescent="0.3">
      <c r="A25" s="86" t="s">
        <v>211</v>
      </c>
      <c r="B25" s="3">
        <v>563100</v>
      </c>
      <c r="C25" s="3">
        <v>563100</v>
      </c>
      <c r="D25" s="3">
        <v>563100</v>
      </c>
      <c r="E25" s="3">
        <v>563100</v>
      </c>
      <c r="F25" s="3">
        <v>563100</v>
      </c>
      <c r="G25" s="3">
        <v>563100</v>
      </c>
      <c r="H25" s="84"/>
      <c r="L25" s="86" t="s">
        <v>211</v>
      </c>
      <c r="M25" s="3">
        <v>6700</v>
      </c>
      <c r="N25" s="3">
        <v>6700</v>
      </c>
      <c r="O25" s="3">
        <v>6700</v>
      </c>
      <c r="P25" s="3">
        <v>6700</v>
      </c>
      <c r="Q25" s="3">
        <v>6700</v>
      </c>
      <c r="R25" s="3">
        <v>6700</v>
      </c>
      <c r="S25" s="80"/>
      <c r="T25" s="80"/>
      <c r="U25" s="80"/>
      <c r="V25" s="4"/>
      <c r="W25" s="86" t="s">
        <v>211</v>
      </c>
      <c r="X25" s="3">
        <v>0</v>
      </c>
      <c r="Y25" s="80"/>
      <c r="Z25" s="80"/>
      <c r="AA25" s="3"/>
      <c r="AE25" s="86"/>
      <c r="AF25" s="3"/>
      <c r="AG25" s="80"/>
      <c r="AH25" s="80"/>
      <c r="AI25" s="3"/>
    </row>
    <row r="26" spans="1:35" x14ac:dyDescent="0.3">
      <c r="A26" s="86" t="s">
        <v>212</v>
      </c>
      <c r="B26" s="3">
        <v>1032000</v>
      </c>
      <c r="C26" s="3">
        <v>1032000</v>
      </c>
      <c r="D26" s="3">
        <v>1032000</v>
      </c>
      <c r="E26" s="3">
        <v>1032000</v>
      </c>
      <c r="F26" s="3">
        <v>1032000</v>
      </c>
      <c r="G26" s="3">
        <v>1032000</v>
      </c>
      <c r="H26" s="84"/>
      <c r="L26" s="86" t="s">
        <v>212</v>
      </c>
      <c r="M26" s="3">
        <v>11192</v>
      </c>
      <c r="N26" s="3">
        <v>11192</v>
      </c>
      <c r="O26" s="3">
        <v>11192</v>
      </c>
      <c r="P26" s="3">
        <v>11192</v>
      </c>
      <c r="Q26" s="3">
        <v>11192</v>
      </c>
      <c r="R26" s="3">
        <v>11192</v>
      </c>
      <c r="S26" s="80"/>
      <c r="T26" s="80"/>
      <c r="U26" s="80"/>
      <c r="V26" s="4"/>
      <c r="W26" s="86" t="s">
        <v>212</v>
      </c>
      <c r="X26" s="3">
        <v>0</v>
      </c>
      <c r="Y26" s="80"/>
      <c r="Z26" s="80"/>
      <c r="AA26" s="3"/>
      <c r="AE26" s="86"/>
      <c r="AF26" s="3"/>
      <c r="AG26" s="80"/>
      <c r="AH26" s="80"/>
      <c r="AI26" s="3"/>
    </row>
    <row r="27" spans="1:35" x14ac:dyDescent="0.3">
      <c r="H27" s="18"/>
    </row>
    <row r="29" spans="1:35" x14ac:dyDescent="0.3">
      <c r="A29" s="72" t="s">
        <v>16</v>
      </c>
      <c r="B29" s="83"/>
      <c r="C29" s="83"/>
      <c r="E29" s="72" t="s">
        <v>15</v>
      </c>
      <c r="F29" s="83"/>
      <c r="G29" s="83"/>
      <c r="H29" s="83"/>
    </row>
    <row r="30" spans="1:35" x14ac:dyDescent="0.3">
      <c r="A30" s="72" t="s">
        <v>284</v>
      </c>
      <c r="E30" s="72" t="s">
        <v>14</v>
      </c>
      <c r="F30" s="3"/>
      <c r="G30" s="84"/>
    </row>
    <row r="31" spans="1:35" x14ac:dyDescent="0.3">
      <c r="A31" s="86" t="s">
        <v>130</v>
      </c>
      <c r="B31" s="3">
        <v>50</v>
      </c>
      <c r="C31" s="85"/>
      <c r="E31" s="86" t="s">
        <v>130</v>
      </c>
      <c r="F31" s="3">
        <v>1000</v>
      </c>
      <c r="G31" s="84"/>
    </row>
    <row r="32" spans="1:35" x14ac:dyDescent="0.3">
      <c r="A32" s="86" t="s">
        <v>131</v>
      </c>
      <c r="B32" s="3">
        <v>50</v>
      </c>
      <c r="C32" s="84"/>
      <c r="E32" s="86" t="s">
        <v>131</v>
      </c>
      <c r="F32" s="3">
        <v>1000</v>
      </c>
      <c r="G32" s="84"/>
    </row>
    <row r="33" spans="1:7" x14ac:dyDescent="0.3">
      <c r="A33" s="86" t="s">
        <v>213</v>
      </c>
      <c r="B33" s="3">
        <v>50</v>
      </c>
      <c r="C33" s="84"/>
      <c r="E33" s="86" t="s">
        <v>213</v>
      </c>
      <c r="F33" s="3">
        <v>1000</v>
      </c>
      <c r="G33" s="84"/>
    </row>
    <row r="34" spans="1:7" x14ac:dyDescent="0.3">
      <c r="A34" s="86" t="s">
        <v>133</v>
      </c>
      <c r="B34" s="3">
        <v>50</v>
      </c>
      <c r="C34" s="84"/>
      <c r="E34" s="86" t="s">
        <v>133</v>
      </c>
      <c r="F34" s="3">
        <v>1000</v>
      </c>
      <c r="G34" s="84"/>
    </row>
    <row r="35" spans="1:7" x14ac:dyDescent="0.3">
      <c r="A35" s="86" t="s">
        <v>654</v>
      </c>
      <c r="B35" s="3">
        <v>54.2</v>
      </c>
      <c r="C35" s="84"/>
      <c r="E35" s="86" t="s">
        <v>654</v>
      </c>
      <c r="F35" s="3">
        <v>1000</v>
      </c>
      <c r="G35" s="84"/>
    </row>
    <row r="36" spans="1:7" x14ac:dyDescent="0.3">
      <c r="A36" s="86" t="s">
        <v>207</v>
      </c>
      <c r="B36" s="3">
        <v>22.4</v>
      </c>
      <c r="C36" s="84"/>
      <c r="E36" s="86" t="s">
        <v>207</v>
      </c>
      <c r="F36" s="3">
        <v>1000</v>
      </c>
      <c r="G36" s="3"/>
    </row>
    <row r="37" spans="1:7" x14ac:dyDescent="0.3">
      <c r="A37" s="86" t="s">
        <v>290</v>
      </c>
      <c r="B37" s="3">
        <v>54.2</v>
      </c>
      <c r="C37" s="3"/>
      <c r="E37" s="86" t="s">
        <v>290</v>
      </c>
      <c r="F37" s="3">
        <v>1000</v>
      </c>
      <c r="G37" s="3"/>
    </row>
    <row r="38" spans="1:7" x14ac:dyDescent="0.3">
      <c r="A38" s="86" t="s">
        <v>210</v>
      </c>
      <c r="B38" s="3">
        <v>64.47</v>
      </c>
      <c r="C38" s="3"/>
      <c r="E38" s="86" t="s">
        <v>210</v>
      </c>
      <c r="F38" s="3">
        <v>1000</v>
      </c>
      <c r="G38" s="3"/>
    </row>
    <row r="39" spans="1:7" x14ac:dyDescent="0.3">
      <c r="A39" s="86" t="s">
        <v>208</v>
      </c>
      <c r="B39" s="3">
        <v>22.06</v>
      </c>
      <c r="C39" s="3"/>
      <c r="E39" s="86" t="s">
        <v>208</v>
      </c>
      <c r="F39" s="3">
        <v>1000</v>
      </c>
      <c r="G39" s="3"/>
    </row>
    <row r="40" spans="1:7" x14ac:dyDescent="0.3">
      <c r="A40" s="86" t="s">
        <v>291</v>
      </c>
      <c r="B40" s="3">
        <v>65.2</v>
      </c>
      <c r="C40" s="3"/>
      <c r="E40" s="86" t="s">
        <v>291</v>
      </c>
      <c r="F40" s="3">
        <v>1000</v>
      </c>
      <c r="G40" s="3"/>
    </row>
    <row r="41" spans="1:7" x14ac:dyDescent="0.3">
      <c r="A41" s="86" t="s">
        <v>132</v>
      </c>
      <c r="B41" s="3">
        <v>44.9</v>
      </c>
      <c r="C41" s="3"/>
      <c r="E41" s="86" t="s">
        <v>132</v>
      </c>
      <c r="F41" s="3">
        <v>1000</v>
      </c>
      <c r="G41" s="3"/>
    </row>
    <row r="42" spans="1:7" x14ac:dyDescent="0.3">
      <c r="A42" s="86"/>
      <c r="B42" s="3"/>
      <c r="C42" s="3"/>
      <c r="E42" s="86"/>
      <c r="F42" s="3"/>
      <c r="G42" s="3"/>
    </row>
    <row r="43" spans="1:7" x14ac:dyDescent="0.3">
      <c r="A43" s="86"/>
      <c r="B43" s="3"/>
      <c r="C43" s="3"/>
      <c r="E43" s="86"/>
      <c r="F43" s="3"/>
      <c r="G43" s="3"/>
    </row>
    <row r="44" spans="1:7" x14ac:dyDescent="0.3">
      <c r="A44" s="86"/>
      <c r="B44" s="3"/>
      <c r="C44" s="3"/>
      <c r="E44" s="86"/>
      <c r="F44" s="3"/>
      <c r="G44" s="3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AEA0-C345-4767-8ACA-88A2BB929FBF}">
  <sheetPr>
    <tabColor theme="0" tint="-0.34998626667073579"/>
  </sheetPr>
  <dimension ref="A1:AC85"/>
  <sheetViews>
    <sheetView workbookViewId="0">
      <selection activeCell="C4" sqref="C4:C49"/>
    </sheetView>
  </sheetViews>
  <sheetFormatPr defaultRowHeight="14.4" x14ac:dyDescent="0.3"/>
  <cols>
    <col min="22" max="22" width="13.5546875" bestFit="1" customWidth="1"/>
    <col min="24" max="24" width="9.109375" customWidth="1"/>
  </cols>
  <sheetData>
    <row r="1" spans="1:25" x14ac:dyDescent="0.3">
      <c r="A1" s="1" t="s">
        <v>244</v>
      </c>
      <c r="G1" s="1" t="s">
        <v>245</v>
      </c>
    </row>
    <row r="3" spans="1:25" x14ac:dyDescent="0.3">
      <c r="A3" s="26" t="s">
        <v>160</v>
      </c>
      <c r="B3" s="26"/>
      <c r="C3" s="26" t="s">
        <v>129</v>
      </c>
      <c r="D3" s="26" t="s">
        <v>230</v>
      </c>
      <c r="G3" s="26" t="s">
        <v>160</v>
      </c>
      <c r="H3" s="26"/>
      <c r="I3" s="26" t="s">
        <v>129</v>
      </c>
      <c r="J3" s="26" t="s">
        <v>230</v>
      </c>
      <c r="L3" s="26" t="s">
        <v>248</v>
      </c>
      <c r="M3" s="26" t="s">
        <v>129</v>
      </c>
      <c r="N3" s="26" t="s">
        <v>134</v>
      </c>
      <c r="P3" t="s">
        <v>250</v>
      </c>
      <c r="Q3" s="26" t="s">
        <v>129</v>
      </c>
      <c r="R3" s="26" t="s">
        <v>249</v>
      </c>
      <c r="T3" s="26" t="s">
        <v>516</v>
      </c>
      <c r="U3" s="26" t="s">
        <v>176</v>
      </c>
      <c r="V3" s="26" t="s">
        <v>177</v>
      </c>
      <c r="W3" s="26" t="s">
        <v>129</v>
      </c>
      <c r="X3" s="26"/>
      <c r="Y3" t="s">
        <v>256</v>
      </c>
    </row>
    <row r="4" spans="1:25" x14ac:dyDescent="0.3">
      <c r="A4" s="12" t="s">
        <v>231</v>
      </c>
      <c r="B4" s="12" t="s">
        <v>232</v>
      </c>
      <c r="C4" s="3" t="s">
        <v>90</v>
      </c>
      <c r="D4" s="3" t="s">
        <v>87</v>
      </c>
      <c r="G4" s="12" t="s">
        <v>231</v>
      </c>
      <c r="H4" s="12" t="s">
        <v>232</v>
      </c>
      <c r="I4" s="3" t="s">
        <v>90</v>
      </c>
      <c r="J4" s="3" t="s">
        <v>87</v>
      </c>
      <c r="L4" s="3"/>
      <c r="M4" s="3" t="s">
        <v>84</v>
      </c>
      <c r="N4" s="3" t="s">
        <v>137</v>
      </c>
      <c r="Q4" s="3" t="s">
        <v>87</v>
      </c>
      <c r="R4" s="3" t="s">
        <v>139</v>
      </c>
      <c r="T4" s="3"/>
      <c r="U4" s="3" t="s">
        <v>186</v>
      </c>
      <c r="V4" s="3" t="s">
        <v>201</v>
      </c>
      <c r="W4" s="3" t="s">
        <v>90</v>
      </c>
      <c r="X4" s="3" t="s">
        <v>204</v>
      </c>
      <c r="Y4" t="s">
        <v>257</v>
      </c>
    </row>
    <row r="5" spans="1:25" x14ac:dyDescent="0.3">
      <c r="A5" s="12" t="s">
        <v>232</v>
      </c>
      <c r="B5" s="12" t="s">
        <v>233</v>
      </c>
      <c r="C5" s="3" t="s">
        <v>87</v>
      </c>
      <c r="D5" s="3" t="s">
        <v>86</v>
      </c>
      <c r="G5" s="12" t="s">
        <v>232</v>
      </c>
      <c r="H5" s="12" t="s">
        <v>233</v>
      </c>
      <c r="I5" s="3" t="s">
        <v>87</v>
      </c>
      <c r="J5" s="3" t="s">
        <v>86</v>
      </c>
      <c r="L5" s="3"/>
      <c r="M5" s="3" t="s">
        <v>89</v>
      </c>
      <c r="N5" s="3" t="s">
        <v>138</v>
      </c>
      <c r="Q5" s="3" t="s">
        <v>89</v>
      </c>
      <c r="R5" s="3" t="s">
        <v>140</v>
      </c>
      <c r="T5" s="3"/>
      <c r="U5" s="3" t="s">
        <v>186</v>
      </c>
      <c r="V5" s="3" t="s">
        <v>251</v>
      </c>
      <c r="W5" s="3" t="s">
        <v>90</v>
      </c>
      <c r="X5" s="3" t="s">
        <v>87</v>
      </c>
    </row>
    <row r="6" spans="1:25" x14ac:dyDescent="0.3">
      <c r="A6" s="12" t="s">
        <v>232</v>
      </c>
      <c r="B6" s="12" t="s">
        <v>234</v>
      </c>
      <c r="C6" s="3" t="s">
        <v>87</v>
      </c>
      <c r="D6" s="3" t="s">
        <v>89</v>
      </c>
      <c r="G6" s="12" t="s">
        <v>232</v>
      </c>
      <c r="H6" s="12" t="s">
        <v>234</v>
      </c>
      <c r="I6" s="3" t="s">
        <v>87</v>
      </c>
      <c r="J6" s="3" t="s">
        <v>89</v>
      </c>
      <c r="L6" s="3"/>
      <c r="M6" s="3" t="s">
        <v>90</v>
      </c>
      <c r="N6" s="3" t="s">
        <v>135</v>
      </c>
      <c r="Q6" s="3" t="s">
        <v>86</v>
      </c>
      <c r="R6" s="3" t="s">
        <v>141</v>
      </c>
      <c r="T6" s="3"/>
      <c r="U6" s="3" t="s">
        <v>186</v>
      </c>
      <c r="V6" s="3" t="s">
        <v>195</v>
      </c>
      <c r="W6" s="3" t="s">
        <v>87</v>
      </c>
      <c r="X6" s="3" t="s">
        <v>87</v>
      </c>
    </row>
    <row r="7" spans="1:25" x14ac:dyDescent="0.3">
      <c r="A7" s="12" t="s">
        <v>232</v>
      </c>
      <c r="B7" s="12" t="s">
        <v>231</v>
      </c>
      <c r="C7" s="3" t="s">
        <v>87</v>
      </c>
      <c r="D7" s="3" t="s">
        <v>90</v>
      </c>
      <c r="G7" s="12" t="s">
        <v>232</v>
      </c>
      <c r="H7" s="12" t="s">
        <v>231</v>
      </c>
      <c r="I7" s="3" t="s">
        <v>87</v>
      </c>
      <c r="J7" s="3" t="s">
        <v>90</v>
      </c>
      <c r="Q7" s="3" t="s">
        <v>89</v>
      </c>
      <c r="R7" s="3" t="s">
        <v>142</v>
      </c>
      <c r="T7" s="3"/>
      <c r="U7" s="3" t="s">
        <v>186</v>
      </c>
      <c r="V7" s="3" t="s">
        <v>198</v>
      </c>
      <c r="W7" s="3" t="s">
        <v>85</v>
      </c>
      <c r="X7" s="3" t="s">
        <v>205</v>
      </c>
    </row>
    <row r="8" spans="1:25" x14ac:dyDescent="0.3">
      <c r="A8" s="12" t="s">
        <v>233</v>
      </c>
      <c r="B8" s="12" t="s">
        <v>232</v>
      </c>
      <c r="C8" s="3" t="s">
        <v>86</v>
      </c>
      <c r="D8" s="3" t="s">
        <v>87</v>
      </c>
      <c r="G8" s="12" t="s">
        <v>233</v>
      </c>
      <c r="H8" s="12" t="s">
        <v>232</v>
      </c>
      <c r="I8" s="3" t="s">
        <v>86</v>
      </c>
      <c r="J8" s="3" t="s">
        <v>87</v>
      </c>
      <c r="Q8" s="119" t="s">
        <v>90</v>
      </c>
      <c r="R8" s="120" t="s">
        <v>143</v>
      </c>
      <c r="T8" s="3"/>
      <c r="U8" s="3" t="s">
        <v>186</v>
      </c>
      <c r="V8" s="3" t="s">
        <v>252</v>
      </c>
      <c r="W8" s="3" t="s">
        <v>96</v>
      </c>
      <c r="X8" s="3" t="s">
        <v>204</v>
      </c>
    </row>
    <row r="9" spans="1:25" x14ac:dyDescent="0.3">
      <c r="A9" s="12" t="s">
        <v>233</v>
      </c>
      <c r="B9" s="12" t="s">
        <v>234</v>
      </c>
      <c r="C9" s="3" t="s">
        <v>86</v>
      </c>
      <c r="D9" s="3" t="s">
        <v>89</v>
      </c>
      <c r="G9" s="12" t="s">
        <v>233</v>
      </c>
      <c r="H9" s="12" t="s">
        <v>234</v>
      </c>
      <c r="I9" s="3" t="s">
        <v>86</v>
      </c>
      <c r="J9" s="3" t="s">
        <v>89</v>
      </c>
      <c r="Q9" s="119" t="s">
        <v>87</v>
      </c>
      <c r="R9" s="120" t="s">
        <v>143</v>
      </c>
      <c r="T9" s="3"/>
      <c r="U9" s="3" t="s">
        <v>186</v>
      </c>
      <c r="V9" s="3" t="s">
        <v>253</v>
      </c>
      <c r="W9" s="3" t="s">
        <v>93</v>
      </c>
      <c r="X9" s="3" t="s">
        <v>183</v>
      </c>
    </row>
    <row r="10" spans="1:25" x14ac:dyDescent="0.3">
      <c r="A10" s="12" t="s">
        <v>233</v>
      </c>
      <c r="B10" s="12" t="s">
        <v>235</v>
      </c>
      <c r="C10" s="3" t="s">
        <v>86</v>
      </c>
      <c r="D10" s="3" t="s">
        <v>85</v>
      </c>
      <c r="G10" s="12" t="s">
        <v>233</v>
      </c>
      <c r="H10" s="12" t="s">
        <v>235</v>
      </c>
      <c r="I10" s="3" t="s">
        <v>86</v>
      </c>
      <c r="J10" s="3" t="s">
        <v>85</v>
      </c>
      <c r="Q10" s="119" t="s">
        <v>86</v>
      </c>
      <c r="R10" s="120" t="s">
        <v>143</v>
      </c>
      <c r="T10" s="3"/>
      <c r="U10" s="3" t="s">
        <v>186</v>
      </c>
      <c r="V10" s="3" t="s">
        <v>193</v>
      </c>
      <c r="W10" s="3" t="s">
        <v>92</v>
      </c>
      <c r="X10" s="3" t="s">
        <v>183</v>
      </c>
    </row>
    <row r="11" spans="1:25" x14ac:dyDescent="0.3">
      <c r="A11" s="12" t="s">
        <v>234</v>
      </c>
      <c r="B11" s="12" t="s">
        <v>232</v>
      </c>
      <c r="C11" s="3" t="s">
        <v>89</v>
      </c>
      <c r="D11" s="3" t="s">
        <v>87</v>
      </c>
      <c r="G11" s="12" t="s">
        <v>234</v>
      </c>
      <c r="H11" s="12" t="s">
        <v>232</v>
      </c>
      <c r="I11" s="3" t="s">
        <v>89</v>
      </c>
      <c r="J11" s="3" t="s">
        <v>87</v>
      </c>
      <c r="Q11" s="119" t="s">
        <v>89</v>
      </c>
      <c r="R11" s="120" t="s">
        <v>143</v>
      </c>
      <c r="T11" s="3"/>
      <c r="U11" s="3" t="s">
        <v>186</v>
      </c>
      <c r="V11" s="3" t="s">
        <v>191</v>
      </c>
      <c r="W11" s="3" t="s">
        <v>91</v>
      </c>
      <c r="X11" s="3" t="s">
        <v>183</v>
      </c>
    </row>
    <row r="12" spans="1:25" x14ac:dyDescent="0.3">
      <c r="A12" s="12" t="s">
        <v>234</v>
      </c>
      <c r="B12" s="12" t="s">
        <v>233</v>
      </c>
      <c r="C12" s="3" t="s">
        <v>89</v>
      </c>
      <c r="D12" s="3" t="s">
        <v>86</v>
      </c>
      <c r="G12" s="12" t="s">
        <v>234</v>
      </c>
      <c r="H12" s="12" t="s">
        <v>233</v>
      </c>
      <c r="I12" s="3" t="s">
        <v>89</v>
      </c>
      <c r="J12" s="3" t="s">
        <v>86</v>
      </c>
      <c r="Q12" s="119" t="s">
        <v>94</v>
      </c>
      <c r="R12" s="120" t="s">
        <v>143</v>
      </c>
      <c r="T12" s="3"/>
      <c r="U12" s="3" t="s">
        <v>186</v>
      </c>
      <c r="V12" s="3" t="s">
        <v>255</v>
      </c>
      <c r="W12" s="3" t="s">
        <v>91</v>
      </c>
      <c r="X12" s="3" t="s">
        <v>203</v>
      </c>
    </row>
    <row r="13" spans="1:25" x14ac:dyDescent="0.3">
      <c r="A13" s="12" t="s">
        <v>234</v>
      </c>
      <c r="B13" s="12" t="s">
        <v>235</v>
      </c>
      <c r="C13" s="3" t="s">
        <v>89</v>
      </c>
      <c r="D13" s="3" t="s">
        <v>85</v>
      </c>
      <c r="G13" s="12" t="s">
        <v>234</v>
      </c>
      <c r="H13" s="12" t="s">
        <v>236</v>
      </c>
      <c r="I13" s="3" t="s">
        <v>89</v>
      </c>
      <c r="J13" s="3" t="s">
        <v>94</v>
      </c>
      <c r="Q13" s="119" t="s">
        <v>85</v>
      </c>
      <c r="R13" s="120" t="s">
        <v>143</v>
      </c>
      <c r="T13" s="3"/>
      <c r="U13" s="3" t="s">
        <v>186</v>
      </c>
      <c r="V13" s="3" t="s">
        <v>199</v>
      </c>
      <c r="W13" s="3" t="s">
        <v>91</v>
      </c>
      <c r="X13" s="3" t="s">
        <v>258</v>
      </c>
    </row>
    <row r="14" spans="1:25" x14ac:dyDescent="0.3">
      <c r="A14" s="12" t="s">
        <v>234</v>
      </c>
      <c r="B14" s="12" t="s">
        <v>236</v>
      </c>
      <c r="C14" s="3" t="s">
        <v>89</v>
      </c>
      <c r="D14" s="3" t="s">
        <v>94</v>
      </c>
      <c r="G14" s="12" t="s">
        <v>234</v>
      </c>
      <c r="H14" s="12" t="s">
        <v>237</v>
      </c>
      <c r="I14" s="3" t="s">
        <v>89</v>
      </c>
      <c r="J14" s="3" t="s">
        <v>95</v>
      </c>
      <c r="Q14" s="119" t="s">
        <v>84</v>
      </c>
      <c r="R14" s="120" t="s">
        <v>143</v>
      </c>
      <c r="T14" s="3"/>
      <c r="U14" s="3" t="s">
        <v>186</v>
      </c>
      <c r="V14" s="3" t="s">
        <v>254</v>
      </c>
      <c r="W14" s="3" t="s">
        <v>91</v>
      </c>
      <c r="X14" s="3" t="s">
        <v>183</v>
      </c>
    </row>
    <row r="15" spans="1:25" x14ac:dyDescent="0.3">
      <c r="A15" s="12" t="s">
        <v>234</v>
      </c>
      <c r="B15" s="12" t="s">
        <v>237</v>
      </c>
      <c r="C15" s="3" t="s">
        <v>89</v>
      </c>
      <c r="D15" s="3" t="s">
        <v>95</v>
      </c>
      <c r="G15" s="12" t="s">
        <v>236</v>
      </c>
      <c r="H15" s="12" t="s">
        <v>234</v>
      </c>
      <c r="I15" s="3" t="s">
        <v>94</v>
      </c>
      <c r="J15" s="3" t="s">
        <v>89</v>
      </c>
      <c r="Q15" s="119" t="s">
        <v>88</v>
      </c>
      <c r="R15" s="120" t="s">
        <v>143</v>
      </c>
      <c r="T15" s="3"/>
      <c r="U15" s="3" t="s">
        <v>186</v>
      </c>
      <c r="V15" s="3" t="s">
        <v>194</v>
      </c>
      <c r="W15" s="3" t="s">
        <v>95</v>
      </c>
      <c r="X15" s="3" t="s">
        <v>204</v>
      </c>
    </row>
    <row r="16" spans="1:25" x14ac:dyDescent="0.3">
      <c r="A16" s="12" t="s">
        <v>236</v>
      </c>
      <c r="B16" s="12" t="s">
        <v>234</v>
      </c>
      <c r="C16" s="3" t="s">
        <v>94</v>
      </c>
      <c r="D16" s="3" t="s">
        <v>89</v>
      </c>
      <c r="G16" s="12" t="s">
        <v>236</v>
      </c>
      <c r="H16" s="12" t="s">
        <v>235</v>
      </c>
      <c r="I16" s="3" t="s">
        <v>94</v>
      </c>
      <c r="J16" s="3" t="s">
        <v>85</v>
      </c>
      <c r="Q16" s="119" t="s">
        <v>95</v>
      </c>
      <c r="R16" s="120" t="s">
        <v>143</v>
      </c>
    </row>
    <row r="17" spans="1:29" x14ac:dyDescent="0.3">
      <c r="A17" s="12" t="s">
        <v>236</v>
      </c>
      <c r="B17" s="12" t="s">
        <v>235</v>
      </c>
      <c r="C17" s="3" t="s">
        <v>94</v>
      </c>
      <c r="D17" s="3" t="s">
        <v>85</v>
      </c>
      <c r="G17" s="12" t="s">
        <v>236</v>
      </c>
      <c r="H17" s="12" t="s">
        <v>239</v>
      </c>
      <c r="I17" s="3" t="s">
        <v>94</v>
      </c>
      <c r="J17" s="3" t="s">
        <v>93</v>
      </c>
      <c r="Q17" s="119" t="s">
        <v>96</v>
      </c>
      <c r="R17" s="120" t="s">
        <v>143</v>
      </c>
    </row>
    <row r="18" spans="1:29" x14ac:dyDescent="0.3">
      <c r="A18" s="12" t="s">
        <v>236</v>
      </c>
      <c r="B18" s="12" t="s">
        <v>238</v>
      </c>
      <c r="C18" s="3" t="s">
        <v>94</v>
      </c>
      <c r="D18" s="3" t="s">
        <v>92</v>
      </c>
      <c r="G18" s="12" t="s">
        <v>236</v>
      </c>
      <c r="H18" s="12" t="s">
        <v>240</v>
      </c>
      <c r="I18" s="3" t="s">
        <v>94</v>
      </c>
      <c r="J18" s="3" t="s">
        <v>96</v>
      </c>
      <c r="Q18" s="119" t="s">
        <v>93</v>
      </c>
      <c r="R18" s="120" t="s">
        <v>143</v>
      </c>
    </row>
    <row r="19" spans="1:29" x14ac:dyDescent="0.3">
      <c r="A19" s="12" t="s">
        <v>236</v>
      </c>
      <c r="B19" s="12" t="s">
        <v>239</v>
      </c>
      <c r="C19" s="3" t="s">
        <v>94</v>
      </c>
      <c r="D19" s="3" t="s">
        <v>93</v>
      </c>
      <c r="G19" s="12" t="s">
        <v>235</v>
      </c>
      <c r="H19" s="12" t="s">
        <v>233</v>
      </c>
      <c r="I19" s="3" t="s">
        <v>85</v>
      </c>
      <c r="J19" s="3" t="s">
        <v>86</v>
      </c>
      <c r="Q19" s="119" t="s">
        <v>92</v>
      </c>
      <c r="R19" s="120" t="s">
        <v>143</v>
      </c>
      <c r="T19" s="1" t="s">
        <v>517</v>
      </c>
      <c r="U19" s="1"/>
      <c r="V19" s="1"/>
    </row>
    <row r="20" spans="1:29" x14ac:dyDescent="0.3">
      <c r="A20" s="12" t="s">
        <v>236</v>
      </c>
      <c r="B20" s="12" t="s">
        <v>240</v>
      </c>
      <c r="C20" s="3" t="s">
        <v>94</v>
      </c>
      <c r="D20" s="3" t="s">
        <v>96</v>
      </c>
      <c r="G20" s="12" t="s">
        <v>235</v>
      </c>
      <c r="H20" s="12" t="s">
        <v>241</v>
      </c>
      <c r="I20" s="3" t="s">
        <v>85</v>
      </c>
      <c r="J20" s="3" t="s">
        <v>84</v>
      </c>
      <c r="Q20" s="119" t="s">
        <v>91</v>
      </c>
      <c r="R20" s="120" t="s">
        <v>143</v>
      </c>
      <c r="T20" s="3"/>
      <c r="U20" s="3" t="s">
        <v>455</v>
      </c>
      <c r="V20" s="3" t="s">
        <v>88</v>
      </c>
      <c r="W20" s="3"/>
      <c r="X20" s="3" t="s">
        <v>260</v>
      </c>
      <c r="Y20" s="3" t="s">
        <v>206</v>
      </c>
      <c r="Z20" s="3" t="s">
        <v>259</v>
      </c>
      <c r="AA20" s="3" t="s">
        <v>183</v>
      </c>
      <c r="AB20" s="3" t="s">
        <v>262</v>
      </c>
      <c r="AC20" s="3" t="s">
        <v>267</v>
      </c>
    </row>
    <row r="21" spans="1:29" x14ac:dyDescent="0.3">
      <c r="A21" s="12" t="s">
        <v>236</v>
      </c>
      <c r="B21" s="12" t="s">
        <v>237</v>
      </c>
      <c r="C21" s="3" t="s">
        <v>94</v>
      </c>
      <c r="D21" s="3" t="s">
        <v>95</v>
      </c>
      <c r="G21" s="12" t="s">
        <v>235</v>
      </c>
      <c r="H21" s="12" t="s">
        <v>236</v>
      </c>
      <c r="I21" s="3" t="s">
        <v>85</v>
      </c>
      <c r="J21" s="3" t="s">
        <v>94</v>
      </c>
      <c r="Q21" s="119" t="s">
        <v>90</v>
      </c>
      <c r="R21" s="120" t="s">
        <v>144</v>
      </c>
      <c r="T21" s="3"/>
      <c r="U21" s="3" t="s">
        <v>455</v>
      </c>
      <c r="V21" s="3" t="s">
        <v>84</v>
      </c>
      <c r="W21" s="3"/>
      <c r="X21" s="3" t="s">
        <v>261</v>
      </c>
      <c r="Y21" s="3" t="s">
        <v>270</v>
      </c>
      <c r="Z21" s="3" t="s">
        <v>266</v>
      </c>
      <c r="AA21" s="3" t="s">
        <v>203</v>
      </c>
      <c r="AB21" s="3"/>
      <c r="AC21" s="3"/>
    </row>
    <row r="22" spans="1:29" x14ac:dyDescent="0.3">
      <c r="A22" s="12" t="s">
        <v>235</v>
      </c>
      <c r="B22" s="12" t="s">
        <v>233</v>
      </c>
      <c r="C22" s="3" t="s">
        <v>85</v>
      </c>
      <c r="D22" s="3" t="s">
        <v>86</v>
      </c>
      <c r="G22" s="12" t="s">
        <v>241</v>
      </c>
      <c r="H22" s="12" t="s">
        <v>235</v>
      </c>
      <c r="I22" s="3" t="s">
        <v>84</v>
      </c>
      <c r="J22" s="3" t="s">
        <v>85</v>
      </c>
      <c r="Q22" s="119" t="s">
        <v>87</v>
      </c>
      <c r="R22" s="120" t="s">
        <v>144</v>
      </c>
      <c r="T22" s="3"/>
      <c r="U22" s="3" t="s">
        <v>455</v>
      </c>
      <c r="V22" s="3" t="s">
        <v>91</v>
      </c>
      <c r="W22" s="3"/>
      <c r="X22" s="3" t="s">
        <v>263</v>
      </c>
      <c r="Y22" s="3" t="s">
        <v>268</v>
      </c>
      <c r="Z22" s="3"/>
      <c r="AA22" s="3"/>
      <c r="AB22" s="3"/>
      <c r="AC22" s="3"/>
    </row>
    <row r="23" spans="1:29" x14ac:dyDescent="0.3">
      <c r="A23" s="12" t="s">
        <v>235</v>
      </c>
      <c r="B23" s="12" t="s">
        <v>241</v>
      </c>
      <c r="C23" s="3" t="s">
        <v>85</v>
      </c>
      <c r="D23" s="3" t="s">
        <v>84</v>
      </c>
      <c r="G23" s="12" t="s">
        <v>241</v>
      </c>
      <c r="H23" s="12" t="s">
        <v>238</v>
      </c>
      <c r="I23" s="3" t="s">
        <v>84</v>
      </c>
      <c r="J23" s="3" t="s">
        <v>92</v>
      </c>
      <c r="Q23" s="119" t="s">
        <v>86</v>
      </c>
      <c r="R23" s="120" t="s">
        <v>144</v>
      </c>
      <c r="T23" s="3"/>
      <c r="U23" s="3" t="s">
        <v>455</v>
      </c>
      <c r="V23" s="3" t="s">
        <v>85</v>
      </c>
      <c r="W23" s="3"/>
      <c r="X23" s="3" t="s">
        <v>264</v>
      </c>
      <c r="Y23" s="3" t="s">
        <v>269</v>
      </c>
      <c r="Z23" s="3"/>
      <c r="AA23" s="3"/>
      <c r="AB23" s="3"/>
      <c r="AC23" s="3"/>
    </row>
    <row r="24" spans="1:29" x14ac:dyDescent="0.3">
      <c r="A24" s="12" t="s">
        <v>235</v>
      </c>
      <c r="B24" s="12" t="s">
        <v>238</v>
      </c>
      <c r="C24" s="3" t="s">
        <v>85</v>
      </c>
      <c r="D24" s="3" t="s">
        <v>92</v>
      </c>
      <c r="G24" s="12" t="s">
        <v>241</v>
      </c>
      <c r="H24" s="12" t="s">
        <v>242</v>
      </c>
      <c r="I24" s="3" t="s">
        <v>84</v>
      </c>
      <c r="J24" s="3" t="s">
        <v>88</v>
      </c>
      <c r="Q24" s="119" t="s">
        <v>89</v>
      </c>
      <c r="R24" s="120" t="s">
        <v>144</v>
      </c>
      <c r="T24" s="3"/>
      <c r="U24" s="3" t="s">
        <v>455</v>
      </c>
      <c r="V24" s="3" t="s">
        <v>89</v>
      </c>
      <c r="W24" s="3"/>
      <c r="X24" s="3" t="s">
        <v>265</v>
      </c>
      <c r="Y24" s="3" t="s">
        <v>204</v>
      </c>
      <c r="Z24" s="3"/>
      <c r="AA24" s="3"/>
      <c r="AB24" s="3"/>
      <c r="AC24" s="3"/>
    </row>
    <row r="25" spans="1:29" x14ac:dyDescent="0.3">
      <c r="A25" s="12" t="s">
        <v>235</v>
      </c>
      <c r="B25" s="12" t="s">
        <v>236</v>
      </c>
      <c r="C25" s="3" t="s">
        <v>85</v>
      </c>
      <c r="D25" s="3" t="s">
        <v>94</v>
      </c>
      <c r="G25" s="12" t="s">
        <v>242</v>
      </c>
      <c r="H25" s="12" t="s">
        <v>241</v>
      </c>
      <c r="I25" s="3" t="s">
        <v>88</v>
      </c>
      <c r="J25" s="3" t="s">
        <v>84</v>
      </c>
      <c r="Q25" s="119" t="s">
        <v>94</v>
      </c>
      <c r="R25" s="120" t="s">
        <v>144</v>
      </c>
    </row>
    <row r="26" spans="1:29" x14ac:dyDescent="0.3">
      <c r="A26" s="12" t="s">
        <v>235</v>
      </c>
      <c r="B26" s="12" t="s">
        <v>234</v>
      </c>
      <c r="C26" s="3" t="s">
        <v>85</v>
      </c>
      <c r="D26" s="3" t="s">
        <v>89</v>
      </c>
      <c r="G26" s="12" t="s">
        <v>242</v>
      </c>
      <c r="H26" s="12" t="s">
        <v>238</v>
      </c>
      <c r="I26" s="3" t="s">
        <v>88</v>
      </c>
      <c r="J26" s="3" t="s">
        <v>92</v>
      </c>
      <c r="Q26" s="119" t="s">
        <v>85</v>
      </c>
      <c r="R26" s="120" t="s">
        <v>144</v>
      </c>
    </row>
    <row r="27" spans="1:29" x14ac:dyDescent="0.3">
      <c r="A27" s="12" t="s">
        <v>241</v>
      </c>
      <c r="B27" s="12" t="s">
        <v>235</v>
      </c>
      <c r="C27" s="3" t="s">
        <v>84</v>
      </c>
      <c r="D27" s="3" t="s">
        <v>85</v>
      </c>
      <c r="G27" s="12" t="s">
        <v>242</v>
      </c>
      <c r="H27" s="12" t="s">
        <v>243</v>
      </c>
      <c r="I27" s="3" t="s">
        <v>88</v>
      </c>
      <c r="J27" s="3" t="s">
        <v>91</v>
      </c>
      <c r="Q27" s="119" t="s">
        <v>84</v>
      </c>
      <c r="R27" s="120" t="s">
        <v>144</v>
      </c>
    </row>
    <row r="28" spans="1:29" x14ac:dyDescent="0.3">
      <c r="A28" s="12" t="s">
        <v>241</v>
      </c>
      <c r="B28" s="12" t="s">
        <v>238</v>
      </c>
      <c r="C28" s="3" t="s">
        <v>84</v>
      </c>
      <c r="D28" s="3" t="s">
        <v>92</v>
      </c>
      <c r="G28" s="12" t="s">
        <v>237</v>
      </c>
      <c r="H28" s="12" t="s">
        <v>234</v>
      </c>
      <c r="I28" s="3" t="s">
        <v>95</v>
      </c>
      <c r="J28" s="3" t="s">
        <v>89</v>
      </c>
      <c r="Q28" s="119" t="s">
        <v>88</v>
      </c>
      <c r="R28" s="120" t="s">
        <v>144</v>
      </c>
    </row>
    <row r="29" spans="1:29" x14ac:dyDescent="0.3">
      <c r="A29" s="12" t="s">
        <v>241</v>
      </c>
      <c r="B29" s="12" t="s">
        <v>242</v>
      </c>
      <c r="C29" s="3" t="s">
        <v>84</v>
      </c>
      <c r="D29" s="3" t="s">
        <v>88</v>
      </c>
      <c r="G29" s="12" t="s">
        <v>240</v>
      </c>
      <c r="H29" s="12" t="s">
        <v>236</v>
      </c>
      <c r="I29" s="3" t="s">
        <v>96</v>
      </c>
      <c r="J29" s="3" t="s">
        <v>94</v>
      </c>
      <c r="Q29" s="119" t="s">
        <v>95</v>
      </c>
      <c r="R29" s="120" t="s">
        <v>144</v>
      </c>
    </row>
    <row r="30" spans="1:29" x14ac:dyDescent="0.3">
      <c r="A30" s="12" t="s">
        <v>242</v>
      </c>
      <c r="B30" s="12" t="s">
        <v>241</v>
      </c>
      <c r="C30" s="3" t="s">
        <v>88</v>
      </c>
      <c r="D30" s="3" t="s">
        <v>84</v>
      </c>
      <c r="G30" s="12" t="s">
        <v>239</v>
      </c>
      <c r="H30" s="12" t="s">
        <v>236</v>
      </c>
      <c r="I30" s="3" t="s">
        <v>93</v>
      </c>
      <c r="J30" s="3" t="s">
        <v>94</v>
      </c>
      <c r="Q30" s="119" t="s">
        <v>96</v>
      </c>
      <c r="R30" s="120" t="s">
        <v>144</v>
      </c>
    </row>
    <row r="31" spans="1:29" x14ac:dyDescent="0.3">
      <c r="A31" s="12" t="s">
        <v>242</v>
      </c>
      <c r="B31" s="12" t="s">
        <v>238</v>
      </c>
      <c r="C31" s="3" t="s">
        <v>88</v>
      </c>
      <c r="D31" s="3" t="s">
        <v>92</v>
      </c>
      <c r="G31" s="12" t="s">
        <v>239</v>
      </c>
      <c r="H31" s="12" t="s">
        <v>238</v>
      </c>
      <c r="I31" s="3" t="s">
        <v>93</v>
      </c>
      <c r="J31" s="3" t="s">
        <v>92</v>
      </c>
      <c r="Q31" s="119" t="s">
        <v>93</v>
      </c>
      <c r="R31" s="120" t="s">
        <v>144</v>
      </c>
    </row>
    <row r="32" spans="1:29" x14ac:dyDescent="0.3">
      <c r="A32" s="12" t="s">
        <v>242</v>
      </c>
      <c r="B32" s="12" t="s">
        <v>243</v>
      </c>
      <c r="C32" s="3" t="s">
        <v>88</v>
      </c>
      <c r="D32" s="3" t="s">
        <v>91</v>
      </c>
      <c r="G32" s="12" t="s">
        <v>238</v>
      </c>
      <c r="H32" s="12" t="s">
        <v>239</v>
      </c>
      <c r="I32" s="3" t="s">
        <v>92</v>
      </c>
      <c r="J32" s="3" t="s">
        <v>93</v>
      </c>
      <c r="Q32" s="119" t="s">
        <v>92</v>
      </c>
      <c r="R32" s="120" t="s">
        <v>144</v>
      </c>
    </row>
    <row r="33" spans="1:18" x14ac:dyDescent="0.3">
      <c r="A33" s="12" t="s">
        <v>237</v>
      </c>
      <c r="B33" s="12" t="s">
        <v>234</v>
      </c>
      <c r="C33" s="3" t="s">
        <v>95</v>
      </c>
      <c r="D33" s="3" t="s">
        <v>89</v>
      </c>
      <c r="G33" s="12" t="s">
        <v>238</v>
      </c>
      <c r="H33" s="12" t="s">
        <v>241</v>
      </c>
      <c r="I33" s="3" t="s">
        <v>92</v>
      </c>
      <c r="J33" s="3" t="s">
        <v>84</v>
      </c>
      <c r="Q33" s="119" t="s">
        <v>91</v>
      </c>
      <c r="R33" s="120" t="s">
        <v>144</v>
      </c>
    </row>
    <row r="34" spans="1:18" x14ac:dyDescent="0.3">
      <c r="A34" s="12" t="s">
        <v>237</v>
      </c>
      <c r="B34" s="12" t="s">
        <v>236</v>
      </c>
      <c r="C34" s="3" t="s">
        <v>95</v>
      </c>
      <c r="D34" s="3" t="s">
        <v>94</v>
      </c>
      <c r="G34" s="12" t="s">
        <v>238</v>
      </c>
      <c r="H34" s="12" t="s">
        <v>242</v>
      </c>
      <c r="I34" s="3" t="s">
        <v>92</v>
      </c>
      <c r="J34" s="3" t="s">
        <v>88</v>
      </c>
      <c r="Q34" s="119" t="s">
        <v>90</v>
      </c>
      <c r="R34" s="120" t="s">
        <v>130</v>
      </c>
    </row>
    <row r="35" spans="1:18" x14ac:dyDescent="0.3">
      <c r="A35" s="12" t="s">
        <v>237</v>
      </c>
      <c r="B35" s="12" t="s">
        <v>240</v>
      </c>
      <c r="C35" s="3" t="s">
        <v>95</v>
      </c>
      <c r="D35" s="3" t="s">
        <v>96</v>
      </c>
      <c r="G35" s="12" t="s">
        <v>243</v>
      </c>
      <c r="H35" s="12" t="s">
        <v>242</v>
      </c>
      <c r="I35" s="3" t="s">
        <v>91</v>
      </c>
      <c r="J35" s="3" t="s">
        <v>88</v>
      </c>
      <c r="Q35" s="119" t="s">
        <v>87</v>
      </c>
      <c r="R35" s="120" t="s">
        <v>130</v>
      </c>
    </row>
    <row r="36" spans="1:18" x14ac:dyDescent="0.3">
      <c r="A36" s="12" t="s">
        <v>240</v>
      </c>
      <c r="B36" s="12" t="s">
        <v>237</v>
      </c>
      <c r="C36" s="3" t="s">
        <v>96</v>
      </c>
      <c r="D36" s="3" t="s">
        <v>95</v>
      </c>
      <c r="Q36" s="119" t="s">
        <v>86</v>
      </c>
      <c r="R36" s="120" t="s">
        <v>130</v>
      </c>
    </row>
    <row r="37" spans="1:18" x14ac:dyDescent="0.3">
      <c r="A37" s="12" t="s">
        <v>240</v>
      </c>
      <c r="B37" s="12" t="s">
        <v>236</v>
      </c>
      <c r="C37" s="3" t="s">
        <v>96</v>
      </c>
      <c r="D37" s="3" t="s">
        <v>94</v>
      </c>
      <c r="Q37" s="119" t="s">
        <v>89</v>
      </c>
      <c r="R37" s="120" t="s">
        <v>130</v>
      </c>
    </row>
    <row r="38" spans="1:18" x14ac:dyDescent="0.3">
      <c r="A38" s="12" t="s">
        <v>240</v>
      </c>
      <c r="B38" s="12" t="s">
        <v>239</v>
      </c>
      <c r="C38" s="3" t="s">
        <v>96</v>
      </c>
      <c r="D38" s="3" t="s">
        <v>93</v>
      </c>
      <c r="Q38" s="119" t="s">
        <v>94</v>
      </c>
      <c r="R38" s="120" t="s">
        <v>130</v>
      </c>
    </row>
    <row r="39" spans="1:18" x14ac:dyDescent="0.3">
      <c r="A39" s="12" t="s">
        <v>239</v>
      </c>
      <c r="B39" s="12" t="s">
        <v>240</v>
      </c>
      <c r="C39" s="3" t="s">
        <v>93</v>
      </c>
      <c r="D39" s="3" t="s">
        <v>96</v>
      </c>
      <c r="Q39" s="119" t="s">
        <v>85</v>
      </c>
      <c r="R39" s="120" t="s">
        <v>130</v>
      </c>
    </row>
    <row r="40" spans="1:18" x14ac:dyDescent="0.3">
      <c r="A40" s="12" t="s">
        <v>239</v>
      </c>
      <c r="B40" s="12" t="s">
        <v>236</v>
      </c>
      <c r="C40" s="3" t="s">
        <v>93</v>
      </c>
      <c r="D40" s="3" t="s">
        <v>94</v>
      </c>
      <c r="Q40" s="119" t="s">
        <v>84</v>
      </c>
      <c r="R40" s="120" t="s">
        <v>130</v>
      </c>
    </row>
    <row r="41" spans="1:18" x14ac:dyDescent="0.3">
      <c r="A41" s="12" t="s">
        <v>239</v>
      </c>
      <c r="B41" s="12" t="s">
        <v>238</v>
      </c>
      <c r="C41" s="3" t="s">
        <v>93</v>
      </c>
      <c r="D41" s="3" t="s">
        <v>92</v>
      </c>
      <c r="Q41" s="119" t="s">
        <v>88</v>
      </c>
      <c r="R41" s="120" t="s">
        <v>130</v>
      </c>
    </row>
    <row r="42" spans="1:18" x14ac:dyDescent="0.3">
      <c r="A42" s="12" t="s">
        <v>238</v>
      </c>
      <c r="B42" s="12" t="s">
        <v>239</v>
      </c>
      <c r="C42" s="3" t="s">
        <v>92</v>
      </c>
      <c r="D42" s="3" t="s">
        <v>93</v>
      </c>
      <c r="Q42" s="119" t="s">
        <v>95</v>
      </c>
      <c r="R42" s="120" t="s">
        <v>130</v>
      </c>
    </row>
    <row r="43" spans="1:18" x14ac:dyDescent="0.3">
      <c r="A43" s="12" t="s">
        <v>238</v>
      </c>
      <c r="B43" s="12" t="s">
        <v>236</v>
      </c>
      <c r="C43" s="3" t="s">
        <v>92</v>
      </c>
      <c r="D43" s="3" t="s">
        <v>94</v>
      </c>
      <c r="Q43" s="119" t="s">
        <v>96</v>
      </c>
      <c r="R43" s="120" t="s">
        <v>130</v>
      </c>
    </row>
    <row r="44" spans="1:18" x14ac:dyDescent="0.3">
      <c r="A44" s="12" t="s">
        <v>238</v>
      </c>
      <c r="B44" s="12" t="s">
        <v>235</v>
      </c>
      <c r="C44" s="3" t="s">
        <v>92</v>
      </c>
      <c r="D44" s="3" t="s">
        <v>85</v>
      </c>
      <c r="Q44" s="119" t="s">
        <v>93</v>
      </c>
      <c r="R44" s="120" t="s">
        <v>130</v>
      </c>
    </row>
    <row r="45" spans="1:18" x14ac:dyDescent="0.3">
      <c r="A45" s="12" t="s">
        <v>238</v>
      </c>
      <c r="B45" s="12" t="s">
        <v>241</v>
      </c>
      <c r="C45" s="3" t="s">
        <v>92</v>
      </c>
      <c r="D45" s="3" t="s">
        <v>84</v>
      </c>
      <c r="Q45" s="119" t="s">
        <v>92</v>
      </c>
      <c r="R45" s="120" t="s">
        <v>130</v>
      </c>
    </row>
    <row r="46" spans="1:18" x14ac:dyDescent="0.3">
      <c r="A46" s="12" t="s">
        <v>238</v>
      </c>
      <c r="B46" s="12" t="s">
        <v>242</v>
      </c>
      <c r="C46" s="3" t="s">
        <v>92</v>
      </c>
      <c r="D46" s="3" t="s">
        <v>88</v>
      </c>
      <c r="Q46" s="119" t="s">
        <v>91</v>
      </c>
      <c r="R46" s="120" t="s">
        <v>130</v>
      </c>
    </row>
    <row r="47" spans="1:18" x14ac:dyDescent="0.3">
      <c r="A47" s="12" t="s">
        <v>238</v>
      </c>
      <c r="B47" s="12" t="s">
        <v>243</v>
      </c>
      <c r="C47" s="3" t="s">
        <v>92</v>
      </c>
      <c r="D47" s="3" t="s">
        <v>91</v>
      </c>
      <c r="Q47" s="119" t="s">
        <v>90</v>
      </c>
      <c r="R47" s="120" t="s">
        <v>131</v>
      </c>
    </row>
    <row r="48" spans="1:18" x14ac:dyDescent="0.3">
      <c r="A48" s="12" t="s">
        <v>243</v>
      </c>
      <c r="B48" s="12" t="s">
        <v>238</v>
      </c>
      <c r="C48" s="3" t="s">
        <v>91</v>
      </c>
      <c r="D48" s="3" t="s">
        <v>92</v>
      </c>
      <c r="Q48" s="119" t="s">
        <v>87</v>
      </c>
      <c r="R48" s="120" t="s">
        <v>131</v>
      </c>
    </row>
    <row r="49" spans="1:18" x14ac:dyDescent="0.3">
      <c r="A49" s="12" t="s">
        <v>243</v>
      </c>
      <c r="B49" s="12" t="s">
        <v>242</v>
      </c>
      <c r="C49" s="3" t="s">
        <v>91</v>
      </c>
      <c r="D49" s="3" t="s">
        <v>88</v>
      </c>
      <c r="Q49" s="119" t="s">
        <v>86</v>
      </c>
      <c r="R49" s="120" t="s">
        <v>131</v>
      </c>
    </row>
    <row r="50" spans="1:18" x14ac:dyDescent="0.3">
      <c r="Q50" s="119" t="s">
        <v>89</v>
      </c>
      <c r="R50" s="120" t="s">
        <v>131</v>
      </c>
    </row>
    <row r="51" spans="1:18" x14ac:dyDescent="0.3">
      <c r="Q51" s="119" t="s">
        <v>94</v>
      </c>
      <c r="R51" s="120" t="s">
        <v>131</v>
      </c>
    </row>
    <row r="52" spans="1:18" x14ac:dyDescent="0.3">
      <c r="Q52" s="119" t="s">
        <v>85</v>
      </c>
      <c r="R52" s="120" t="s">
        <v>131</v>
      </c>
    </row>
    <row r="53" spans="1:18" x14ac:dyDescent="0.3">
      <c r="Q53" s="119" t="s">
        <v>84</v>
      </c>
      <c r="R53" s="120" t="s">
        <v>131</v>
      </c>
    </row>
    <row r="54" spans="1:18" x14ac:dyDescent="0.3">
      <c r="Q54" s="119" t="s">
        <v>88</v>
      </c>
      <c r="R54" s="120" t="s">
        <v>131</v>
      </c>
    </row>
    <row r="55" spans="1:18" x14ac:dyDescent="0.3">
      <c r="Q55" s="119" t="s">
        <v>95</v>
      </c>
      <c r="R55" s="120" t="s">
        <v>131</v>
      </c>
    </row>
    <row r="56" spans="1:18" x14ac:dyDescent="0.3">
      <c r="Q56" s="119" t="s">
        <v>96</v>
      </c>
      <c r="R56" s="120" t="s">
        <v>131</v>
      </c>
    </row>
    <row r="57" spans="1:18" x14ac:dyDescent="0.3">
      <c r="Q57" s="119" t="s">
        <v>93</v>
      </c>
      <c r="R57" s="120" t="s">
        <v>131</v>
      </c>
    </row>
    <row r="58" spans="1:18" x14ac:dyDescent="0.3">
      <c r="Q58" s="119" t="s">
        <v>92</v>
      </c>
      <c r="R58" s="120" t="s">
        <v>131</v>
      </c>
    </row>
    <row r="59" spans="1:18" x14ac:dyDescent="0.3">
      <c r="Q59" s="119" t="s">
        <v>91</v>
      </c>
      <c r="R59" s="120" t="s">
        <v>131</v>
      </c>
    </row>
    <row r="60" spans="1:18" x14ac:dyDescent="0.3">
      <c r="Q60" s="119" t="s">
        <v>90</v>
      </c>
      <c r="R60" s="120" t="s">
        <v>213</v>
      </c>
    </row>
    <row r="61" spans="1:18" x14ac:dyDescent="0.3">
      <c r="Q61" s="119" t="s">
        <v>87</v>
      </c>
      <c r="R61" s="120" t="s">
        <v>213</v>
      </c>
    </row>
    <row r="62" spans="1:18" x14ac:dyDescent="0.3">
      <c r="Q62" s="119" t="s">
        <v>86</v>
      </c>
      <c r="R62" s="120" t="s">
        <v>213</v>
      </c>
    </row>
    <row r="63" spans="1:18" x14ac:dyDescent="0.3">
      <c r="Q63" s="119" t="s">
        <v>89</v>
      </c>
      <c r="R63" s="120" t="s">
        <v>213</v>
      </c>
    </row>
    <row r="64" spans="1:18" x14ac:dyDescent="0.3">
      <c r="Q64" s="119" t="s">
        <v>94</v>
      </c>
      <c r="R64" s="120" t="s">
        <v>213</v>
      </c>
    </row>
    <row r="65" spans="17:18" x14ac:dyDescent="0.3">
      <c r="Q65" s="119" t="s">
        <v>85</v>
      </c>
      <c r="R65" s="120" t="s">
        <v>213</v>
      </c>
    </row>
    <row r="66" spans="17:18" x14ac:dyDescent="0.3">
      <c r="Q66" s="119" t="s">
        <v>84</v>
      </c>
      <c r="R66" s="120" t="s">
        <v>213</v>
      </c>
    </row>
    <row r="67" spans="17:18" x14ac:dyDescent="0.3">
      <c r="Q67" s="119" t="s">
        <v>88</v>
      </c>
      <c r="R67" s="120" t="s">
        <v>213</v>
      </c>
    </row>
    <row r="68" spans="17:18" x14ac:dyDescent="0.3">
      <c r="Q68" s="119" t="s">
        <v>95</v>
      </c>
      <c r="R68" s="120" t="s">
        <v>213</v>
      </c>
    </row>
    <row r="69" spans="17:18" x14ac:dyDescent="0.3">
      <c r="Q69" s="119" t="s">
        <v>96</v>
      </c>
      <c r="R69" s="120" t="s">
        <v>213</v>
      </c>
    </row>
    <row r="70" spans="17:18" x14ac:dyDescent="0.3">
      <c r="Q70" s="119" t="s">
        <v>93</v>
      </c>
      <c r="R70" s="120" t="s">
        <v>213</v>
      </c>
    </row>
    <row r="71" spans="17:18" x14ac:dyDescent="0.3">
      <c r="Q71" s="119" t="s">
        <v>92</v>
      </c>
      <c r="R71" s="120" t="s">
        <v>213</v>
      </c>
    </row>
    <row r="72" spans="17:18" x14ac:dyDescent="0.3">
      <c r="Q72" s="119" t="s">
        <v>91</v>
      </c>
      <c r="R72" s="120" t="s">
        <v>213</v>
      </c>
    </row>
    <row r="73" spans="17:18" x14ac:dyDescent="0.3">
      <c r="Q73" s="119" t="s">
        <v>90</v>
      </c>
      <c r="R73" s="120" t="s">
        <v>133</v>
      </c>
    </row>
    <row r="74" spans="17:18" x14ac:dyDescent="0.3">
      <c r="Q74" s="119" t="s">
        <v>87</v>
      </c>
      <c r="R74" s="120" t="s">
        <v>133</v>
      </c>
    </row>
    <row r="75" spans="17:18" x14ac:dyDescent="0.3">
      <c r="Q75" s="119" t="s">
        <v>86</v>
      </c>
      <c r="R75" s="120" t="s">
        <v>133</v>
      </c>
    </row>
    <row r="76" spans="17:18" x14ac:dyDescent="0.3">
      <c r="Q76" s="119" t="s">
        <v>89</v>
      </c>
      <c r="R76" s="120" t="s">
        <v>133</v>
      </c>
    </row>
    <row r="77" spans="17:18" x14ac:dyDescent="0.3">
      <c r="Q77" s="119" t="s">
        <v>94</v>
      </c>
      <c r="R77" s="120" t="s">
        <v>133</v>
      </c>
    </row>
    <row r="78" spans="17:18" x14ac:dyDescent="0.3">
      <c r="Q78" s="119" t="s">
        <v>85</v>
      </c>
      <c r="R78" s="120" t="s">
        <v>133</v>
      </c>
    </row>
    <row r="79" spans="17:18" x14ac:dyDescent="0.3">
      <c r="Q79" s="119" t="s">
        <v>84</v>
      </c>
      <c r="R79" s="120" t="s">
        <v>133</v>
      </c>
    </row>
    <row r="80" spans="17:18" x14ac:dyDescent="0.3">
      <c r="Q80" s="119" t="s">
        <v>88</v>
      </c>
      <c r="R80" s="120" t="s">
        <v>133</v>
      </c>
    </row>
    <row r="81" spans="17:18" x14ac:dyDescent="0.3">
      <c r="Q81" s="119" t="s">
        <v>95</v>
      </c>
      <c r="R81" s="120" t="s">
        <v>133</v>
      </c>
    </row>
    <row r="82" spans="17:18" x14ac:dyDescent="0.3">
      <c r="Q82" s="119" t="s">
        <v>96</v>
      </c>
      <c r="R82" s="120" t="s">
        <v>133</v>
      </c>
    </row>
    <row r="83" spans="17:18" x14ac:dyDescent="0.3">
      <c r="Q83" s="119" t="s">
        <v>93</v>
      </c>
      <c r="R83" s="120" t="s">
        <v>133</v>
      </c>
    </row>
    <row r="84" spans="17:18" x14ac:dyDescent="0.3">
      <c r="Q84" s="119" t="s">
        <v>92</v>
      </c>
      <c r="R84" s="120" t="s">
        <v>133</v>
      </c>
    </row>
    <row r="85" spans="17:18" x14ac:dyDescent="0.3">
      <c r="Q85" s="119" t="s">
        <v>91</v>
      </c>
      <c r="R85" s="120" t="s">
        <v>133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7EACA-DB64-42B7-9E34-B85200FFA305}">
  <dimension ref="A1:N5"/>
  <sheetViews>
    <sheetView workbookViewId="0">
      <selection activeCell="B2" sqref="B2:N5"/>
    </sheetView>
  </sheetViews>
  <sheetFormatPr defaultRowHeight="14.4" x14ac:dyDescent="0.3"/>
  <cols>
    <col min="1" max="1" width="12.109375" customWidth="1"/>
  </cols>
  <sheetData>
    <row r="1" spans="1:14" x14ac:dyDescent="0.3">
      <c r="A1" s="1" t="s">
        <v>552</v>
      </c>
    </row>
    <row r="2" spans="1:14" x14ac:dyDescent="0.3">
      <c r="A2" s="29" t="s">
        <v>555</v>
      </c>
      <c r="B2" s="75" t="s">
        <v>84</v>
      </c>
      <c r="C2" s="75" t="s">
        <v>85</v>
      </c>
      <c r="D2" s="75" t="s">
        <v>86</v>
      </c>
      <c r="E2" s="75" t="s">
        <v>87</v>
      </c>
      <c r="F2" s="75" t="s">
        <v>88</v>
      </c>
      <c r="G2" s="75" t="s">
        <v>89</v>
      </c>
      <c r="H2" s="75" t="s">
        <v>90</v>
      </c>
      <c r="I2" s="75" t="s">
        <v>91</v>
      </c>
      <c r="J2" s="75" t="s">
        <v>92</v>
      </c>
      <c r="K2" s="75" t="s">
        <v>93</v>
      </c>
      <c r="L2" s="75" t="s">
        <v>94</v>
      </c>
      <c r="M2" s="75" t="s">
        <v>95</v>
      </c>
      <c r="N2" s="75" t="s">
        <v>96</v>
      </c>
    </row>
    <row r="3" spans="1:14" x14ac:dyDescent="0.3">
      <c r="A3" s="75" t="s">
        <v>97</v>
      </c>
      <c r="B3" s="3">
        <v>10948</v>
      </c>
      <c r="C3" s="3">
        <v>229857</v>
      </c>
      <c r="D3" s="3">
        <v>14195</v>
      </c>
      <c r="E3" s="3">
        <v>163302</v>
      </c>
      <c r="F3" s="3">
        <v>76262</v>
      </c>
      <c r="G3" s="3">
        <v>106080</v>
      </c>
      <c r="H3" s="3">
        <v>352920</v>
      </c>
      <c r="I3" s="3">
        <v>108341</v>
      </c>
      <c r="J3" s="3">
        <v>27642</v>
      </c>
      <c r="K3" s="3">
        <v>56695</v>
      </c>
      <c r="L3" s="3">
        <v>121516</v>
      </c>
      <c r="M3" s="3">
        <v>106080</v>
      </c>
      <c r="N3" s="3">
        <v>49606</v>
      </c>
    </row>
    <row r="4" spans="1:14" x14ac:dyDescent="0.3">
      <c r="A4" s="75" t="s">
        <v>98</v>
      </c>
      <c r="B4" s="3">
        <v>3701.8</v>
      </c>
      <c r="C4" s="3">
        <v>2871.8</v>
      </c>
      <c r="D4" s="3">
        <v>1477.4</v>
      </c>
      <c r="E4" s="3">
        <v>2158</v>
      </c>
      <c r="F4" s="3">
        <v>506.30000000000007</v>
      </c>
      <c r="G4" s="3">
        <v>2494.15</v>
      </c>
      <c r="H4" s="3">
        <v>6548.7000000000007</v>
      </c>
      <c r="I4" s="3">
        <v>1249.1500000000001</v>
      </c>
      <c r="J4" s="3">
        <v>1940.1250000000002</v>
      </c>
      <c r="K4" s="3">
        <v>4965.4750000000004</v>
      </c>
      <c r="L4" s="3">
        <v>2332.3000000000002</v>
      </c>
      <c r="M4" s="3">
        <v>2494.15</v>
      </c>
      <c r="N4" s="3">
        <v>2560.5500000000002</v>
      </c>
    </row>
    <row r="5" spans="1:14" x14ac:dyDescent="0.3">
      <c r="A5" s="75" t="s">
        <v>99</v>
      </c>
      <c r="B5" s="3">
        <v>6105</v>
      </c>
      <c r="C5" s="3">
        <v>10147.5</v>
      </c>
      <c r="D5" s="3">
        <v>4592.5</v>
      </c>
      <c r="E5" s="3">
        <v>12815</v>
      </c>
      <c r="F5" s="3">
        <v>0</v>
      </c>
      <c r="G5" s="3">
        <v>4372.5</v>
      </c>
      <c r="H5" s="3">
        <v>21213.5</v>
      </c>
      <c r="I5" s="3">
        <v>5596.25</v>
      </c>
      <c r="J5" s="3">
        <v>3422.375</v>
      </c>
      <c r="K5" s="3">
        <v>10096.625</v>
      </c>
      <c r="L5" s="3">
        <v>0</v>
      </c>
      <c r="M5" s="3">
        <v>4372.5</v>
      </c>
      <c r="N5" s="3">
        <v>2483.25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6641-9193-481D-B8AF-A58A2440EEBC}">
  <sheetPr>
    <tabColor rgb="FFD4F4E4"/>
  </sheetPr>
  <dimension ref="A1:O29"/>
  <sheetViews>
    <sheetView zoomScale="95" zoomScaleNormal="95" workbookViewId="0">
      <selection activeCell="E17" sqref="E17"/>
    </sheetView>
  </sheetViews>
  <sheetFormatPr defaultRowHeight="14.4" x14ac:dyDescent="0.3"/>
  <cols>
    <col min="1" max="1" width="11.109375" customWidth="1"/>
    <col min="2" max="2" width="12" bestFit="1" customWidth="1"/>
  </cols>
  <sheetData>
    <row r="1" spans="1:14" x14ac:dyDescent="0.3">
      <c r="A1" s="82" t="s">
        <v>569</v>
      </c>
      <c r="B1" s="81"/>
    </row>
    <row r="2" spans="1:14" x14ac:dyDescent="0.3">
      <c r="A2" s="82" t="s">
        <v>570</v>
      </c>
      <c r="B2" s="3" t="s">
        <v>84</v>
      </c>
      <c r="C2" s="3" t="s">
        <v>85</v>
      </c>
      <c r="D2" s="3" t="s">
        <v>86</v>
      </c>
      <c r="E2" s="3" t="s">
        <v>87</v>
      </c>
      <c r="F2" s="3" t="s">
        <v>88</v>
      </c>
      <c r="G2" s="3" t="s">
        <v>89</v>
      </c>
      <c r="H2" s="3" t="s">
        <v>90</v>
      </c>
      <c r="I2" s="3" t="s">
        <v>91</v>
      </c>
      <c r="J2" s="3" t="s">
        <v>92</v>
      </c>
      <c r="K2" s="3" t="s">
        <v>93</v>
      </c>
      <c r="L2" s="3" t="s">
        <v>94</v>
      </c>
      <c r="M2" s="3" t="s">
        <v>95</v>
      </c>
      <c r="N2" s="3" t="s">
        <v>96</v>
      </c>
    </row>
    <row r="3" spans="1:14" x14ac:dyDescent="0.3">
      <c r="A3" s="3" t="s">
        <v>583</v>
      </c>
      <c r="B3" s="3">
        <v>6</v>
      </c>
      <c r="C3" s="3">
        <v>13</v>
      </c>
      <c r="D3" s="3">
        <v>7</v>
      </c>
      <c r="E3" s="3">
        <v>1</v>
      </c>
      <c r="F3" s="3">
        <v>4</v>
      </c>
      <c r="G3" s="3">
        <v>7</v>
      </c>
      <c r="H3" s="3">
        <v>3</v>
      </c>
      <c r="I3" s="3">
        <v>8</v>
      </c>
      <c r="J3" s="3">
        <v>5</v>
      </c>
      <c r="K3" s="3">
        <v>5</v>
      </c>
      <c r="L3" s="3">
        <v>0</v>
      </c>
      <c r="M3" s="3">
        <v>0</v>
      </c>
      <c r="N3" s="3">
        <v>7</v>
      </c>
    </row>
    <row r="4" spans="1:14" x14ac:dyDescent="0.3">
      <c r="A4" s="3" t="s">
        <v>207</v>
      </c>
      <c r="B4" s="3">
        <v>2</v>
      </c>
      <c r="C4" s="3">
        <v>0</v>
      </c>
      <c r="D4" s="3">
        <v>0</v>
      </c>
      <c r="E4" s="3">
        <v>2</v>
      </c>
      <c r="F4" s="3">
        <v>0</v>
      </c>
      <c r="G4" s="3">
        <v>4</v>
      </c>
      <c r="H4" s="3">
        <v>2</v>
      </c>
      <c r="I4" s="3">
        <v>0</v>
      </c>
      <c r="J4" s="3">
        <v>0</v>
      </c>
      <c r="K4" s="3">
        <v>2</v>
      </c>
      <c r="L4" s="3">
        <v>0</v>
      </c>
      <c r="M4" s="3">
        <v>0</v>
      </c>
      <c r="N4" s="3">
        <v>0</v>
      </c>
    </row>
    <row r="5" spans="1:14" x14ac:dyDescent="0.3">
      <c r="A5" s="91" t="s">
        <v>208</v>
      </c>
      <c r="B5" s="3">
        <v>0</v>
      </c>
      <c r="C5" s="3">
        <v>2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 x14ac:dyDescent="0.3">
      <c r="A6" s="91" t="s">
        <v>291</v>
      </c>
      <c r="B6" s="3">
        <v>0</v>
      </c>
      <c r="C6" s="3">
        <v>0</v>
      </c>
      <c r="D6" s="3">
        <v>5</v>
      </c>
      <c r="E6" s="3">
        <v>1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</row>
    <row r="9" spans="1:14" x14ac:dyDescent="0.3">
      <c r="A9" s="82" t="s">
        <v>767</v>
      </c>
      <c r="B9" s="81"/>
    </row>
    <row r="10" spans="1:14" x14ac:dyDescent="0.3">
      <c r="A10" s="82" t="s">
        <v>572</v>
      </c>
      <c r="B10" s="3" t="s">
        <v>84</v>
      </c>
      <c r="C10" s="3" t="s">
        <v>85</v>
      </c>
      <c r="D10" s="3" t="s">
        <v>86</v>
      </c>
      <c r="E10" s="3" t="s">
        <v>87</v>
      </c>
      <c r="F10" s="3" t="s">
        <v>88</v>
      </c>
      <c r="G10" s="3" t="s">
        <v>89</v>
      </c>
      <c r="H10" s="3" t="s">
        <v>90</v>
      </c>
      <c r="I10" s="3" t="s">
        <v>91</v>
      </c>
      <c r="J10" s="3" t="s">
        <v>92</v>
      </c>
      <c r="K10" s="3" t="s">
        <v>93</v>
      </c>
      <c r="L10" s="3" t="s">
        <v>94</v>
      </c>
      <c r="M10" s="3" t="s">
        <v>95</v>
      </c>
      <c r="N10" s="3" t="s">
        <v>96</v>
      </c>
    </row>
    <row r="11" spans="1:14" x14ac:dyDescent="0.3">
      <c r="A11" s="3" t="s">
        <v>98</v>
      </c>
      <c r="B11" s="90">
        <v>608.62757854167728</v>
      </c>
      <c r="C11" s="90">
        <v>874.30316913558192</v>
      </c>
      <c r="D11" s="90">
        <v>340.05317562119933</v>
      </c>
      <c r="E11" s="90">
        <v>828.08742782101092</v>
      </c>
      <c r="F11" s="90">
        <v>30.59098134600729</v>
      </c>
      <c r="G11" s="90">
        <v>318.19839207550797</v>
      </c>
      <c r="H11" s="90">
        <v>9852.3126125339404</v>
      </c>
      <c r="I11" s="90">
        <v>113.5668438271757</v>
      </c>
      <c r="J11" s="90">
        <v>2.4850512872467334</v>
      </c>
      <c r="K11" s="90">
        <v>349.57340710264162</v>
      </c>
      <c r="L11" s="90">
        <v>20.501673119785551</v>
      </c>
      <c r="M11" s="90">
        <v>454.28725571900088</v>
      </c>
      <c r="N11" s="90">
        <v>863.41243186922316</v>
      </c>
    </row>
    <row r="12" spans="1:14" x14ac:dyDescent="0.3">
      <c r="A12" s="3" t="s">
        <v>99</v>
      </c>
      <c r="B12" s="90">
        <v>2921.8</v>
      </c>
      <c r="C12" s="90">
        <v>926.4</v>
      </c>
      <c r="D12" s="90">
        <v>2504</v>
      </c>
      <c r="E12" s="90">
        <v>103.6</v>
      </c>
      <c r="F12" s="90">
        <v>0</v>
      </c>
      <c r="G12" s="90">
        <v>2003</v>
      </c>
      <c r="H12" s="90">
        <v>1838.8</v>
      </c>
      <c r="I12" s="90">
        <v>1656.7</v>
      </c>
      <c r="J12" s="90">
        <v>0</v>
      </c>
      <c r="K12" s="90">
        <v>0</v>
      </c>
      <c r="L12" s="90">
        <v>0</v>
      </c>
      <c r="M12" s="90">
        <v>726</v>
      </c>
      <c r="N12" s="90">
        <v>0</v>
      </c>
    </row>
    <row r="13" spans="1:14" x14ac:dyDescent="0.3">
      <c r="A13" s="3" t="s">
        <v>97</v>
      </c>
      <c r="B13" s="90">
        <v>2454.3721075316766</v>
      </c>
      <c r="C13" s="90">
        <v>1999.1817325528116</v>
      </c>
      <c r="D13" s="90">
        <v>125.00087722952296</v>
      </c>
      <c r="E13" s="90">
        <v>259.29523037076422</v>
      </c>
      <c r="F13" s="90">
        <v>125.52754206658615</v>
      </c>
      <c r="G13" s="90">
        <v>247.39433182309372</v>
      </c>
      <c r="H13" s="90">
        <v>119.18166247246407</v>
      </c>
      <c r="I13" s="90">
        <v>818.47859927518323</v>
      </c>
      <c r="J13" s="90">
        <v>2210.6592492581531</v>
      </c>
      <c r="K13" s="90">
        <v>3704.1926619015289</v>
      </c>
      <c r="L13" s="90">
        <v>553.96161655268406</v>
      </c>
      <c r="M13" s="90">
        <v>419.02145144730622</v>
      </c>
      <c r="N13" s="90">
        <v>1057.7329375182246</v>
      </c>
    </row>
    <row r="14" spans="1:14" x14ac:dyDescent="0.3">
      <c r="A14" s="3" t="s">
        <v>584</v>
      </c>
      <c r="B14" s="90">
        <v>0</v>
      </c>
      <c r="C14" s="90">
        <v>1.66</v>
      </c>
      <c r="D14" s="90">
        <v>0</v>
      </c>
      <c r="E14" s="90">
        <v>6.75</v>
      </c>
      <c r="F14" s="90">
        <v>0</v>
      </c>
      <c r="G14" s="90">
        <v>0</v>
      </c>
      <c r="H14" s="90">
        <v>1319.0619999999997</v>
      </c>
      <c r="I14" s="90">
        <v>0</v>
      </c>
      <c r="J14" s="90">
        <v>0</v>
      </c>
      <c r="K14" s="90">
        <v>0</v>
      </c>
      <c r="L14" s="90">
        <v>0</v>
      </c>
      <c r="M14" s="90">
        <v>134.72499999999999</v>
      </c>
      <c r="N14" s="90">
        <v>8.3000000000000007</v>
      </c>
    </row>
    <row r="15" spans="1:14" x14ac:dyDescent="0.3">
      <c r="A15" s="3" t="s">
        <v>212</v>
      </c>
      <c r="B15" s="90">
        <v>0</v>
      </c>
      <c r="C15" s="90">
        <v>0</v>
      </c>
      <c r="D15" s="90">
        <v>0</v>
      </c>
      <c r="E15" s="90">
        <v>0</v>
      </c>
      <c r="F15" s="90">
        <v>0</v>
      </c>
      <c r="G15" s="90">
        <v>0</v>
      </c>
      <c r="H15" s="90">
        <v>740</v>
      </c>
      <c r="I15" s="90">
        <v>0</v>
      </c>
      <c r="J15" s="90">
        <v>0</v>
      </c>
      <c r="K15" s="90">
        <v>0</v>
      </c>
      <c r="L15" s="90">
        <v>0</v>
      </c>
      <c r="M15" s="90">
        <v>2088</v>
      </c>
      <c r="N15" s="90">
        <v>0</v>
      </c>
    </row>
    <row r="16" spans="1:14" x14ac:dyDescent="0.3">
      <c r="A16" s="3" t="s">
        <v>211</v>
      </c>
      <c r="B16" s="90">
        <v>69.05</v>
      </c>
      <c r="C16" s="90">
        <v>0</v>
      </c>
      <c r="D16" s="90">
        <v>49.9</v>
      </c>
      <c r="E16" s="90">
        <v>127.5</v>
      </c>
      <c r="F16" s="90">
        <v>10.24</v>
      </c>
      <c r="G16" s="90">
        <v>20</v>
      </c>
      <c r="H16" s="90">
        <v>24.178000000000001</v>
      </c>
      <c r="I16" s="90">
        <v>60</v>
      </c>
      <c r="J16" s="90">
        <v>1.5</v>
      </c>
      <c r="K16" s="90">
        <v>19.055</v>
      </c>
      <c r="L16" s="90">
        <v>22</v>
      </c>
      <c r="M16" s="90">
        <v>0</v>
      </c>
      <c r="N16" s="90">
        <v>22.004999999999999</v>
      </c>
    </row>
    <row r="17" spans="1:15" x14ac:dyDescent="0.3">
      <c r="A17" s="3" t="s">
        <v>598</v>
      </c>
      <c r="B17" s="36">
        <v>11442.3144615</v>
      </c>
      <c r="C17" s="36">
        <v>14370.706635300001</v>
      </c>
      <c r="D17" s="36">
        <v>8584.7535800999995</v>
      </c>
      <c r="E17" s="36">
        <v>7176.2564247300006</v>
      </c>
      <c r="F17" s="36">
        <v>13328.896185900001</v>
      </c>
      <c r="G17" s="36">
        <v>15795.291065400001</v>
      </c>
      <c r="H17" s="36">
        <v>9104.8785966000014</v>
      </c>
      <c r="I17" s="36">
        <v>15341.248043999998</v>
      </c>
      <c r="J17" s="36">
        <v>10704.1118814</v>
      </c>
      <c r="K17" s="36">
        <v>8520.1757954999994</v>
      </c>
      <c r="L17" s="36">
        <v>11570.406160500001</v>
      </c>
      <c r="M17" s="36">
        <v>1406.15858088</v>
      </c>
      <c r="N17" s="36">
        <v>4953.7494874800004</v>
      </c>
    </row>
    <row r="20" spans="1:15" x14ac:dyDescent="0.3">
      <c r="A20" s="82" t="s">
        <v>766</v>
      </c>
      <c r="B20" s="81"/>
    </row>
    <row r="21" spans="1:15" x14ac:dyDescent="0.3">
      <c r="A21" s="82" t="s">
        <v>770</v>
      </c>
      <c r="B21" s="3"/>
      <c r="C21" s="3" t="s">
        <v>84</v>
      </c>
      <c r="D21" s="3" t="s">
        <v>85</v>
      </c>
      <c r="E21" s="3" t="s">
        <v>86</v>
      </c>
      <c r="F21" s="3" t="s">
        <v>87</v>
      </c>
      <c r="G21" s="3" t="s">
        <v>88</v>
      </c>
      <c r="H21" s="3" t="s">
        <v>89</v>
      </c>
      <c r="I21" s="3" t="s">
        <v>90</v>
      </c>
      <c r="J21" s="3" t="s">
        <v>91</v>
      </c>
      <c r="K21" s="3" t="s">
        <v>92</v>
      </c>
      <c r="L21" s="3" t="s">
        <v>93</v>
      </c>
      <c r="M21" s="3" t="s">
        <v>94</v>
      </c>
      <c r="N21" s="3" t="s">
        <v>95</v>
      </c>
      <c r="O21" s="3" t="s">
        <v>96</v>
      </c>
    </row>
    <row r="22" spans="1:15" x14ac:dyDescent="0.3">
      <c r="A22" s="3" t="s">
        <v>133</v>
      </c>
      <c r="B22" s="3">
        <v>2</v>
      </c>
      <c r="C22" s="3">
        <v>0</v>
      </c>
      <c r="D22" s="3">
        <v>0</v>
      </c>
      <c r="E22" s="3">
        <v>0</v>
      </c>
      <c r="F22" s="3">
        <v>2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3</v>
      </c>
    </row>
    <row r="23" spans="1:15" x14ac:dyDescent="0.3">
      <c r="A23" s="3" t="s">
        <v>769</v>
      </c>
      <c r="B23" s="3">
        <v>2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6</v>
      </c>
      <c r="M23" s="3">
        <v>0</v>
      </c>
      <c r="N23" s="3">
        <v>0</v>
      </c>
      <c r="O23" s="3">
        <v>0</v>
      </c>
    </row>
    <row r="26" spans="1:15" x14ac:dyDescent="0.3">
      <c r="A26" s="82" t="s">
        <v>768</v>
      </c>
      <c r="B26" s="81"/>
    </row>
    <row r="27" spans="1:15" x14ac:dyDescent="0.3">
      <c r="A27" s="82" t="s">
        <v>771</v>
      </c>
      <c r="C27" s="3" t="s">
        <v>84</v>
      </c>
      <c r="D27" s="3" t="s">
        <v>85</v>
      </c>
      <c r="E27" s="3" t="s">
        <v>86</v>
      </c>
      <c r="F27" s="3" t="s">
        <v>87</v>
      </c>
      <c r="G27" s="3" t="s">
        <v>88</v>
      </c>
      <c r="H27" s="3" t="s">
        <v>89</v>
      </c>
      <c r="I27" s="3" t="s">
        <v>90</v>
      </c>
      <c r="J27" s="3" t="s">
        <v>91</v>
      </c>
      <c r="K27" s="3" t="s">
        <v>92</v>
      </c>
      <c r="L27" s="3" t="s">
        <v>93</v>
      </c>
      <c r="M27" s="3" t="s">
        <v>94</v>
      </c>
      <c r="N27" s="3" t="s">
        <v>95</v>
      </c>
      <c r="O27" s="3" t="s">
        <v>96</v>
      </c>
    </row>
    <row r="28" spans="1:15" x14ac:dyDescent="0.3">
      <c r="A28" t="s">
        <v>97</v>
      </c>
      <c r="B28" s="3">
        <v>2</v>
      </c>
      <c r="C28">
        <v>500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373</v>
      </c>
      <c r="K28">
        <v>840</v>
      </c>
      <c r="L28">
        <v>0</v>
      </c>
      <c r="M28">
        <v>740</v>
      </c>
      <c r="N28">
        <v>0</v>
      </c>
      <c r="O28">
        <v>0</v>
      </c>
    </row>
    <row r="29" spans="1:15" x14ac:dyDescent="0.3">
      <c r="A29" t="s">
        <v>99</v>
      </c>
      <c r="B29" s="3">
        <v>2</v>
      </c>
      <c r="C29">
        <v>4132</v>
      </c>
      <c r="D29">
        <v>0</v>
      </c>
      <c r="E29">
        <v>2700</v>
      </c>
      <c r="F29">
        <v>58</v>
      </c>
      <c r="G29">
        <v>0</v>
      </c>
      <c r="H29">
        <v>0</v>
      </c>
      <c r="I29">
        <v>6700</v>
      </c>
      <c r="J29">
        <v>0</v>
      </c>
      <c r="K29">
        <v>1200</v>
      </c>
      <c r="L29">
        <v>100</v>
      </c>
      <c r="M29">
        <v>0</v>
      </c>
      <c r="N29">
        <v>576</v>
      </c>
      <c r="O29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CFEC-1A95-4131-9A4A-25E80ED73A0B}">
  <sheetPr>
    <tabColor theme="0" tint="-0.499984740745262"/>
  </sheetPr>
  <dimension ref="A1:O50"/>
  <sheetViews>
    <sheetView topLeftCell="A10" workbookViewId="0">
      <selection activeCell="B44" sqref="B44"/>
    </sheetView>
  </sheetViews>
  <sheetFormatPr defaultRowHeight="14.4" x14ac:dyDescent="0.3"/>
  <sheetData>
    <row r="1" spans="1:1" x14ac:dyDescent="0.3">
      <c r="A1" s="1" t="s">
        <v>12</v>
      </c>
    </row>
    <row r="2" spans="1:1" x14ac:dyDescent="0.3">
      <c r="A2" s="26" t="s">
        <v>283</v>
      </c>
    </row>
    <row r="3" spans="1:1" x14ac:dyDescent="0.3">
      <c r="A3" s="3">
        <v>47</v>
      </c>
    </row>
    <row r="6" spans="1:1" x14ac:dyDescent="0.3">
      <c r="A6" s="1" t="s">
        <v>423</v>
      </c>
    </row>
    <row r="7" spans="1:1" x14ac:dyDescent="0.3">
      <c r="A7" s="26" t="s">
        <v>424</v>
      </c>
    </row>
    <row r="8" spans="1:1" x14ac:dyDescent="0.3">
      <c r="A8" s="3">
        <v>5</v>
      </c>
    </row>
    <row r="11" spans="1:1" x14ac:dyDescent="0.3">
      <c r="A11" s="1" t="s">
        <v>440</v>
      </c>
    </row>
    <row r="12" spans="1:1" x14ac:dyDescent="0.3">
      <c r="A12" s="26" t="s">
        <v>441</v>
      </c>
    </row>
    <row r="13" spans="1:1" x14ac:dyDescent="0.3">
      <c r="A13" s="3">
        <v>0.1</v>
      </c>
    </row>
    <row r="14" spans="1:1" x14ac:dyDescent="0.3">
      <c r="A14" s="1"/>
    </row>
    <row r="16" spans="1:1" x14ac:dyDescent="0.3">
      <c r="A16" s="1" t="s">
        <v>443</v>
      </c>
    </row>
    <row r="17" spans="1:15" x14ac:dyDescent="0.3">
      <c r="A17" s="26" t="s">
        <v>444</v>
      </c>
    </row>
    <row r="18" spans="1:15" x14ac:dyDescent="0.3">
      <c r="A18" s="3">
        <v>3.5000000000000003E-2</v>
      </c>
    </row>
    <row r="21" spans="1:15" x14ac:dyDescent="0.3">
      <c r="A21" s="1" t="s">
        <v>55</v>
      </c>
      <c r="N21" t="s">
        <v>84</v>
      </c>
      <c r="O21">
        <v>9.6000000000000002E-2</v>
      </c>
    </row>
    <row r="22" spans="1:15" x14ac:dyDescent="0.3">
      <c r="A22" s="26" t="s">
        <v>451</v>
      </c>
      <c r="N22" t="s">
        <v>85</v>
      </c>
      <c r="O22">
        <v>7.4999999999999997E-2</v>
      </c>
    </row>
    <row r="23" spans="1:15" x14ac:dyDescent="0.3">
      <c r="A23" s="3">
        <v>30</v>
      </c>
      <c r="N23" t="s">
        <v>86</v>
      </c>
      <c r="O23">
        <v>6.5000000000000002E-2</v>
      </c>
    </row>
    <row r="24" spans="1:15" x14ac:dyDescent="0.3">
      <c r="N24" t="s">
        <v>87</v>
      </c>
      <c r="O24">
        <v>0.05</v>
      </c>
    </row>
    <row r="25" spans="1:15" x14ac:dyDescent="0.3">
      <c r="N25" t="s">
        <v>88</v>
      </c>
      <c r="O25">
        <v>0.13900000000000001</v>
      </c>
    </row>
    <row r="26" spans="1:15" x14ac:dyDescent="0.3">
      <c r="A26" s="1" t="s">
        <v>454</v>
      </c>
      <c r="N26" t="s">
        <v>89</v>
      </c>
      <c r="O26">
        <v>0.121</v>
      </c>
    </row>
    <row r="27" spans="1:15" x14ac:dyDescent="0.3">
      <c r="A27" s="26" t="s">
        <v>462</v>
      </c>
      <c r="N27" t="s">
        <v>90</v>
      </c>
      <c r="O27">
        <v>8.8999999999999996E-2</v>
      </c>
    </row>
    <row r="28" spans="1:15" x14ac:dyDescent="0.3">
      <c r="A28" s="3">
        <v>127.6</v>
      </c>
      <c r="N28" t="s">
        <v>91</v>
      </c>
      <c r="O28">
        <v>2.9000000000000001E-2</v>
      </c>
    </row>
    <row r="29" spans="1:15" x14ac:dyDescent="0.3">
      <c r="N29" t="s">
        <v>92</v>
      </c>
      <c r="O29">
        <v>0.109</v>
      </c>
    </row>
    <row r="30" spans="1:15" x14ac:dyDescent="0.3">
      <c r="N30" t="s">
        <v>93</v>
      </c>
      <c r="O30">
        <v>8.5999999999999993E-2</v>
      </c>
    </row>
    <row r="31" spans="1:15" x14ac:dyDescent="0.3">
      <c r="A31" s="1" t="s">
        <v>547</v>
      </c>
      <c r="N31" t="s">
        <v>94</v>
      </c>
      <c r="O31">
        <v>8.6999999999999994E-2</v>
      </c>
    </row>
    <row r="32" spans="1:15" x14ac:dyDescent="0.3">
      <c r="A32" s="26" t="s">
        <v>84</v>
      </c>
      <c r="B32" s="26" t="s">
        <v>85</v>
      </c>
      <c r="C32" s="26" t="s">
        <v>86</v>
      </c>
      <c r="D32" s="26" t="s">
        <v>87</v>
      </c>
      <c r="E32" s="26" t="s">
        <v>88</v>
      </c>
      <c r="F32" s="26" t="s">
        <v>89</v>
      </c>
      <c r="G32" s="26" t="s">
        <v>90</v>
      </c>
      <c r="H32" s="26" t="s">
        <v>91</v>
      </c>
      <c r="I32" s="26" t="s">
        <v>92</v>
      </c>
      <c r="J32" s="26" t="s">
        <v>93</v>
      </c>
      <c r="K32" s="26" t="s">
        <v>94</v>
      </c>
      <c r="L32" s="26" t="s">
        <v>95</v>
      </c>
      <c r="M32" s="26" t="s">
        <v>96</v>
      </c>
      <c r="N32" s="26" t="s">
        <v>95</v>
      </c>
      <c r="O32">
        <v>1.4999999999999999E-2</v>
      </c>
    </row>
    <row r="33" spans="1:15" x14ac:dyDescent="0.3">
      <c r="A33" s="3">
        <v>9.6000000000000002E-2</v>
      </c>
      <c r="B33" s="3">
        <v>7.4999999999999997E-2</v>
      </c>
      <c r="C33" s="3">
        <v>6.5000000000000002E-2</v>
      </c>
      <c r="D33" s="3">
        <v>0.05</v>
      </c>
      <c r="E33" s="3">
        <v>0.13900000000000001</v>
      </c>
      <c r="F33" s="3">
        <v>0.121</v>
      </c>
      <c r="G33" s="3">
        <v>8.8999999999999996E-2</v>
      </c>
      <c r="H33" s="3">
        <v>2.9000000000000001E-2</v>
      </c>
      <c r="I33" s="3">
        <v>0.109</v>
      </c>
      <c r="J33" s="3">
        <v>8.5999999999999993E-2</v>
      </c>
      <c r="K33" s="3">
        <v>8.6999999999999994E-2</v>
      </c>
      <c r="L33" s="3">
        <v>1.4999999999999999E-2</v>
      </c>
      <c r="M33" s="3">
        <v>3.9E-2</v>
      </c>
      <c r="N33" t="s">
        <v>96</v>
      </c>
      <c r="O33" s="3">
        <v>3.9E-2</v>
      </c>
    </row>
    <row r="36" spans="1:15" x14ac:dyDescent="0.3">
      <c r="A36" s="1" t="s">
        <v>617</v>
      </c>
    </row>
    <row r="37" spans="1:15" x14ac:dyDescent="0.3">
      <c r="A37" s="26" t="s">
        <v>615</v>
      </c>
      <c r="B37" s="4"/>
    </row>
    <row r="38" spans="1:15" x14ac:dyDescent="0.3">
      <c r="A38" s="3">
        <v>18.7</v>
      </c>
    </row>
    <row r="39" spans="1:15" x14ac:dyDescent="0.3">
      <c r="A39" t="s">
        <v>616</v>
      </c>
    </row>
    <row r="42" spans="1:15" x14ac:dyDescent="0.3">
      <c r="A42" s="1" t="s">
        <v>744</v>
      </c>
    </row>
    <row r="43" spans="1:15" x14ac:dyDescent="0.3">
      <c r="A43" s="26" t="s">
        <v>743</v>
      </c>
    </row>
    <row r="44" spans="1:15" x14ac:dyDescent="0.3">
      <c r="A44" s="3">
        <v>8.7999999999999995E-2</v>
      </c>
    </row>
    <row r="47" spans="1:15" x14ac:dyDescent="0.3">
      <c r="A47" s="1" t="s">
        <v>745</v>
      </c>
    </row>
    <row r="48" spans="1:15" x14ac:dyDescent="0.3">
      <c r="A48" s="26" t="s">
        <v>746</v>
      </c>
    </row>
    <row r="49" spans="1:6" x14ac:dyDescent="0.3">
      <c r="A49" s="110">
        <v>20109</v>
      </c>
      <c r="B49" s="4"/>
      <c r="E49" s="110"/>
      <c r="F49" s="4"/>
    </row>
    <row r="50" spans="1:6" x14ac:dyDescent="0.3">
      <c r="E50" s="110"/>
      <c r="F50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F432-9DD6-4AF4-AB48-825E40ED500E}">
  <sheetPr>
    <tabColor theme="7" tint="0.79998168889431442"/>
  </sheetPr>
  <dimension ref="A1:Q172"/>
  <sheetViews>
    <sheetView workbookViewId="0">
      <selection activeCell="F1" sqref="F1"/>
    </sheetView>
  </sheetViews>
  <sheetFormatPr defaultRowHeight="14.4" x14ac:dyDescent="0.3"/>
  <sheetData>
    <row r="1" spans="1:17" x14ac:dyDescent="0.3">
      <c r="A1" s="1" t="s">
        <v>18</v>
      </c>
      <c r="F1" s="4"/>
      <c r="O1" s="1" t="s">
        <v>43</v>
      </c>
    </row>
    <row r="2" spans="1:17" x14ac:dyDescent="0.3">
      <c r="A2" s="28" t="s">
        <v>17</v>
      </c>
      <c r="O2" s="1" t="s">
        <v>446</v>
      </c>
    </row>
    <row r="3" spans="1:17" x14ac:dyDescent="0.3">
      <c r="A3" s="3">
        <v>247</v>
      </c>
      <c r="O3" s="28" t="s">
        <v>129</v>
      </c>
      <c r="P3" s="28" t="s">
        <v>445</v>
      </c>
    </row>
    <row r="4" spans="1:17" x14ac:dyDescent="0.3">
      <c r="O4" s="28" t="s">
        <v>84</v>
      </c>
      <c r="P4" s="28" t="s">
        <v>84</v>
      </c>
      <c r="Q4" s="3">
        <v>0</v>
      </c>
    </row>
    <row r="5" spans="1:17" x14ac:dyDescent="0.3">
      <c r="A5" s="1" t="s">
        <v>42</v>
      </c>
      <c r="J5" s="4"/>
      <c r="O5" s="28" t="s">
        <v>84</v>
      </c>
      <c r="P5" s="28" t="s">
        <v>85</v>
      </c>
      <c r="Q5" s="3">
        <v>139</v>
      </c>
    </row>
    <row r="6" spans="1:17" x14ac:dyDescent="0.3">
      <c r="A6" s="28" t="s">
        <v>41</v>
      </c>
      <c r="B6" s="28"/>
      <c r="C6" s="28">
        <v>1</v>
      </c>
      <c r="D6" s="28">
        <v>2</v>
      </c>
      <c r="E6" s="28">
        <v>3</v>
      </c>
      <c r="F6" s="28">
        <v>4</v>
      </c>
      <c r="G6" s="28">
        <v>5</v>
      </c>
      <c r="H6" s="28">
        <v>6</v>
      </c>
      <c r="O6" s="28" t="s">
        <v>84</v>
      </c>
      <c r="P6" s="28" t="s">
        <v>86</v>
      </c>
      <c r="Q6" s="3">
        <v>214</v>
      </c>
    </row>
    <row r="7" spans="1:17" x14ac:dyDescent="0.3">
      <c r="A7" s="28" t="s">
        <v>191</v>
      </c>
      <c r="B7" s="28" t="s">
        <v>91</v>
      </c>
      <c r="C7" s="41">
        <v>2000</v>
      </c>
      <c r="D7" s="41">
        <v>2000</v>
      </c>
      <c r="E7" s="41">
        <v>2000</v>
      </c>
      <c r="F7" s="41">
        <v>2000</v>
      </c>
      <c r="G7" s="41">
        <v>2000</v>
      </c>
      <c r="H7" s="41">
        <v>2000</v>
      </c>
      <c r="O7" s="28" t="s">
        <v>84</v>
      </c>
      <c r="P7" s="28" t="s">
        <v>87</v>
      </c>
      <c r="Q7" s="3">
        <v>334</v>
      </c>
    </row>
    <row r="8" spans="1:17" x14ac:dyDescent="0.3">
      <c r="A8" s="28" t="s">
        <v>201</v>
      </c>
      <c r="B8" s="28" t="s">
        <v>90</v>
      </c>
      <c r="C8" s="3">
        <v>500</v>
      </c>
      <c r="D8" s="3">
        <v>500</v>
      </c>
      <c r="E8" s="3">
        <v>500</v>
      </c>
      <c r="F8" s="3">
        <v>500</v>
      </c>
      <c r="G8" s="3">
        <v>500</v>
      </c>
      <c r="H8" s="3">
        <v>500</v>
      </c>
      <c r="O8" s="28" t="s">
        <v>84</v>
      </c>
      <c r="P8" s="28" t="s">
        <v>88</v>
      </c>
      <c r="Q8" s="3">
        <v>99</v>
      </c>
    </row>
    <row r="9" spans="1:17" x14ac:dyDescent="0.3">
      <c r="A9" s="28" t="s">
        <v>192</v>
      </c>
      <c r="B9" s="28" t="s">
        <v>91</v>
      </c>
      <c r="C9" s="41">
        <v>1000</v>
      </c>
      <c r="D9" s="41">
        <v>1000</v>
      </c>
      <c r="E9" s="41">
        <v>1000</v>
      </c>
      <c r="F9" s="41">
        <v>1000</v>
      </c>
      <c r="G9" s="41">
        <v>1000</v>
      </c>
      <c r="H9" s="41">
        <v>1000</v>
      </c>
      <c r="O9" s="28" t="s">
        <v>84</v>
      </c>
      <c r="P9" s="28" t="s">
        <v>89</v>
      </c>
      <c r="Q9" s="3">
        <v>294</v>
      </c>
    </row>
    <row r="10" spans="1:17" x14ac:dyDescent="0.3">
      <c r="A10" s="28" t="s">
        <v>194</v>
      </c>
      <c r="B10" s="28" t="s">
        <v>95</v>
      </c>
      <c r="C10" s="3">
        <v>500</v>
      </c>
      <c r="D10" s="3">
        <v>500</v>
      </c>
      <c r="E10" s="3">
        <v>500</v>
      </c>
      <c r="F10" s="3">
        <v>500</v>
      </c>
      <c r="G10" s="3">
        <v>500</v>
      </c>
      <c r="H10" s="3">
        <v>500</v>
      </c>
      <c r="O10" s="28" t="s">
        <v>84</v>
      </c>
      <c r="P10" s="28" t="s">
        <v>90</v>
      </c>
      <c r="Q10" s="3">
        <v>590</v>
      </c>
    </row>
    <row r="11" spans="1:17" x14ac:dyDescent="0.3">
      <c r="A11" s="28" t="s">
        <v>199</v>
      </c>
      <c r="B11" s="28" t="s">
        <v>91</v>
      </c>
      <c r="C11" s="41">
        <v>1000</v>
      </c>
      <c r="D11" s="41">
        <v>1000</v>
      </c>
      <c r="E11" s="41">
        <v>1000</v>
      </c>
      <c r="F11" s="41">
        <v>1000</v>
      </c>
      <c r="G11" s="41">
        <v>1000</v>
      </c>
      <c r="H11" s="41">
        <v>1000</v>
      </c>
      <c r="O11" s="28" t="s">
        <v>84</v>
      </c>
      <c r="P11" s="28" t="s">
        <v>91</v>
      </c>
      <c r="Q11" s="3">
        <v>111</v>
      </c>
    </row>
    <row r="12" spans="1:17" x14ac:dyDescent="0.3">
      <c r="A12" s="28" t="s">
        <v>200</v>
      </c>
      <c r="B12" s="28" t="s">
        <v>91</v>
      </c>
      <c r="C12" s="41">
        <v>1000</v>
      </c>
      <c r="D12" s="41">
        <v>1000</v>
      </c>
      <c r="E12" s="41">
        <v>1000</v>
      </c>
      <c r="F12" s="41">
        <v>1000</v>
      </c>
      <c r="G12" s="41">
        <v>1000</v>
      </c>
      <c r="H12" s="41">
        <v>1000</v>
      </c>
      <c r="O12" s="28" t="s">
        <v>84</v>
      </c>
      <c r="P12" s="28" t="s">
        <v>92</v>
      </c>
      <c r="Q12" s="3">
        <v>208</v>
      </c>
    </row>
    <row r="13" spans="1:17" x14ac:dyDescent="0.3">
      <c r="A13" s="28" t="s">
        <v>193</v>
      </c>
      <c r="B13" s="28" t="s">
        <v>92</v>
      </c>
      <c r="C13" s="41">
        <v>1000</v>
      </c>
      <c r="D13" s="41">
        <v>1000</v>
      </c>
      <c r="E13" s="41">
        <v>1000</v>
      </c>
      <c r="F13" s="41">
        <v>1000</v>
      </c>
      <c r="G13" s="41">
        <v>1000</v>
      </c>
      <c r="H13" s="41">
        <v>1000</v>
      </c>
      <c r="O13" s="28" t="s">
        <v>84</v>
      </c>
      <c r="P13" s="28" t="s">
        <v>93</v>
      </c>
      <c r="Q13" s="3">
        <v>365</v>
      </c>
    </row>
    <row r="14" spans="1:17" x14ac:dyDescent="0.3">
      <c r="A14" s="28" t="s">
        <v>195</v>
      </c>
      <c r="B14" s="28" t="s">
        <v>87</v>
      </c>
      <c r="C14" s="41">
        <v>1400</v>
      </c>
      <c r="D14" s="41">
        <v>1400</v>
      </c>
      <c r="E14" s="41">
        <v>1400</v>
      </c>
      <c r="F14" s="41">
        <v>1400</v>
      </c>
      <c r="G14" s="41">
        <v>1400</v>
      </c>
      <c r="H14" s="41">
        <v>1400</v>
      </c>
      <c r="O14" s="28" t="s">
        <v>84</v>
      </c>
      <c r="P14" s="28" t="s">
        <v>94</v>
      </c>
      <c r="Q14" s="3">
        <v>242</v>
      </c>
    </row>
    <row r="15" spans="1:17" x14ac:dyDescent="0.3">
      <c r="A15" s="28" t="s">
        <v>202</v>
      </c>
      <c r="B15" s="28" t="s">
        <v>96</v>
      </c>
      <c r="C15" s="41">
        <v>500</v>
      </c>
      <c r="D15" s="41">
        <v>500</v>
      </c>
      <c r="E15" s="41">
        <v>500</v>
      </c>
      <c r="F15" s="41">
        <v>500</v>
      </c>
      <c r="G15" s="41">
        <v>500</v>
      </c>
      <c r="H15" s="41">
        <v>500</v>
      </c>
      <c r="O15" s="28" t="s">
        <v>84</v>
      </c>
      <c r="P15" s="28" t="s">
        <v>95</v>
      </c>
      <c r="Q15" s="3">
        <v>371</v>
      </c>
    </row>
    <row r="16" spans="1:17" x14ac:dyDescent="0.3">
      <c r="A16" s="28" t="s">
        <v>197</v>
      </c>
      <c r="B16" s="28" t="s">
        <v>93</v>
      </c>
      <c r="C16" s="41">
        <v>1400</v>
      </c>
      <c r="D16" s="41">
        <v>1400</v>
      </c>
      <c r="E16" s="41">
        <v>1400</v>
      </c>
      <c r="F16" s="41">
        <v>1400</v>
      </c>
      <c r="G16" s="41">
        <v>1400</v>
      </c>
      <c r="H16" s="41">
        <v>1400</v>
      </c>
      <c r="O16" s="28" t="s">
        <v>84</v>
      </c>
      <c r="P16" s="28" t="s">
        <v>96</v>
      </c>
      <c r="Q16" s="3">
        <v>395</v>
      </c>
    </row>
    <row r="17" spans="1:17" x14ac:dyDescent="0.3">
      <c r="A17" s="28" t="s">
        <v>198</v>
      </c>
      <c r="B17" s="28" t="s">
        <v>85</v>
      </c>
      <c r="C17" s="41">
        <v>1000</v>
      </c>
      <c r="D17" s="41">
        <v>1000</v>
      </c>
      <c r="E17" s="41">
        <v>1000</v>
      </c>
      <c r="F17" s="41">
        <v>1000</v>
      </c>
      <c r="G17" s="41">
        <v>1000</v>
      </c>
      <c r="H17" s="41">
        <v>1000</v>
      </c>
      <c r="O17" s="28" t="s">
        <v>85</v>
      </c>
      <c r="P17" s="28" t="s">
        <v>84</v>
      </c>
      <c r="Q17" s="3">
        <v>139</v>
      </c>
    </row>
    <row r="18" spans="1:17" x14ac:dyDescent="0.3">
      <c r="A18" s="28" t="s">
        <v>196</v>
      </c>
      <c r="B18" s="28" t="s">
        <v>90</v>
      </c>
      <c r="C18" s="41">
        <v>1400</v>
      </c>
      <c r="D18" s="41">
        <v>1400</v>
      </c>
      <c r="E18" s="41">
        <v>1400</v>
      </c>
      <c r="F18" s="41">
        <v>1400</v>
      </c>
      <c r="G18" s="41">
        <v>1400</v>
      </c>
      <c r="H18" s="41">
        <v>1400</v>
      </c>
      <c r="O18" s="28" t="s">
        <v>85</v>
      </c>
      <c r="P18" s="28" t="s">
        <v>85</v>
      </c>
      <c r="Q18" s="3">
        <v>0</v>
      </c>
    </row>
    <row r="19" spans="1:17" x14ac:dyDescent="0.3">
      <c r="O19" s="28" t="s">
        <v>85</v>
      </c>
      <c r="P19" s="28" t="s">
        <v>86</v>
      </c>
      <c r="Q19" s="3">
        <v>97</v>
      </c>
    </row>
    <row r="20" spans="1:17" x14ac:dyDescent="0.3">
      <c r="O20" s="28" t="s">
        <v>85</v>
      </c>
      <c r="P20" s="28" t="s">
        <v>87</v>
      </c>
      <c r="Q20" s="3">
        <v>204</v>
      </c>
    </row>
    <row r="21" spans="1:17" x14ac:dyDescent="0.3">
      <c r="A21" s="1" t="s">
        <v>81</v>
      </c>
      <c r="O21" s="28" t="s">
        <v>85</v>
      </c>
      <c r="P21" s="28" t="s">
        <v>88</v>
      </c>
      <c r="Q21" s="3">
        <v>134</v>
      </c>
    </row>
    <row r="22" spans="1:17" x14ac:dyDescent="0.3">
      <c r="A22" s="28" t="s">
        <v>80</v>
      </c>
      <c r="B22" s="4"/>
      <c r="O22" s="28" t="s">
        <v>85</v>
      </c>
      <c r="P22" s="28" t="s">
        <v>89</v>
      </c>
      <c r="Q22" s="3">
        <v>155</v>
      </c>
    </row>
    <row r="23" spans="1:17" x14ac:dyDescent="0.3">
      <c r="A23">
        <v>1500</v>
      </c>
      <c r="O23" s="28" t="s">
        <v>85</v>
      </c>
      <c r="P23" s="28" t="s">
        <v>90</v>
      </c>
      <c r="Q23" s="3">
        <v>460</v>
      </c>
    </row>
    <row r="24" spans="1:17" x14ac:dyDescent="0.3">
      <c r="O24" s="28" t="s">
        <v>85</v>
      </c>
      <c r="P24" s="28" t="s">
        <v>91</v>
      </c>
      <c r="Q24" s="3">
        <v>198</v>
      </c>
    </row>
    <row r="25" spans="1:17" x14ac:dyDescent="0.3">
      <c r="O25" s="28" t="s">
        <v>85</v>
      </c>
      <c r="P25" s="28" t="s">
        <v>92</v>
      </c>
      <c r="Q25" s="3">
        <v>171</v>
      </c>
    </row>
    <row r="26" spans="1:17" x14ac:dyDescent="0.3">
      <c r="A26" s="28" t="s">
        <v>737</v>
      </c>
      <c r="B26" s="4"/>
      <c r="O26" s="28" t="s">
        <v>85</v>
      </c>
      <c r="P26" s="28" t="s">
        <v>93</v>
      </c>
      <c r="Q26" s="3">
        <v>281</v>
      </c>
    </row>
    <row r="27" spans="1:17" x14ac:dyDescent="0.3">
      <c r="A27" s="28" t="s">
        <v>191</v>
      </c>
      <c r="B27" s="109">
        <v>0.62</v>
      </c>
      <c r="O27" s="28" t="s">
        <v>85</v>
      </c>
      <c r="P27" s="28" t="s">
        <v>94</v>
      </c>
      <c r="Q27" s="3">
        <v>125</v>
      </c>
    </row>
    <row r="28" spans="1:17" x14ac:dyDescent="0.3">
      <c r="A28" s="28" t="s">
        <v>201</v>
      </c>
      <c r="B28" s="109">
        <v>0.54</v>
      </c>
      <c r="O28" s="28" t="s">
        <v>85</v>
      </c>
      <c r="P28" s="28" t="s">
        <v>95</v>
      </c>
      <c r="Q28" s="3">
        <v>242</v>
      </c>
    </row>
    <row r="29" spans="1:17" x14ac:dyDescent="0.3">
      <c r="A29" t="s">
        <v>192</v>
      </c>
      <c r="B29" s="109">
        <v>0.66</v>
      </c>
      <c r="O29" s="28" t="s">
        <v>85</v>
      </c>
      <c r="P29" s="28" t="s">
        <v>96</v>
      </c>
      <c r="Q29" s="3">
        <v>283</v>
      </c>
    </row>
    <row r="30" spans="1:17" x14ac:dyDescent="0.3">
      <c r="A30" s="28" t="s">
        <v>194</v>
      </c>
      <c r="B30" s="109">
        <v>0.54</v>
      </c>
      <c r="O30" s="28" t="s">
        <v>86</v>
      </c>
      <c r="P30" s="28" t="s">
        <v>84</v>
      </c>
      <c r="Q30" s="3">
        <v>214</v>
      </c>
    </row>
    <row r="31" spans="1:17" x14ac:dyDescent="0.3">
      <c r="A31" s="28" t="s">
        <v>199</v>
      </c>
      <c r="B31" s="109">
        <v>0.67</v>
      </c>
      <c r="O31" s="28" t="s">
        <v>86</v>
      </c>
      <c r="P31" s="28" t="s">
        <v>85</v>
      </c>
      <c r="Q31" s="3">
        <v>97</v>
      </c>
    </row>
    <row r="32" spans="1:17" x14ac:dyDescent="0.3">
      <c r="A32" s="28" t="s">
        <v>200</v>
      </c>
      <c r="B32" s="109">
        <v>0.67</v>
      </c>
      <c r="O32" s="28" t="s">
        <v>86</v>
      </c>
      <c r="P32" s="28" t="s">
        <v>86</v>
      </c>
      <c r="Q32" s="3">
        <v>0</v>
      </c>
    </row>
    <row r="33" spans="1:17" x14ac:dyDescent="0.3">
      <c r="A33" s="28" t="s">
        <v>193</v>
      </c>
      <c r="B33" s="109">
        <v>0.63</v>
      </c>
      <c r="O33" s="28" t="s">
        <v>86</v>
      </c>
      <c r="P33" s="28" t="s">
        <v>87</v>
      </c>
      <c r="Q33" s="3">
        <v>122</v>
      </c>
    </row>
    <row r="34" spans="1:17" x14ac:dyDescent="0.3">
      <c r="A34" s="28" t="s">
        <v>195</v>
      </c>
      <c r="B34" s="109">
        <v>0.75</v>
      </c>
      <c r="O34" s="28" t="s">
        <v>86</v>
      </c>
      <c r="P34" s="28" t="s">
        <v>88</v>
      </c>
      <c r="Q34" s="3">
        <v>230</v>
      </c>
    </row>
    <row r="35" spans="1:17" x14ac:dyDescent="0.3">
      <c r="A35" t="s">
        <v>202</v>
      </c>
      <c r="B35" s="109">
        <v>0.54</v>
      </c>
      <c r="O35" s="28" t="s">
        <v>86</v>
      </c>
      <c r="P35" s="28" t="s">
        <v>89</v>
      </c>
      <c r="Q35" s="3">
        <v>132</v>
      </c>
    </row>
    <row r="36" spans="1:17" x14ac:dyDescent="0.3">
      <c r="A36" t="s">
        <v>197</v>
      </c>
      <c r="B36" s="109">
        <v>0.66</v>
      </c>
      <c r="O36" s="28" t="s">
        <v>86</v>
      </c>
      <c r="P36" s="28" t="s">
        <v>90</v>
      </c>
      <c r="Q36" s="3">
        <v>376</v>
      </c>
    </row>
    <row r="37" spans="1:17" x14ac:dyDescent="0.3">
      <c r="A37" t="s">
        <v>198</v>
      </c>
      <c r="B37" s="109">
        <v>0.6</v>
      </c>
      <c r="O37" s="28" t="s">
        <v>86</v>
      </c>
      <c r="P37" s="28" t="s">
        <v>91</v>
      </c>
      <c r="Q37" s="3">
        <v>292</v>
      </c>
    </row>
    <row r="38" spans="1:17" x14ac:dyDescent="0.3">
      <c r="A38" t="s">
        <v>196</v>
      </c>
      <c r="B38" s="109">
        <v>0.6</v>
      </c>
      <c r="O38" s="28" t="s">
        <v>86</v>
      </c>
      <c r="P38" s="28" t="s">
        <v>92</v>
      </c>
      <c r="Q38" s="3">
        <v>258</v>
      </c>
    </row>
    <row r="39" spans="1:17" x14ac:dyDescent="0.3">
      <c r="O39" s="28" t="s">
        <v>86</v>
      </c>
      <c r="P39" s="28" t="s">
        <v>93</v>
      </c>
      <c r="Q39" s="3">
        <v>332</v>
      </c>
    </row>
    <row r="40" spans="1:17" x14ac:dyDescent="0.3">
      <c r="O40" s="28" t="s">
        <v>86</v>
      </c>
      <c r="P40" s="28" t="s">
        <v>94</v>
      </c>
      <c r="Q40" s="3">
        <v>169</v>
      </c>
    </row>
    <row r="41" spans="1:17" x14ac:dyDescent="0.3">
      <c r="A41" s="28" t="s">
        <v>786</v>
      </c>
      <c r="B41" s="4"/>
      <c r="O41" s="28" t="s">
        <v>86</v>
      </c>
      <c r="P41" s="28" t="s">
        <v>95</v>
      </c>
      <c r="Q41" s="3">
        <v>242</v>
      </c>
    </row>
    <row r="42" spans="1:17" x14ac:dyDescent="0.3">
      <c r="A42" s="28" t="s">
        <v>191</v>
      </c>
      <c r="B42">
        <v>1.17E-2</v>
      </c>
      <c r="O42" s="28" t="s">
        <v>86</v>
      </c>
      <c r="P42" s="28" t="s">
        <v>96</v>
      </c>
      <c r="Q42" s="3">
        <v>308</v>
      </c>
    </row>
    <row r="43" spans="1:17" x14ac:dyDescent="0.3">
      <c r="A43" s="28" t="s">
        <v>201</v>
      </c>
      <c r="B43">
        <v>2.3599999999999999E-2</v>
      </c>
      <c r="O43" s="28" t="s">
        <v>87</v>
      </c>
      <c r="P43" s="28" t="s">
        <v>84</v>
      </c>
      <c r="Q43" s="3">
        <v>334</v>
      </c>
    </row>
    <row r="44" spans="1:17" x14ac:dyDescent="0.3">
      <c r="A44" t="s">
        <v>192</v>
      </c>
      <c r="B44">
        <v>3.4500000000000003E-2</v>
      </c>
      <c r="O44" s="28" t="s">
        <v>87</v>
      </c>
      <c r="P44" s="28" t="s">
        <v>85</v>
      </c>
      <c r="Q44" s="3">
        <v>204</v>
      </c>
    </row>
    <row r="45" spans="1:17" x14ac:dyDescent="0.3">
      <c r="A45" s="28" t="s">
        <v>194</v>
      </c>
      <c r="B45">
        <v>4.6800000000000001E-2</v>
      </c>
      <c r="O45" s="28" t="s">
        <v>87</v>
      </c>
      <c r="P45" s="28" t="s">
        <v>86</v>
      </c>
      <c r="Q45" s="3">
        <v>122</v>
      </c>
    </row>
    <row r="46" spans="1:17" x14ac:dyDescent="0.3">
      <c r="A46" s="28" t="s">
        <v>199</v>
      </c>
      <c r="B46">
        <v>2.6700000000000002E-2</v>
      </c>
      <c r="O46" s="28" t="s">
        <v>87</v>
      </c>
      <c r="P46" s="28" t="s">
        <v>87</v>
      </c>
      <c r="Q46" s="3">
        <v>0</v>
      </c>
    </row>
    <row r="47" spans="1:17" x14ac:dyDescent="0.3">
      <c r="A47" s="28" t="s">
        <v>200</v>
      </c>
      <c r="B47">
        <v>2.085E-2</v>
      </c>
      <c r="O47" s="28" t="s">
        <v>87</v>
      </c>
      <c r="P47" s="28" t="s">
        <v>88</v>
      </c>
      <c r="Q47" s="3">
        <v>335</v>
      </c>
    </row>
    <row r="48" spans="1:17" x14ac:dyDescent="0.3">
      <c r="A48" s="28" t="s">
        <v>193</v>
      </c>
      <c r="B48">
        <v>3.6600000000000001E-2</v>
      </c>
      <c r="O48" s="28" t="s">
        <v>87</v>
      </c>
      <c r="P48" s="28" t="s">
        <v>89</v>
      </c>
      <c r="Q48" s="3">
        <v>115</v>
      </c>
    </row>
    <row r="49" spans="1:17" x14ac:dyDescent="0.3">
      <c r="A49" s="28" t="s">
        <v>195</v>
      </c>
      <c r="B49">
        <v>7.9799999999999996E-2</v>
      </c>
      <c r="O49" s="28" t="s">
        <v>87</v>
      </c>
      <c r="P49" s="28" t="s">
        <v>90</v>
      </c>
      <c r="Q49" s="3">
        <v>257</v>
      </c>
    </row>
    <row r="50" spans="1:17" x14ac:dyDescent="0.3">
      <c r="A50" t="s">
        <v>202</v>
      </c>
      <c r="B50">
        <v>3.3000000000000002E-2</v>
      </c>
      <c r="O50" s="28" t="s">
        <v>87</v>
      </c>
      <c r="P50" s="28" t="s">
        <v>91</v>
      </c>
      <c r="Q50" s="3">
        <v>402</v>
      </c>
    </row>
    <row r="51" spans="1:17" x14ac:dyDescent="0.3">
      <c r="A51" t="s">
        <v>197</v>
      </c>
      <c r="B51">
        <v>3.4439999999999998E-2</v>
      </c>
      <c r="O51" s="28" t="s">
        <v>87</v>
      </c>
      <c r="P51" s="28" t="s">
        <v>92</v>
      </c>
      <c r="Q51" s="3">
        <v>331</v>
      </c>
    </row>
    <row r="52" spans="1:17" x14ac:dyDescent="0.3">
      <c r="A52" t="s">
        <v>198</v>
      </c>
      <c r="B52">
        <v>6.9000000000000006E-2</v>
      </c>
      <c r="O52" s="28" t="s">
        <v>87</v>
      </c>
      <c r="P52" s="28" t="s">
        <v>93</v>
      </c>
      <c r="Q52" s="3">
        <v>348</v>
      </c>
    </row>
    <row r="53" spans="1:17" x14ac:dyDescent="0.3">
      <c r="A53" t="s">
        <v>196</v>
      </c>
      <c r="B53">
        <v>7.3499999999999996E-2</v>
      </c>
      <c r="O53" s="28" t="s">
        <v>87</v>
      </c>
      <c r="P53" s="28" t="s">
        <v>94</v>
      </c>
      <c r="Q53" s="3">
        <v>209</v>
      </c>
    </row>
    <row r="54" spans="1:17" x14ac:dyDescent="0.3">
      <c r="O54" s="28" t="s">
        <v>87</v>
      </c>
      <c r="P54" s="28" t="s">
        <v>95</v>
      </c>
      <c r="Q54" s="3">
        <v>209</v>
      </c>
    </row>
    <row r="55" spans="1:17" x14ac:dyDescent="0.3">
      <c r="O55" s="28" t="s">
        <v>87</v>
      </c>
      <c r="P55" s="28" t="s">
        <v>96</v>
      </c>
      <c r="Q55" s="3">
        <v>293</v>
      </c>
    </row>
    <row r="56" spans="1:17" x14ac:dyDescent="0.3">
      <c r="O56" s="28" t="s">
        <v>88</v>
      </c>
      <c r="P56" s="28" t="s">
        <v>84</v>
      </c>
      <c r="Q56" s="3">
        <v>99</v>
      </c>
    </row>
    <row r="57" spans="1:17" x14ac:dyDescent="0.3">
      <c r="A57" s="28" t="s">
        <v>790</v>
      </c>
      <c r="B57" s="28">
        <v>1</v>
      </c>
      <c r="C57" s="28">
        <v>2</v>
      </c>
      <c r="D57" s="28">
        <v>3</v>
      </c>
      <c r="E57" s="28">
        <v>4</v>
      </c>
      <c r="F57" s="28">
        <v>5</v>
      </c>
      <c r="G57" s="28">
        <v>6</v>
      </c>
      <c r="O57" s="28" t="s">
        <v>88</v>
      </c>
      <c r="P57" s="28" t="s">
        <v>85</v>
      </c>
      <c r="Q57" s="3">
        <v>134</v>
      </c>
    </row>
    <row r="58" spans="1:17" x14ac:dyDescent="0.3">
      <c r="A58" s="28" t="s">
        <v>183</v>
      </c>
      <c r="B58" s="116">
        <v>0.8546491800882956</v>
      </c>
      <c r="C58" s="116">
        <v>0.86896222572280968</v>
      </c>
      <c r="D58" s="116">
        <v>0.89053221004926264</v>
      </c>
      <c r="E58" s="116">
        <v>0.91210219437571516</v>
      </c>
      <c r="F58" s="116">
        <v>0.91210219437571516</v>
      </c>
      <c r="G58" s="116">
        <v>0.91210219437571516</v>
      </c>
      <c r="O58" s="28" t="s">
        <v>88</v>
      </c>
      <c r="P58" s="28" t="s">
        <v>86</v>
      </c>
      <c r="Q58" s="3">
        <v>230</v>
      </c>
    </row>
    <row r="59" spans="1:17" x14ac:dyDescent="0.3">
      <c r="A59" s="28" t="s">
        <v>203</v>
      </c>
      <c r="B59" s="116">
        <v>1.0108017288018976</v>
      </c>
      <c r="C59" s="116">
        <v>1.1812673231500139</v>
      </c>
      <c r="D59" s="116">
        <v>1.2010872446793766</v>
      </c>
      <c r="E59" s="116">
        <v>1.2209071662087392</v>
      </c>
      <c r="F59" s="116">
        <v>1.2209071662087392</v>
      </c>
      <c r="G59" s="116">
        <v>1.2209071662087392</v>
      </c>
      <c r="O59" s="28" t="s">
        <v>88</v>
      </c>
      <c r="P59" s="28" t="s">
        <v>87</v>
      </c>
      <c r="Q59" s="3">
        <v>335</v>
      </c>
    </row>
    <row r="60" spans="1:17" x14ac:dyDescent="0.3">
      <c r="A60" s="28" t="s">
        <v>204</v>
      </c>
      <c r="B60" s="116">
        <v>0.84832752098128694</v>
      </c>
      <c r="C60" s="116">
        <v>0.85631890750879258</v>
      </c>
      <c r="D60" s="116">
        <v>0.91797386884942556</v>
      </c>
      <c r="E60" s="116">
        <v>0.97962883019005864</v>
      </c>
      <c r="F60" s="116">
        <v>0.97962883019005864</v>
      </c>
      <c r="G60" s="116">
        <v>0.97962883019005864</v>
      </c>
      <c r="O60" s="28" t="s">
        <v>88</v>
      </c>
      <c r="P60" s="28" t="s">
        <v>88</v>
      </c>
      <c r="Q60" s="3">
        <v>0</v>
      </c>
    </row>
    <row r="61" spans="1:17" x14ac:dyDescent="0.3">
      <c r="A61" s="28" t="s">
        <v>87</v>
      </c>
      <c r="B61" s="116">
        <v>0.83081746746528051</v>
      </c>
      <c r="C61" s="116">
        <v>0.82129880047677961</v>
      </c>
      <c r="D61" s="116">
        <v>0.99910575728103079</v>
      </c>
      <c r="E61" s="116">
        <v>1.176912714085282</v>
      </c>
      <c r="F61" s="116">
        <v>1.176912714085282</v>
      </c>
      <c r="G61" s="116">
        <v>1.176912714085282</v>
      </c>
      <c r="O61" s="28" t="s">
        <v>88</v>
      </c>
      <c r="P61" s="28" t="s">
        <v>89</v>
      </c>
      <c r="Q61" s="3">
        <v>263</v>
      </c>
    </row>
    <row r="62" spans="1:17" x14ac:dyDescent="0.3">
      <c r="A62" s="28" t="s">
        <v>205</v>
      </c>
      <c r="B62" s="116">
        <v>0.99641990504069267</v>
      </c>
      <c r="C62" s="116">
        <v>1.1525036756276037</v>
      </c>
      <c r="D62" s="116">
        <v>1.2208001897388692</v>
      </c>
      <c r="E62" s="116">
        <v>1.2890967038501344</v>
      </c>
      <c r="F62" s="116">
        <v>1.2890967038501344</v>
      </c>
      <c r="G62" s="116">
        <v>1.2890967038501344</v>
      </c>
      <c r="O62" s="28" t="s">
        <v>88</v>
      </c>
      <c r="P62" s="28" t="s">
        <v>90</v>
      </c>
      <c r="Q62" s="3">
        <v>589</v>
      </c>
    </row>
    <row r="63" spans="1:17" x14ac:dyDescent="0.3">
      <c r="A63" s="28" t="s">
        <v>206</v>
      </c>
      <c r="B63" s="116">
        <v>1.0033299919363876</v>
      </c>
      <c r="C63" s="116">
        <v>1.1663238494189938</v>
      </c>
      <c r="D63" s="116">
        <v>1.259629757372513</v>
      </c>
      <c r="E63" s="116">
        <v>1.3529356653260325</v>
      </c>
      <c r="F63" s="116">
        <v>1.3529356653260325</v>
      </c>
      <c r="G63" s="116">
        <v>1.3529356653260325</v>
      </c>
      <c r="O63" s="28" t="s">
        <v>88</v>
      </c>
      <c r="P63" s="28" t="s">
        <v>91</v>
      </c>
      <c r="Q63" s="3">
        <v>70</v>
      </c>
    </row>
    <row r="64" spans="1:17" x14ac:dyDescent="0.3">
      <c r="O64" s="28" t="s">
        <v>88</v>
      </c>
      <c r="P64" s="28" t="s">
        <v>92</v>
      </c>
      <c r="Q64" s="3">
        <v>112</v>
      </c>
    </row>
    <row r="65" spans="1:17" x14ac:dyDescent="0.3">
      <c r="B65" s="3">
        <v>1.8</v>
      </c>
      <c r="C65" s="3">
        <v>2.1</v>
      </c>
      <c r="D65" s="3">
        <v>2.2999999999999998</v>
      </c>
      <c r="E65" s="3">
        <v>2.2999999999999998</v>
      </c>
      <c r="F65" s="3">
        <v>2.2999999999999998</v>
      </c>
      <c r="G65" s="3">
        <v>2.2999999999999998</v>
      </c>
      <c r="O65" s="28" t="s">
        <v>88</v>
      </c>
      <c r="P65" s="28" t="s">
        <v>93</v>
      </c>
      <c r="Q65" s="3">
        <v>276</v>
      </c>
    </row>
    <row r="66" spans="1:17" x14ac:dyDescent="0.3">
      <c r="B66" s="3">
        <v>1.8</v>
      </c>
      <c r="C66" s="3">
        <v>2.2000000000000002</v>
      </c>
      <c r="D66" s="3">
        <v>2.4</v>
      </c>
      <c r="E66" s="3">
        <v>2.4</v>
      </c>
      <c r="F66" s="3">
        <v>2.4</v>
      </c>
      <c r="G66" s="3">
        <v>2.4</v>
      </c>
      <c r="O66" s="28" t="s">
        <v>88</v>
      </c>
      <c r="P66" s="28" t="s">
        <v>94</v>
      </c>
      <c r="Q66" s="3">
        <v>184</v>
      </c>
    </row>
    <row r="67" spans="1:17" x14ac:dyDescent="0.3">
      <c r="B67" s="3">
        <v>1.4</v>
      </c>
      <c r="C67" s="3">
        <v>1.6</v>
      </c>
      <c r="D67" s="3">
        <v>1.8</v>
      </c>
      <c r="E67" s="3">
        <v>1.8</v>
      </c>
      <c r="F67" s="3">
        <v>1.8</v>
      </c>
      <c r="G67" s="3">
        <v>1.8</v>
      </c>
      <c r="O67" s="28" t="s">
        <v>88</v>
      </c>
      <c r="P67" s="28" t="s">
        <v>95</v>
      </c>
      <c r="Q67" s="3">
        <v>314</v>
      </c>
    </row>
    <row r="68" spans="1:17" x14ac:dyDescent="0.3">
      <c r="B68" s="3">
        <v>1.8</v>
      </c>
      <c r="C68" s="3">
        <v>2.2000000000000002</v>
      </c>
      <c r="D68" s="3">
        <v>2.6</v>
      </c>
      <c r="E68" s="3">
        <v>2.6</v>
      </c>
      <c r="F68" s="3">
        <v>2.6</v>
      </c>
      <c r="G68" s="3">
        <v>2.6</v>
      </c>
      <c r="O68" s="28" t="s">
        <v>88</v>
      </c>
      <c r="P68" s="28" t="s">
        <v>96</v>
      </c>
      <c r="Q68" s="3">
        <v>319</v>
      </c>
    </row>
    <row r="69" spans="1:17" x14ac:dyDescent="0.3">
      <c r="B69" s="3">
        <v>2.8</v>
      </c>
      <c r="C69" s="3">
        <v>3.6</v>
      </c>
      <c r="D69" s="3">
        <v>4.7</v>
      </c>
      <c r="E69" s="3">
        <v>4.7</v>
      </c>
      <c r="F69" s="3">
        <v>4.7</v>
      </c>
      <c r="G69" s="3">
        <v>4.7</v>
      </c>
      <c r="O69" s="28" t="s">
        <v>89</v>
      </c>
      <c r="P69" s="28" t="s">
        <v>84</v>
      </c>
      <c r="Q69" s="3">
        <v>294</v>
      </c>
    </row>
    <row r="70" spans="1:17" x14ac:dyDescent="0.3">
      <c r="B70" s="3">
        <v>1.5</v>
      </c>
      <c r="C70" s="3">
        <v>1.7</v>
      </c>
      <c r="D70" s="3">
        <v>1.9</v>
      </c>
      <c r="E70" s="3">
        <v>1.9</v>
      </c>
      <c r="F70" s="3">
        <v>1.9</v>
      </c>
      <c r="G70" s="3">
        <v>1.9</v>
      </c>
      <c r="O70" s="28" t="s">
        <v>89</v>
      </c>
      <c r="P70" s="28" t="s">
        <v>85</v>
      </c>
      <c r="Q70" s="3">
        <v>155</v>
      </c>
    </row>
    <row r="71" spans="1:17" x14ac:dyDescent="0.3">
      <c r="O71" s="28" t="s">
        <v>89</v>
      </c>
      <c r="P71" s="28" t="s">
        <v>86</v>
      </c>
      <c r="Q71" s="3">
        <v>132</v>
      </c>
    </row>
    <row r="72" spans="1:17" x14ac:dyDescent="0.3">
      <c r="O72" s="28" t="s">
        <v>89</v>
      </c>
      <c r="P72" s="28" t="s">
        <v>87</v>
      </c>
      <c r="Q72" s="3">
        <v>115</v>
      </c>
    </row>
    <row r="73" spans="1:17" x14ac:dyDescent="0.3">
      <c r="B73" s="116">
        <v>0.8546491800882956</v>
      </c>
      <c r="C73" s="116">
        <v>0.86896222572280968</v>
      </c>
      <c r="D73" s="116">
        <v>0.89053221004926264</v>
      </c>
      <c r="E73" s="116">
        <v>0.91210219437571516</v>
      </c>
      <c r="F73" s="116">
        <v>0.91210219437571516</v>
      </c>
      <c r="G73" s="116">
        <v>0.91210219437571516</v>
      </c>
      <c r="O73" s="28" t="s">
        <v>89</v>
      </c>
      <c r="P73" s="28" t="s">
        <v>88</v>
      </c>
      <c r="Q73" s="3">
        <v>263</v>
      </c>
    </row>
    <row r="74" spans="1:17" x14ac:dyDescent="0.3">
      <c r="B74" s="116">
        <v>1.0108017288018976</v>
      </c>
      <c r="C74" s="116">
        <v>1.1812673231500139</v>
      </c>
      <c r="D74" s="116">
        <v>1.2010872446793766</v>
      </c>
      <c r="E74" s="116">
        <v>1.2209071662087392</v>
      </c>
      <c r="F74" s="116">
        <v>1.2209071662087392</v>
      </c>
      <c r="G74" s="116">
        <v>1.2209071662087392</v>
      </c>
      <c r="O74" s="28" t="s">
        <v>89</v>
      </c>
      <c r="P74" s="28" t="s">
        <v>89</v>
      </c>
      <c r="Q74" s="3">
        <v>0</v>
      </c>
    </row>
    <row r="75" spans="1:17" x14ac:dyDescent="0.3">
      <c r="B75" s="116">
        <v>0.84832752098128694</v>
      </c>
      <c r="C75" s="116">
        <v>0.85631890750879258</v>
      </c>
      <c r="D75" s="116">
        <v>0.91797386884942556</v>
      </c>
      <c r="E75" s="116">
        <v>0.97962883019005864</v>
      </c>
      <c r="F75" s="116">
        <v>0.97962883019005864</v>
      </c>
      <c r="G75" s="116">
        <v>0.97962883019005864</v>
      </c>
      <c r="O75" s="28" t="s">
        <v>89</v>
      </c>
      <c r="P75" s="28" t="s">
        <v>90</v>
      </c>
      <c r="Q75" s="3">
        <v>337</v>
      </c>
    </row>
    <row r="76" spans="1:17" x14ac:dyDescent="0.3">
      <c r="B76" s="116">
        <v>0.83081746746528051</v>
      </c>
      <c r="C76" s="116">
        <v>0.82129880047677961</v>
      </c>
      <c r="D76" s="116">
        <v>0.99910575728103079</v>
      </c>
      <c r="E76" s="116">
        <v>1.176912714085282</v>
      </c>
      <c r="F76" s="116">
        <v>1.176912714085282</v>
      </c>
      <c r="G76" s="116">
        <v>1.176912714085282</v>
      </c>
      <c r="O76" s="28" t="s">
        <v>89</v>
      </c>
      <c r="P76" s="28" t="s">
        <v>91</v>
      </c>
      <c r="Q76" s="3">
        <v>333</v>
      </c>
    </row>
    <row r="77" spans="1:17" x14ac:dyDescent="0.3">
      <c r="B77" s="116">
        <v>0.99641990504069267</v>
      </c>
      <c r="C77" s="116">
        <v>1.1525036756276037</v>
      </c>
      <c r="D77" s="116">
        <v>1.2208001897388692</v>
      </c>
      <c r="E77" s="116">
        <v>1.2890967038501344</v>
      </c>
      <c r="F77" s="116">
        <v>1.2890967038501344</v>
      </c>
      <c r="G77" s="116">
        <v>1.2890967038501344</v>
      </c>
      <c r="O77" s="28" t="s">
        <v>89</v>
      </c>
      <c r="P77" s="28" t="s">
        <v>92</v>
      </c>
      <c r="Q77" s="3">
        <v>230</v>
      </c>
    </row>
    <row r="78" spans="1:17" x14ac:dyDescent="0.3">
      <c r="B78" s="116">
        <v>1.0033299919363876</v>
      </c>
      <c r="C78" s="116">
        <v>1.1663238494189938</v>
      </c>
      <c r="D78" s="116">
        <v>1.259629757372513</v>
      </c>
      <c r="E78" s="116">
        <v>1.3529356653260325</v>
      </c>
      <c r="F78" s="116">
        <v>1.3529356653260325</v>
      </c>
      <c r="G78" s="116">
        <v>1.3529356653260325</v>
      </c>
      <c r="O78" s="28" t="s">
        <v>89</v>
      </c>
      <c r="P78" s="28" t="s">
        <v>93</v>
      </c>
      <c r="Q78" s="3">
        <v>233</v>
      </c>
    </row>
    <row r="79" spans="1:17" x14ac:dyDescent="0.3">
      <c r="O79" s="28" t="s">
        <v>89</v>
      </c>
      <c r="P79" s="28" t="s">
        <v>94</v>
      </c>
      <c r="Q79" s="3">
        <v>101</v>
      </c>
    </row>
    <row r="80" spans="1:17" x14ac:dyDescent="0.3">
      <c r="A80" t="s">
        <v>795</v>
      </c>
      <c r="B80" t="s">
        <v>84</v>
      </c>
      <c r="C80" t="s">
        <v>85</v>
      </c>
      <c r="D80" t="s">
        <v>86</v>
      </c>
      <c r="E80" t="s">
        <v>87</v>
      </c>
      <c r="F80" t="s">
        <v>88</v>
      </c>
      <c r="G80" t="s">
        <v>89</v>
      </c>
      <c r="H80" t="s">
        <v>92</v>
      </c>
      <c r="I80" t="s">
        <v>93</v>
      </c>
      <c r="J80" t="s">
        <v>94</v>
      </c>
      <c r="K80" t="s">
        <v>95</v>
      </c>
      <c r="L80" t="s">
        <v>96</v>
      </c>
      <c r="M80" t="s">
        <v>91</v>
      </c>
      <c r="N80" t="s">
        <v>90</v>
      </c>
      <c r="O80" s="28" t="s">
        <v>89</v>
      </c>
      <c r="P80" s="28" t="s">
        <v>95</v>
      </c>
      <c r="Q80" s="3">
        <v>112</v>
      </c>
    </row>
    <row r="81" spans="1:17" x14ac:dyDescent="0.3">
      <c r="A81" t="s">
        <v>84</v>
      </c>
      <c r="B81">
        <v>0</v>
      </c>
      <c r="C81">
        <v>11162</v>
      </c>
      <c r="D81">
        <v>0</v>
      </c>
      <c r="E81">
        <v>0</v>
      </c>
      <c r="F81">
        <v>9009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s="28" t="s">
        <v>89</v>
      </c>
      <c r="P81" s="28" t="s">
        <v>96</v>
      </c>
      <c r="Q81" s="3">
        <v>187</v>
      </c>
    </row>
    <row r="82" spans="1:17" x14ac:dyDescent="0.3">
      <c r="A82" t="s">
        <v>85</v>
      </c>
      <c r="B82">
        <v>11162</v>
      </c>
      <c r="C82">
        <v>0</v>
      </c>
      <c r="D82">
        <v>6056</v>
      </c>
      <c r="E82">
        <v>0</v>
      </c>
      <c r="F82">
        <v>2032</v>
      </c>
      <c r="G82">
        <v>4744</v>
      </c>
      <c r="H82">
        <v>2779</v>
      </c>
      <c r="I82">
        <v>0</v>
      </c>
      <c r="J82">
        <v>7161</v>
      </c>
      <c r="K82">
        <v>0</v>
      </c>
      <c r="L82">
        <v>0</v>
      </c>
      <c r="M82">
        <v>0</v>
      </c>
      <c r="N82">
        <v>0</v>
      </c>
      <c r="O82" s="28" t="s">
        <v>90</v>
      </c>
      <c r="P82" s="28" t="s">
        <v>84</v>
      </c>
      <c r="Q82" s="3">
        <v>590</v>
      </c>
    </row>
    <row r="83" spans="1:17" x14ac:dyDescent="0.3">
      <c r="A83" t="s">
        <v>86</v>
      </c>
      <c r="B83">
        <v>0</v>
      </c>
      <c r="C83">
        <v>6056</v>
      </c>
      <c r="D83">
        <v>0</v>
      </c>
      <c r="E83">
        <v>4427</v>
      </c>
      <c r="F83">
        <v>0</v>
      </c>
      <c r="G83">
        <v>3757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s="28" t="s">
        <v>90</v>
      </c>
      <c r="P83" s="28" t="s">
        <v>85</v>
      </c>
      <c r="Q83" s="3">
        <v>460</v>
      </c>
    </row>
    <row r="84" spans="1:17" x14ac:dyDescent="0.3">
      <c r="A84" t="s">
        <v>87</v>
      </c>
      <c r="B84">
        <v>0</v>
      </c>
      <c r="C84">
        <v>0</v>
      </c>
      <c r="D84">
        <v>4427</v>
      </c>
      <c r="E84">
        <v>0</v>
      </c>
      <c r="F84">
        <v>0</v>
      </c>
      <c r="G84">
        <v>6428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5244</v>
      </c>
      <c r="O84" s="28" t="s">
        <v>90</v>
      </c>
      <c r="P84" s="28" t="s">
        <v>86</v>
      </c>
      <c r="Q84" s="3">
        <v>376</v>
      </c>
    </row>
    <row r="85" spans="1:17" x14ac:dyDescent="0.3">
      <c r="A85" t="s">
        <v>88</v>
      </c>
      <c r="B85">
        <v>9009</v>
      </c>
      <c r="C85">
        <v>2032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8359</v>
      </c>
      <c r="N85">
        <v>0</v>
      </c>
      <c r="O85" s="28" t="s">
        <v>90</v>
      </c>
      <c r="P85" s="28" t="s">
        <v>87</v>
      </c>
      <c r="Q85" s="3">
        <v>257</v>
      </c>
    </row>
    <row r="86" spans="1:17" x14ac:dyDescent="0.3">
      <c r="A86" t="s">
        <v>89</v>
      </c>
      <c r="B86">
        <v>0</v>
      </c>
      <c r="C86">
        <v>4744</v>
      </c>
      <c r="D86">
        <v>3757</v>
      </c>
      <c r="E86">
        <v>6428</v>
      </c>
      <c r="F86">
        <v>0</v>
      </c>
      <c r="G86">
        <v>0</v>
      </c>
      <c r="H86">
        <v>0</v>
      </c>
      <c r="I86">
        <v>0</v>
      </c>
      <c r="J86">
        <v>0</v>
      </c>
      <c r="K86">
        <v>5616</v>
      </c>
      <c r="L86">
        <v>0</v>
      </c>
      <c r="M86">
        <v>0</v>
      </c>
      <c r="N86">
        <v>0</v>
      </c>
      <c r="O86" s="28" t="s">
        <v>90</v>
      </c>
      <c r="P86" s="28" t="s">
        <v>88</v>
      </c>
      <c r="Q86" s="3">
        <v>589</v>
      </c>
    </row>
    <row r="87" spans="1:17" x14ac:dyDescent="0.3">
      <c r="A87" t="s">
        <v>92</v>
      </c>
      <c r="B87">
        <v>0</v>
      </c>
      <c r="C87">
        <v>2779</v>
      </c>
      <c r="D87">
        <v>0</v>
      </c>
      <c r="E87">
        <v>0</v>
      </c>
      <c r="F87">
        <v>0</v>
      </c>
      <c r="G87">
        <v>0</v>
      </c>
      <c r="H87">
        <v>0</v>
      </c>
      <c r="I87">
        <v>5348</v>
      </c>
      <c r="J87">
        <v>0</v>
      </c>
      <c r="K87">
        <v>0</v>
      </c>
      <c r="L87">
        <v>0</v>
      </c>
      <c r="M87">
        <v>5301</v>
      </c>
      <c r="N87">
        <v>0</v>
      </c>
      <c r="O87" s="28" t="s">
        <v>90</v>
      </c>
      <c r="P87" s="28" t="s">
        <v>89</v>
      </c>
      <c r="Q87" s="3">
        <v>337</v>
      </c>
    </row>
    <row r="88" spans="1:17" x14ac:dyDescent="0.3">
      <c r="A88" t="s">
        <v>93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5348</v>
      </c>
      <c r="I88">
        <v>0</v>
      </c>
      <c r="J88">
        <v>1967</v>
      </c>
      <c r="K88">
        <v>0</v>
      </c>
      <c r="L88">
        <v>4953</v>
      </c>
      <c r="M88">
        <v>0</v>
      </c>
      <c r="N88">
        <v>0</v>
      </c>
      <c r="O88" s="28" t="s">
        <v>90</v>
      </c>
      <c r="P88" s="28" t="s">
        <v>90</v>
      </c>
      <c r="Q88" s="3">
        <v>0</v>
      </c>
    </row>
    <row r="89" spans="1:17" x14ac:dyDescent="0.3">
      <c r="A89" t="s">
        <v>94</v>
      </c>
      <c r="B89">
        <v>0</v>
      </c>
      <c r="C89">
        <v>7161</v>
      </c>
      <c r="D89">
        <v>0</v>
      </c>
      <c r="E89">
        <v>0</v>
      </c>
      <c r="F89">
        <v>0</v>
      </c>
      <c r="G89">
        <v>0</v>
      </c>
      <c r="H89">
        <v>0</v>
      </c>
      <c r="I89">
        <v>1967</v>
      </c>
      <c r="J89">
        <v>0</v>
      </c>
      <c r="K89">
        <v>2002</v>
      </c>
      <c r="L89">
        <v>2217</v>
      </c>
      <c r="M89">
        <v>0</v>
      </c>
      <c r="N89">
        <v>0</v>
      </c>
      <c r="O89" s="28" t="s">
        <v>90</v>
      </c>
      <c r="P89" s="28" t="s">
        <v>91</v>
      </c>
      <c r="Q89" s="3">
        <v>657</v>
      </c>
    </row>
    <row r="90" spans="1:17" x14ac:dyDescent="0.3">
      <c r="A90" t="s">
        <v>95</v>
      </c>
      <c r="B90">
        <v>0</v>
      </c>
      <c r="C90">
        <v>0</v>
      </c>
      <c r="D90">
        <v>0</v>
      </c>
      <c r="E90">
        <v>0</v>
      </c>
      <c r="F90">
        <v>0</v>
      </c>
      <c r="G90">
        <v>5616</v>
      </c>
      <c r="H90">
        <v>0</v>
      </c>
      <c r="I90">
        <v>0</v>
      </c>
      <c r="J90">
        <v>2002</v>
      </c>
      <c r="K90">
        <v>0</v>
      </c>
      <c r="L90">
        <v>0</v>
      </c>
      <c r="M90">
        <v>0</v>
      </c>
      <c r="N90">
        <v>0</v>
      </c>
      <c r="O90" s="28" t="s">
        <v>90</v>
      </c>
      <c r="P90" s="28" t="s">
        <v>92</v>
      </c>
      <c r="Q90" s="3">
        <v>567</v>
      </c>
    </row>
    <row r="91" spans="1:17" x14ac:dyDescent="0.3">
      <c r="A91" t="s">
        <v>96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4953</v>
      </c>
      <c r="J91">
        <v>2217</v>
      </c>
      <c r="K91">
        <v>0</v>
      </c>
      <c r="L91">
        <v>0</v>
      </c>
      <c r="M91">
        <v>0</v>
      </c>
      <c r="N91">
        <v>0</v>
      </c>
      <c r="O91" s="28" t="s">
        <v>90</v>
      </c>
      <c r="P91" s="28" t="s">
        <v>93</v>
      </c>
      <c r="Q91" s="3">
        <v>528</v>
      </c>
    </row>
    <row r="92" spans="1:17" x14ac:dyDescent="0.3">
      <c r="A92" t="s">
        <v>91</v>
      </c>
      <c r="B92">
        <v>0</v>
      </c>
      <c r="C92">
        <v>0</v>
      </c>
      <c r="D92">
        <v>0</v>
      </c>
      <c r="E92">
        <v>0</v>
      </c>
      <c r="F92">
        <v>8359</v>
      </c>
      <c r="G92">
        <v>0</v>
      </c>
      <c r="H92">
        <v>5301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s="28" t="s">
        <v>90</v>
      </c>
      <c r="P92" s="28" t="s">
        <v>94</v>
      </c>
      <c r="Q92" s="3">
        <v>437</v>
      </c>
    </row>
    <row r="93" spans="1:17" x14ac:dyDescent="0.3">
      <c r="A93" t="s">
        <v>90</v>
      </c>
      <c r="B93">
        <v>0</v>
      </c>
      <c r="C93">
        <v>0</v>
      </c>
      <c r="D93">
        <v>0</v>
      </c>
      <c r="E93">
        <v>5244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s="28" t="s">
        <v>90</v>
      </c>
      <c r="P93" s="28" t="s">
        <v>95</v>
      </c>
      <c r="Q93" s="3">
        <v>365</v>
      </c>
    </row>
    <row r="94" spans="1:17" x14ac:dyDescent="0.3">
      <c r="O94" s="28" t="s">
        <v>90</v>
      </c>
      <c r="P94" s="28" t="s">
        <v>96</v>
      </c>
      <c r="Q94" s="3">
        <v>445</v>
      </c>
    </row>
    <row r="95" spans="1:17" x14ac:dyDescent="0.3">
      <c r="O95" s="28" t="s">
        <v>91</v>
      </c>
      <c r="P95" s="28" t="s">
        <v>84</v>
      </c>
      <c r="Q95" s="3">
        <v>111</v>
      </c>
    </row>
    <row r="96" spans="1:17" x14ac:dyDescent="0.3">
      <c r="O96" s="28" t="s">
        <v>91</v>
      </c>
      <c r="P96" s="28" t="s">
        <v>85</v>
      </c>
      <c r="Q96" s="3">
        <v>198</v>
      </c>
    </row>
    <row r="97" spans="15:17" x14ac:dyDescent="0.3">
      <c r="O97" s="28" t="s">
        <v>91</v>
      </c>
      <c r="P97" s="28" t="s">
        <v>86</v>
      </c>
      <c r="Q97" s="3">
        <v>292</v>
      </c>
    </row>
    <row r="98" spans="15:17" x14ac:dyDescent="0.3">
      <c r="O98" s="28" t="s">
        <v>91</v>
      </c>
      <c r="P98" s="28" t="s">
        <v>87</v>
      </c>
      <c r="Q98" s="3">
        <v>402</v>
      </c>
    </row>
    <row r="99" spans="15:17" x14ac:dyDescent="0.3">
      <c r="O99" s="28" t="s">
        <v>91</v>
      </c>
      <c r="P99" s="28" t="s">
        <v>88</v>
      </c>
      <c r="Q99" s="3">
        <v>70</v>
      </c>
    </row>
    <row r="100" spans="15:17" x14ac:dyDescent="0.3">
      <c r="O100" s="28" t="s">
        <v>91</v>
      </c>
      <c r="P100" s="28" t="s">
        <v>89</v>
      </c>
      <c r="Q100" s="3">
        <v>333</v>
      </c>
    </row>
    <row r="101" spans="15:17" x14ac:dyDescent="0.3">
      <c r="O101" s="28" t="s">
        <v>91</v>
      </c>
      <c r="P101" s="28" t="s">
        <v>90</v>
      </c>
      <c r="Q101" s="3">
        <v>657</v>
      </c>
    </row>
    <row r="102" spans="15:17" x14ac:dyDescent="0.3">
      <c r="O102" s="28" t="s">
        <v>91</v>
      </c>
      <c r="P102" s="28" t="s">
        <v>91</v>
      </c>
      <c r="Q102" s="3">
        <v>0</v>
      </c>
    </row>
    <row r="103" spans="15:17" x14ac:dyDescent="0.3">
      <c r="O103" s="28" t="s">
        <v>91</v>
      </c>
      <c r="P103" s="28" t="s">
        <v>92</v>
      </c>
      <c r="Q103" s="3">
        <v>161</v>
      </c>
    </row>
    <row r="104" spans="15:17" x14ac:dyDescent="0.3">
      <c r="O104" s="28" t="s">
        <v>91</v>
      </c>
      <c r="P104" s="28" t="s">
        <v>93</v>
      </c>
      <c r="Q104" s="3">
        <v>327</v>
      </c>
    </row>
    <row r="105" spans="15:17" x14ac:dyDescent="0.3">
      <c r="O105" s="28" t="s">
        <v>91</v>
      </c>
      <c r="P105" s="28" t="s">
        <v>94</v>
      </c>
      <c r="Q105" s="3">
        <v>252</v>
      </c>
    </row>
    <row r="106" spans="15:17" x14ac:dyDescent="0.3">
      <c r="O106" s="28" t="s">
        <v>91</v>
      </c>
      <c r="P106" s="28" t="s">
        <v>95</v>
      </c>
      <c r="Q106" s="3">
        <v>381</v>
      </c>
    </row>
    <row r="107" spans="15:17" x14ac:dyDescent="0.3">
      <c r="O107" s="28" t="s">
        <v>91</v>
      </c>
      <c r="P107" s="28" t="s">
        <v>96</v>
      </c>
      <c r="Q107" s="3">
        <v>380</v>
      </c>
    </row>
    <row r="108" spans="15:17" x14ac:dyDescent="0.3">
      <c r="O108" s="28" t="s">
        <v>92</v>
      </c>
      <c r="P108" s="28" t="s">
        <v>84</v>
      </c>
      <c r="Q108" s="3">
        <v>208</v>
      </c>
    </row>
    <row r="109" spans="15:17" x14ac:dyDescent="0.3">
      <c r="O109" s="28" t="s">
        <v>92</v>
      </c>
      <c r="P109" s="28" t="s">
        <v>85</v>
      </c>
      <c r="Q109" s="3">
        <v>171</v>
      </c>
    </row>
    <row r="110" spans="15:17" x14ac:dyDescent="0.3">
      <c r="O110" s="28" t="s">
        <v>92</v>
      </c>
      <c r="P110" s="28" t="s">
        <v>86</v>
      </c>
      <c r="Q110" s="3">
        <v>258</v>
      </c>
    </row>
    <row r="111" spans="15:17" x14ac:dyDescent="0.3">
      <c r="O111" s="28" t="s">
        <v>92</v>
      </c>
      <c r="P111" s="28" t="s">
        <v>87</v>
      </c>
      <c r="Q111" s="3">
        <v>331</v>
      </c>
    </row>
    <row r="112" spans="15:17" x14ac:dyDescent="0.3">
      <c r="O112" s="28" t="s">
        <v>92</v>
      </c>
      <c r="P112" s="28" t="s">
        <v>88</v>
      </c>
      <c r="Q112" s="3">
        <v>112</v>
      </c>
    </row>
    <row r="113" spans="15:17" x14ac:dyDescent="0.3">
      <c r="O113" s="28" t="s">
        <v>92</v>
      </c>
      <c r="P113" s="28" t="s">
        <v>89</v>
      </c>
      <c r="Q113" s="3">
        <v>230</v>
      </c>
    </row>
    <row r="114" spans="15:17" x14ac:dyDescent="0.3">
      <c r="O114" s="28" t="s">
        <v>92</v>
      </c>
      <c r="P114" s="28" t="s">
        <v>90</v>
      </c>
      <c r="Q114" s="3">
        <v>567</v>
      </c>
    </row>
    <row r="115" spans="15:17" x14ac:dyDescent="0.3">
      <c r="O115" s="28" t="s">
        <v>92</v>
      </c>
      <c r="P115" s="28" t="s">
        <v>91</v>
      </c>
      <c r="Q115" s="3">
        <v>161</v>
      </c>
    </row>
    <row r="116" spans="15:17" x14ac:dyDescent="0.3">
      <c r="O116" s="28" t="s">
        <v>92</v>
      </c>
      <c r="P116" s="28" t="s">
        <v>92</v>
      </c>
      <c r="Q116" s="3">
        <v>0</v>
      </c>
    </row>
    <row r="117" spans="15:17" x14ac:dyDescent="0.3">
      <c r="O117" s="28" t="s">
        <v>92</v>
      </c>
      <c r="P117" s="28" t="s">
        <v>93</v>
      </c>
      <c r="Q117" s="3">
        <v>166</v>
      </c>
    </row>
    <row r="118" spans="15:17" x14ac:dyDescent="0.3">
      <c r="O118" s="28" t="s">
        <v>92</v>
      </c>
      <c r="P118" s="28" t="s">
        <v>94</v>
      </c>
      <c r="Q118" s="3">
        <v>130</v>
      </c>
    </row>
    <row r="119" spans="15:17" x14ac:dyDescent="0.3">
      <c r="O119" s="28" t="s">
        <v>92</v>
      </c>
      <c r="P119" s="28" t="s">
        <v>95</v>
      </c>
      <c r="Q119" s="3">
        <v>240</v>
      </c>
    </row>
    <row r="120" spans="15:17" x14ac:dyDescent="0.3">
      <c r="O120" s="28" t="s">
        <v>92</v>
      </c>
      <c r="P120" s="28" t="s">
        <v>96</v>
      </c>
      <c r="Q120" s="3">
        <v>223</v>
      </c>
    </row>
    <row r="121" spans="15:17" x14ac:dyDescent="0.3">
      <c r="O121" s="28" t="s">
        <v>93</v>
      </c>
      <c r="P121" s="28" t="s">
        <v>84</v>
      </c>
      <c r="Q121" s="3">
        <v>365</v>
      </c>
    </row>
    <row r="122" spans="15:17" x14ac:dyDescent="0.3">
      <c r="O122" s="28" t="s">
        <v>93</v>
      </c>
      <c r="P122" s="28" t="s">
        <v>85</v>
      </c>
      <c r="Q122" s="3">
        <v>281</v>
      </c>
    </row>
    <row r="123" spans="15:17" x14ac:dyDescent="0.3">
      <c r="O123" s="28" t="s">
        <v>93</v>
      </c>
      <c r="P123" s="28" t="s">
        <v>86</v>
      </c>
      <c r="Q123" s="3">
        <v>332</v>
      </c>
    </row>
    <row r="124" spans="15:17" x14ac:dyDescent="0.3">
      <c r="O124" s="28" t="s">
        <v>93</v>
      </c>
      <c r="P124" s="28" t="s">
        <v>87</v>
      </c>
      <c r="Q124" s="3">
        <v>348</v>
      </c>
    </row>
    <row r="125" spans="15:17" x14ac:dyDescent="0.3">
      <c r="O125" s="28" t="s">
        <v>93</v>
      </c>
      <c r="P125" s="28" t="s">
        <v>88</v>
      </c>
      <c r="Q125" s="3">
        <v>276</v>
      </c>
    </row>
    <row r="126" spans="15:17" x14ac:dyDescent="0.3">
      <c r="O126" s="28" t="s">
        <v>93</v>
      </c>
      <c r="P126" s="28" t="s">
        <v>89</v>
      </c>
      <c r="Q126" s="3">
        <v>233</v>
      </c>
    </row>
    <row r="127" spans="15:17" x14ac:dyDescent="0.3">
      <c r="O127" s="28" t="s">
        <v>93</v>
      </c>
      <c r="P127" s="28" t="s">
        <v>90</v>
      </c>
      <c r="Q127" s="3">
        <v>528</v>
      </c>
    </row>
    <row r="128" spans="15:17" x14ac:dyDescent="0.3">
      <c r="O128" s="28" t="s">
        <v>93</v>
      </c>
      <c r="P128" s="28" t="s">
        <v>91</v>
      </c>
      <c r="Q128" s="3">
        <v>327</v>
      </c>
    </row>
    <row r="129" spans="15:17" x14ac:dyDescent="0.3">
      <c r="O129" s="28" t="s">
        <v>93</v>
      </c>
      <c r="P129" s="28" t="s">
        <v>92</v>
      </c>
      <c r="Q129" s="3">
        <v>166</v>
      </c>
    </row>
    <row r="130" spans="15:17" x14ac:dyDescent="0.3">
      <c r="O130" s="28" t="s">
        <v>93</v>
      </c>
      <c r="P130" s="28" t="s">
        <v>93</v>
      </c>
      <c r="Q130" s="3">
        <v>0</v>
      </c>
    </row>
    <row r="131" spans="15:17" x14ac:dyDescent="0.3">
      <c r="O131" s="28" t="s">
        <v>93</v>
      </c>
      <c r="P131" s="28" t="s">
        <v>94</v>
      </c>
      <c r="Q131" s="3">
        <v>164</v>
      </c>
    </row>
    <row r="132" spans="15:17" x14ac:dyDescent="0.3">
      <c r="O132" s="28" t="s">
        <v>93</v>
      </c>
      <c r="P132" s="28" t="s">
        <v>95</v>
      </c>
      <c r="Q132" s="3">
        <v>164</v>
      </c>
    </row>
    <row r="133" spans="15:17" x14ac:dyDescent="0.3">
      <c r="O133" s="28" t="s">
        <v>93</v>
      </c>
      <c r="P133" s="28" t="s">
        <v>96</v>
      </c>
      <c r="Q133" s="3">
        <v>91</v>
      </c>
    </row>
    <row r="134" spans="15:17" x14ac:dyDescent="0.3">
      <c r="O134" s="28" t="s">
        <v>94</v>
      </c>
      <c r="P134" s="28" t="s">
        <v>84</v>
      </c>
      <c r="Q134" s="3">
        <v>242</v>
      </c>
    </row>
    <row r="135" spans="15:17" x14ac:dyDescent="0.3">
      <c r="O135" s="28" t="s">
        <v>94</v>
      </c>
      <c r="P135" s="28" t="s">
        <v>85</v>
      </c>
      <c r="Q135" s="3">
        <v>125</v>
      </c>
    </row>
    <row r="136" spans="15:17" x14ac:dyDescent="0.3">
      <c r="O136" s="28" t="s">
        <v>94</v>
      </c>
      <c r="P136" s="28" t="s">
        <v>86</v>
      </c>
      <c r="Q136" s="3">
        <v>169</v>
      </c>
    </row>
    <row r="137" spans="15:17" x14ac:dyDescent="0.3">
      <c r="O137" s="28" t="s">
        <v>94</v>
      </c>
      <c r="P137" s="28" t="s">
        <v>87</v>
      </c>
      <c r="Q137" s="3">
        <v>209</v>
      </c>
    </row>
    <row r="138" spans="15:17" x14ac:dyDescent="0.3">
      <c r="O138" s="28" t="s">
        <v>94</v>
      </c>
      <c r="P138" s="28" t="s">
        <v>88</v>
      </c>
      <c r="Q138" s="3">
        <v>184</v>
      </c>
    </row>
    <row r="139" spans="15:17" x14ac:dyDescent="0.3">
      <c r="O139" s="28" t="s">
        <v>94</v>
      </c>
      <c r="P139" s="28" t="s">
        <v>89</v>
      </c>
      <c r="Q139" s="3">
        <v>101</v>
      </c>
    </row>
    <row r="140" spans="15:17" x14ac:dyDescent="0.3">
      <c r="O140" s="28" t="s">
        <v>94</v>
      </c>
      <c r="P140" s="28" t="s">
        <v>90</v>
      </c>
      <c r="Q140" s="3">
        <v>437</v>
      </c>
    </row>
    <row r="141" spans="15:17" x14ac:dyDescent="0.3">
      <c r="O141" s="28" t="s">
        <v>94</v>
      </c>
      <c r="P141" s="28" t="s">
        <v>91</v>
      </c>
      <c r="Q141" s="3">
        <v>252</v>
      </c>
    </row>
    <row r="142" spans="15:17" x14ac:dyDescent="0.3">
      <c r="O142" s="28" t="s">
        <v>94</v>
      </c>
      <c r="P142" s="28" t="s">
        <v>92</v>
      </c>
      <c r="Q142" s="3">
        <v>130</v>
      </c>
    </row>
    <row r="143" spans="15:17" x14ac:dyDescent="0.3">
      <c r="O143" s="28" t="s">
        <v>94</v>
      </c>
      <c r="P143" s="28" t="s">
        <v>93</v>
      </c>
      <c r="Q143" s="3">
        <v>164</v>
      </c>
    </row>
    <row r="144" spans="15:17" x14ac:dyDescent="0.3">
      <c r="O144" s="28" t="s">
        <v>94</v>
      </c>
      <c r="P144" s="28" t="s">
        <v>94</v>
      </c>
      <c r="Q144" s="3">
        <v>0</v>
      </c>
    </row>
    <row r="145" spans="15:17" x14ac:dyDescent="0.3">
      <c r="O145" s="28" t="s">
        <v>94</v>
      </c>
      <c r="P145" s="28" t="s">
        <v>95</v>
      </c>
      <c r="Q145" s="3">
        <v>131</v>
      </c>
    </row>
    <row r="146" spans="15:17" x14ac:dyDescent="0.3">
      <c r="O146" s="28" t="s">
        <v>94</v>
      </c>
      <c r="P146" s="28" t="s">
        <v>96</v>
      </c>
      <c r="Q146" s="3">
        <v>159</v>
      </c>
    </row>
    <row r="147" spans="15:17" x14ac:dyDescent="0.3">
      <c r="O147" s="28" t="s">
        <v>95</v>
      </c>
      <c r="P147" s="28" t="s">
        <v>84</v>
      </c>
      <c r="Q147" s="3">
        <v>371</v>
      </c>
    </row>
    <row r="148" spans="15:17" x14ac:dyDescent="0.3">
      <c r="O148" s="28" t="s">
        <v>95</v>
      </c>
      <c r="P148" s="28" t="s">
        <v>85</v>
      </c>
      <c r="Q148" s="3">
        <v>242</v>
      </c>
    </row>
    <row r="149" spans="15:17" x14ac:dyDescent="0.3">
      <c r="O149" s="28" t="s">
        <v>95</v>
      </c>
      <c r="P149" s="28" t="s">
        <v>86</v>
      </c>
      <c r="Q149" s="3">
        <v>242</v>
      </c>
    </row>
    <row r="150" spans="15:17" x14ac:dyDescent="0.3">
      <c r="O150" s="28" t="s">
        <v>95</v>
      </c>
      <c r="P150" s="28" t="s">
        <v>87</v>
      </c>
      <c r="Q150" s="3">
        <v>209</v>
      </c>
    </row>
    <row r="151" spans="15:17" x14ac:dyDescent="0.3">
      <c r="O151" s="28" t="s">
        <v>95</v>
      </c>
      <c r="P151" s="28" t="s">
        <v>88</v>
      </c>
      <c r="Q151" s="3">
        <v>314</v>
      </c>
    </row>
    <row r="152" spans="15:17" x14ac:dyDescent="0.3">
      <c r="O152" s="28" t="s">
        <v>95</v>
      </c>
      <c r="P152" s="28" t="s">
        <v>89</v>
      </c>
      <c r="Q152" s="3">
        <v>112</v>
      </c>
    </row>
    <row r="153" spans="15:17" x14ac:dyDescent="0.3">
      <c r="O153" s="28" t="s">
        <v>95</v>
      </c>
      <c r="P153" s="28" t="s">
        <v>90</v>
      </c>
      <c r="Q153" s="3">
        <v>365</v>
      </c>
    </row>
    <row r="154" spans="15:17" x14ac:dyDescent="0.3">
      <c r="O154" s="28" t="s">
        <v>95</v>
      </c>
      <c r="P154" s="28" t="s">
        <v>91</v>
      </c>
      <c r="Q154" s="3">
        <v>381</v>
      </c>
    </row>
    <row r="155" spans="15:17" x14ac:dyDescent="0.3">
      <c r="O155" s="28" t="s">
        <v>95</v>
      </c>
      <c r="P155" s="28" t="s">
        <v>92</v>
      </c>
      <c r="Q155" s="3">
        <v>240</v>
      </c>
    </row>
    <row r="156" spans="15:17" x14ac:dyDescent="0.3">
      <c r="O156" s="28" t="s">
        <v>95</v>
      </c>
      <c r="P156" s="28" t="s">
        <v>93</v>
      </c>
      <c r="Q156" s="3">
        <v>164</v>
      </c>
    </row>
    <row r="157" spans="15:17" x14ac:dyDescent="0.3">
      <c r="O157" s="28" t="s">
        <v>95</v>
      </c>
      <c r="P157" s="28" t="s">
        <v>94</v>
      </c>
      <c r="Q157" s="3">
        <v>131</v>
      </c>
    </row>
    <row r="158" spans="15:17" x14ac:dyDescent="0.3">
      <c r="O158" s="28" t="s">
        <v>95</v>
      </c>
      <c r="P158" s="28" t="s">
        <v>95</v>
      </c>
      <c r="Q158" s="3">
        <v>0</v>
      </c>
    </row>
    <row r="159" spans="15:17" x14ac:dyDescent="0.3">
      <c r="O159" s="28" t="s">
        <v>95</v>
      </c>
      <c r="P159" s="28" t="s">
        <v>96</v>
      </c>
      <c r="Q159" s="3">
        <v>87</v>
      </c>
    </row>
    <row r="160" spans="15:17" x14ac:dyDescent="0.3">
      <c r="O160" s="28" t="s">
        <v>96</v>
      </c>
      <c r="P160" s="28" t="s">
        <v>84</v>
      </c>
      <c r="Q160" s="3">
        <v>395</v>
      </c>
    </row>
    <row r="161" spans="15:17" x14ac:dyDescent="0.3">
      <c r="O161" s="28" t="s">
        <v>96</v>
      </c>
      <c r="P161" s="28" t="s">
        <v>85</v>
      </c>
      <c r="Q161" s="3">
        <v>283</v>
      </c>
    </row>
    <row r="162" spans="15:17" x14ac:dyDescent="0.3">
      <c r="O162" s="28" t="s">
        <v>96</v>
      </c>
      <c r="P162" s="28" t="s">
        <v>86</v>
      </c>
      <c r="Q162" s="3">
        <v>308</v>
      </c>
    </row>
    <row r="163" spans="15:17" x14ac:dyDescent="0.3">
      <c r="O163" s="28" t="s">
        <v>96</v>
      </c>
      <c r="P163" s="28" t="s">
        <v>87</v>
      </c>
      <c r="Q163" s="3">
        <v>293</v>
      </c>
    </row>
    <row r="164" spans="15:17" x14ac:dyDescent="0.3">
      <c r="O164" s="28" t="s">
        <v>96</v>
      </c>
      <c r="P164" s="28" t="s">
        <v>88</v>
      </c>
      <c r="Q164" s="3">
        <v>319</v>
      </c>
    </row>
    <row r="165" spans="15:17" x14ac:dyDescent="0.3">
      <c r="O165" s="28" t="s">
        <v>96</v>
      </c>
      <c r="P165" s="28" t="s">
        <v>89</v>
      </c>
      <c r="Q165" s="3">
        <v>187</v>
      </c>
    </row>
    <row r="166" spans="15:17" x14ac:dyDescent="0.3">
      <c r="O166" s="28" t="s">
        <v>96</v>
      </c>
      <c r="P166" s="28" t="s">
        <v>90</v>
      </c>
      <c r="Q166" s="3">
        <v>445</v>
      </c>
    </row>
    <row r="167" spans="15:17" x14ac:dyDescent="0.3">
      <c r="O167" s="28" t="s">
        <v>96</v>
      </c>
      <c r="P167" s="28" t="s">
        <v>91</v>
      </c>
      <c r="Q167" s="3">
        <v>380</v>
      </c>
    </row>
    <row r="168" spans="15:17" x14ac:dyDescent="0.3">
      <c r="O168" s="28" t="s">
        <v>96</v>
      </c>
      <c r="P168" s="28" t="s">
        <v>92</v>
      </c>
      <c r="Q168" s="3">
        <v>223</v>
      </c>
    </row>
    <row r="169" spans="15:17" x14ac:dyDescent="0.3">
      <c r="O169" s="28" t="s">
        <v>96</v>
      </c>
      <c r="P169" s="28" t="s">
        <v>93</v>
      </c>
      <c r="Q169" s="3">
        <v>91</v>
      </c>
    </row>
    <row r="170" spans="15:17" x14ac:dyDescent="0.3">
      <c r="O170" s="28" t="s">
        <v>96</v>
      </c>
      <c r="P170" s="28" t="s">
        <v>94</v>
      </c>
      <c r="Q170" s="3">
        <v>159</v>
      </c>
    </row>
    <row r="171" spans="15:17" x14ac:dyDescent="0.3">
      <c r="O171" s="28" t="s">
        <v>96</v>
      </c>
      <c r="P171" s="28" t="s">
        <v>95</v>
      </c>
      <c r="Q171" s="3">
        <v>87</v>
      </c>
    </row>
    <row r="172" spans="15:17" x14ac:dyDescent="0.3">
      <c r="O172" s="28" t="s">
        <v>96</v>
      </c>
      <c r="P172" s="28" t="s">
        <v>96</v>
      </c>
      <c r="Q172" s="3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CCA0-A4D2-4BC9-ACD3-645B8C32E75F}">
  <sheetPr>
    <tabColor rgb="FFECB5ED"/>
  </sheetPr>
  <dimension ref="A1:DL146"/>
  <sheetViews>
    <sheetView zoomScale="69" zoomScaleNormal="69" workbookViewId="0">
      <selection sqref="A1:XFD2"/>
    </sheetView>
  </sheetViews>
  <sheetFormatPr defaultRowHeight="14.4" x14ac:dyDescent="0.3"/>
  <sheetData>
    <row r="1" spans="1:116" x14ac:dyDescent="0.3">
      <c r="A1" s="51"/>
      <c r="B1" s="53" t="s">
        <v>496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3" t="s">
        <v>693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3" t="s">
        <v>694</v>
      </c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3" t="s">
        <v>695</v>
      </c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49"/>
      <c r="BF1" s="49"/>
      <c r="BG1" s="50" t="s">
        <v>84</v>
      </c>
      <c r="BH1" s="50" t="s">
        <v>84</v>
      </c>
      <c r="BI1" s="50" t="s">
        <v>84</v>
      </c>
      <c r="BJ1" s="50" t="s">
        <v>594</v>
      </c>
      <c r="BK1" s="50" t="s">
        <v>85</v>
      </c>
      <c r="BL1" s="50" t="s">
        <v>85</v>
      </c>
      <c r="BM1" s="50" t="s">
        <v>86</v>
      </c>
      <c r="BN1" s="50" t="s">
        <v>86</v>
      </c>
      <c r="BO1" s="50" t="s">
        <v>86</v>
      </c>
      <c r="BP1" s="50" t="s">
        <v>87</v>
      </c>
      <c r="BQ1" s="50" t="s">
        <v>87</v>
      </c>
      <c r="BR1" s="50" t="s">
        <v>87</v>
      </c>
      <c r="BS1" s="50" t="s">
        <v>88</v>
      </c>
      <c r="BT1" s="50" t="s">
        <v>88</v>
      </c>
      <c r="BU1" s="50" t="s">
        <v>88</v>
      </c>
      <c r="BV1" s="50" t="s">
        <v>89</v>
      </c>
      <c r="BW1" s="50" t="s">
        <v>89</v>
      </c>
      <c r="BX1" s="50" t="s">
        <v>89</v>
      </c>
      <c r="BY1" s="50" t="s">
        <v>90</v>
      </c>
      <c r="BZ1" s="50" t="s">
        <v>90</v>
      </c>
      <c r="CA1" s="50" t="s">
        <v>90</v>
      </c>
      <c r="CB1" s="50" t="s">
        <v>91</v>
      </c>
      <c r="CC1" s="50" t="s">
        <v>91</v>
      </c>
      <c r="CD1" s="50" t="s">
        <v>91</v>
      </c>
      <c r="CE1" s="50" t="s">
        <v>92</v>
      </c>
      <c r="CF1" s="50" t="s">
        <v>92</v>
      </c>
      <c r="CG1" s="50" t="s">
        <v>92</v>
      </c>
      <c r="CH1" s="50" t="s">
        <v>93</v>
      </c>
      <c r="CI1" s="50" t="s">
        <v>93</v>
      </c>
      <c r="CJ1" s="50" t="s">
        <v>93</v>
      </c>
      <c r="CK1" s="50" t="s">
        <v>94</v>
      </c>
      <c r="CL1" s="50" t="s">
        <v>94</v>
      </c>
      <c r="CM1" s="50" t="s">
        <v>94</v>
      </c>
      <c r="CN1" s="50" t="s">
        <v>95</v>
      </c>
      <c r="CO1" s="50" t="s">
        <v>95</v>
      </c>
      <c r="CP1" s="50" t="s">
        <v>95</v>
      </c>
      <c r="CQ1" s="50" t="s">
        <v>96</v>
      </c>
      <c r="CR1" s="50" t="s">
        <v>96</v>
      </c>
      <c r="CS1" s="50" t="s">
        <v>96</v>
      </c>
      <c r="CT1" s="51"/>
      <c r="CU1" s="52" t="s">
        <v>494</v>
      </c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</row>
    <row r="2" spans="1:116" x14ac:dyDescent="0.3">
      <c r="A2" s="51"/>
      <c r="B2" s="51"/>
      <c r="C2" s="49" t="s">
        <v>204</v>
      </c>
      <c r="D2" s="49" t="s">
        <v>183</v>
      </c>
      <c r="E2" s="49" t="s">
        <v>203</v>
      </c>
      <c r="F2" s="49" t="s">
        <v>87</v>
      </c>
      <c r="G2" s="49" t="s">
        <v>205</v>
      </c>
      <c r="H2" s="49" t="s">
        <v>206</v>
      </c>
      <c r="I2" s="49"/>
      <c r="J2" s="49"/>
      <c r="K2" s="49" t="s">
        <v>186</v>
      </c>
      <c r="L2" s="49"/>
      <c r="M2" s="49"/>
      <c r="N2" s="49" t="s">
        <v>84</v>
      </c>
      <c r="O2" s="49" t="s">
        <v>85</v>
      </c>
      <c r="P2" s="49" t="s">
        <v>86</v>
      </c>
      <c r="Q2" s="49" t="s">
        <v>87</v>
      </c>
      <c r="R2" s="49" t="s">
        <v>88</v>
      </c>
      <c r="S2" s="49" t="s">
        <v>89</v>
      </c>
      <c r="T2" s="49" t="s">
        <v>90</v>
      </c>
      <c r="U2" s="49" t="s">
        <v>91</v>
      </c>
      <c r="V2" s="49" t="s">
        <v>92</v>
      </c>
      <c r="W2" s="49" t="s">
        <v>93</v>
      </c>
      <c r="X2" s="49" t="s">
        <v>94</v>
      </c>
      <c r="Y2" s="49" t="s">
        <v>95</v>
      </c>
      <c r="Z2" s="49" t="s">
        <v>96</v>
      </c>
      <c r="AA2" s="49"/>
      <c r="AB2" s="49"/>
      <c r="AC2" s="49" t="s">
        <v>84</v>
      </c>
      <c r="AD2" s="49" t="s">
        <v>85</v>
      </c>
      <c r="AE2" s="49" t="s">
        <v>86</v>
      </c>
      <c r="AF2" s="49" t="s">
        <v>87</v>
      </c>
      <c r="AG2" s="49" t="s">
        <v>88</v>
      </c>
      <c r="AH2" s="49" t="s">
        <v>89</v>
      </c>
      <c r="AI2" s="49" t="s">
        <v>90</v>
      </c>
      <c r="AJ2" s="49" t="s">
        <v>91</v>
      </c>
      <c r="AK2" s="49" t="s">
        <v>92</v>
      </c>
      <c r="AL2" s="49" t="s">
        <v>93</v>
      </c>
      <c r="AM2" s="49" t="s">
        <v>94</v>
      </c>
      <c r="AN2" s="49" t="s">
        <v>95</v>
      </c>
      <c r="AO2" s="49" t="s">
        <v>96</v>
      </c>
      <c r="AP2" s="49"/>
      <c r="AQ2" s="49"/>
      <c r="AR2" s="49" t="s">
        <v>84</v>
      </c>
      <c r="AS2" s="49" t="s">
        <v>85</v>
      </c>
      <c r="AT2" s="49" t="s">
        <v>86</v>
      </c>
      <c r="AU2" s="49" t="s">
        <v>87</v>
      </c>
      <c r="AV2" s="49" t="s">
        <v>88</v>
      </c>
      <c r="AW2" s="49" t="s">
        <v>89</v>
      </c>
      <c r="AX2" s="49" t="s">
        <v>90</v>
      </c>
      <c r="AY2" s="49" t="s">
        <v>91</v>
      </c>
      <c r="AZ2" s="49" t="s">
        <v>92</v>
      </c>
      <c r="BA2" s="49" t="s">
        <v>93</v>
      </c>
      <c r="BB2" s="49" t="s">
        <v>94</v>
      </c>
      <c r="BC2" s="49" t="s">
        <v>95</v>
      </c>
      <c r="BD2" s="49" t="s">
        <v>96</v>
      </c>
      <c r="BE2" s="51"/>
      <c r="BF2" s="51"/>
      <c r="BG2" s="50" t="s">
        <v>97</v>
      </c>
      <c r="BH2" s="50" t="s">
        <v>98</v>
      </c>
      <c r="BI2" s="50" t="s">
        <v>99</v>
      </c>
      <c r="BJ2" s="50" t="s">
        <v>97</v>
      </c>
      <c r="BK2" s="50" t="s">
        <v>98</v>
      </c>
      <c r="BL2" s="50" t="s">
        <v>99</v>
      </c>
      <c r="BM2" s="50" t="s">
        <v>97</v>
      </c>
      <c r="BN2" s="50" t="s">
        <v>98</v>
      </c>
      <c r="BO2" s="50" t="s">
        <v>99</v>
      </c>
      <c r="BP2" s="50" t="s">
        <v>97</v>
      </c>
      <c r="BQ2" s="50" t="s">
        <v>98</v>
      </c>
      <c r="BR2" s="50" t="s">
        <v>99</v>
      </c>
      <c r="BS2" s="50" t="s">
        <v>97</v>
      </c>
      <c r="BT2" s="50" t="s">
        <v>98</v>
      </c>
      <c r="BU2" s="50" t="s">
        <v>99</v>
      </c>
      <c r="BV2" s="50" t="s">
        <v>97</v>
      </c>
      <c r="BW2" s="50" t="s">
        <v>98</v>
      </c>
      <c r="BX2" s="50" t="s">
        <v>99</v>
      </c>
      <c r="BY2" s="50" t="s">
        <v>97</v>
      </c>
      <c r="BZ2" s="50" t="s">
        <v>98</v>
      </c>
      <c r="CA2" s="50" t="s">
        <v>99</v>
      </c>
      <c r="CB2" s="50" t="s">
        <v>97</v>
      </c>
      <c r="CC2" s="50" t="s">
        <v>98</v>
      </c>
      <c r="CD2" s="50" t="s">
        <v>99</v>
      </c>
      <c r="CE2" s="50" t="s">
        <v>97</v>
      </c>
      <c r="CF2" s="50" t="s">
        <v>98</v>
      </c>
      <c r="CG2" s="50" t="s">
        <v>99</v>
      </c>
      <c r="CH2" s="50" t="s">
        <v>97</v>
      </c>
      <c r="CI2" s="50" t="s">
        <v>98</v>
      </c>
      <c r="CJ2" s="50" t="s">
        <v>99</v>
      </c>
      <c r="CK2" s="50" t="s">
        <v>97</v>
      </c>
      <c r="CL2" s="50" t="s">
        <v>98</v>
      </c>
      <c r="CM2" s="50" t="s">
        <v>99</v>
      </c>
      <c r="CN2" s="50" t="s">
        <v>97</v>
      </c>
      <c r="CO2" s="50" t="s">
        <v>98</v>
      </c>
      <c r="CP2" s="50" t="s">
        <v>99</v>
      </c>
      <c r="CQ2" s="50" t="s">
        <v>97</v>
      </c>
      <c r="CR2" s="50" t="s">
        <v>98</v>
      </c>
      <c r="CS2" s="50" t="s">
        <v>99</v>
      </c>
      <c r="CT2" s="50"/>
      <c r="CU2" s="51"/>
      <c r="CV2" s="49" t="s">
        <v>84</v>
      </c>
      <c r="CW2" s="49" t="s">
        <v>85</v>
      </c>
      <c r="CX2" s="49" t="s">
        <v>86</v>
      </c>
      <c r="CY2" s="49" t="s">
        <v>87</v>
      </c>
      <c r="CZ2" s="49" t="s">
        <v>88</v>
      </c>
      <c r="DA2" s="49" t="s">
        <v>89</v>
      </c>
      <c r="DB2" s="49" t="s">
        <v>90</v>
      </c>
      <c r="DC2" s="49" t="s">
        <v>91</v>
      </c>
      <c r="DD2" s="49" t="s">
        <v>92</v>
      </c>
      <c r="DE2" s="49" t="s">
        <v>93</v>
      </c>
      <c r="DF2" s="49" t="s">
        <v>94</v>
      </c>
      <c r="DG2" s="49" t="s">
        <v>95</v>
      </c>
      <c r="DH2" s="49" t="s">
        <v>96</v>
      </c>
    </row>
    <row r="3" spans="1:116" x14ac:dyDescent="0.3">
      <c r="A3" s="48" t="s">
        <v>314</v>
      </c>
      <c r="B3" s="49" t="s">
        <v>329</v>
      </c>
      <c r="C3" s="3">
        <v>33.713935999999997</v>
      </c>
      <c r="D3" s="3">
        <v>26.74736</v>
      </c>
      <c r="E3" s="3">
        <v>26.74736</v>
      </c>
      <c r="F3" s="3">
        <v>26.4829905</v>
      </c>
      <c r="G3" s="3">
        <v>26.4829905</v>
      </c>
      <c r="H3" s="3">
        <v>26.74736</v>
      </c>
      <c r="I3" s="48" t="s">
        <v>314</v>
      </c>
      <c r="J3" s="49" t="s">
        <v>329</v>
      </c>
      <c r="K3" s="3">
        <v>31873</v>
      </c>
      <c r="L3" s="48" t="s">
        <v>314</v>
      </c>
      <c r="M3" s="49" t="s">
        <v>329</v>
      </c>
      <c r="N3" s="3">
        <v>1729.8147019999999</v>
      </c>
      <c r="O3" s="3">
        <v>1943.657514</v>
      </c>
      <c r="P3" s="3">
        <v>415.49104620000003</v>
      </c>
      <c r="Q3" s="3">
        <v>404.9566097</v>
      </c>
      <c r="R3" s="3">
        <v>3832.3871589999999</v>
      </c>
      <c r="S3" s="3">
        <v>2514.9321049999999</v>
      </c>
      <c r="T3" s="3">
        <v>2308.942517</v>
      </c>
      <c r="U3" s="3">
        <v>2724.6686159999999</v>
      </c>
      <c r="V3" s="3">
        <v>1263.0074239999999</v>
      </c>
      <c r="W3" s="3">
        <v>766.19003139999995</v>
      </c>
      <c r="X3" s="3">
        <v>2047.4294420000001</v>
      </c>
      <c r="Y3" s="3">
        <v>104.36810180000001</v>
      </c>
      <c r="Z3" s="3">
        <v>114.02381440000001</v>
      </c>
      <c r="AA3" s="48" t="s">
        <v>314</v>
      </c>
      <c r="AB3" s="49" t="s">
        <v>329</v>
      </c>
      <c r="AC3" s="3">
        <v>1629.5521590000001</v>
      </c>
      <c r="AD3" s="3">
        <v>1541.8438980000001</v>
      </c>
      <c r="AE3" s="3">
        <v>917.58865530000003</v>
      </c>
      <c r="AF3" s="3">
        <v>278.5842184</v>
      </c>
      <c r="AG3" s="3">
        <v>2651.7804759999999</v>
      </c>
      <c r="AH3" s="3">
        <v>2103.7673049999999</v>
      </c>
      <c r="AI3" s="3">
        <v>2026.687291</v>
      </c>
      <c r="AJ3" s="3">
        <v>2068.7253799999999</v>
      </c>
      <c r="AK3" s="3">
        <v>865.97082490000003</v>
      </c>
      <c r="AL3" s="3">
        <v>1257.7793240000001</v>
      </c>
      <c r="AM3" s="3">
        <v>2208.2509839999998</v>
      </c>
      <c r="AN3" s="3">
        <v>259.01723909999998</v>
      </c>
      <c r="AO3" s="3">
        <v>844.51466949999997</v>
      </c>
      <c r="AP3" s="48" t="s">
        <v>314</v>
      </c>
      <c r="AQ3" s="49" t="s">
        <v>329</v>
      </c>
      <c r="AR3" s="3">
        <v>696.06551679999995</v>
      </c>
      <c r="AS3" s="3">
        <v>1040.996046</v>
      </c>
      <c r="AT3" s="3">
        <v>903.26711360000002</v>
      </c>
      <c r="AU3" s="3">
        <v>869.79689599999995</v>
      </c>
      <c r="AV3" s="3">
        <v>335.66962560000002</v>
      </c>
      <c r="AW3" s="3">
        <v>1493.590608</v>
      </c>
      <c r="AX3" s="3">
        <v>827.81036919999997</v>
      </c>
      <c r="AY3" s="3">
        <v>1112.305691</v>
      </c>
      <c r="AZ3" s="3">
        <v>557.97686080000005</v>
      </c>
      <c r="BA3" s="3">
        <v>390.95521760000003</v>
      </c>
      <c r="BB3" s="3">
        <v>443.86301279999998</v>
      </c>
      <c r="BC3" s="3">
        <v>134.0208016</v>
      </c>
      <c r="BD3" s="3">
        <v>955.8951376</v>
      </c>
      <c r="BE3" s="48" t="s">
        <v>314</v>
      </c>
      <c r="BF3" s="49" t="s">
        <v>329</v>
      </c>
      <c r="BG3" s="3">
        <v>0</v>
      </c>
      <c r="BH3" s="3">
        <v>0.13900000000000001</v>
      </c>
      <c r="BI3" s="3">
        <v>0.40050000000000002</v>
      </c>
      <c r="BJ3" s="3">
        <v>0</v>
      </c>
      <c r="BK3" s="3">
        <v>0.30499999999999999</v>
      </c>
      <c r="BL3" s="3">
        <v>0.17949999999999999</v>
      </c>
      <c r="BM3" s="3">
        <v>0</v>
      </c>
      <c r="BN3" s="3">
        <v>0.35499999999999998</v>
      </c>
      <c r="BO3" s="3">
        <v>0.44</v>
      </c>
      <c r="BP3" s="3">
        <v>0</v>
      </c>
      <c r="BQ3" s="3">
        <v>0.34300000000000003</v>
      </c>
      <c r="BR3" s="3">
        <v>0.65633333299999996</v>
      </c>
      <c r="BS3" s="3">
        <v>0</v>
      </c>
      <c r="BT3" s="3">
        <v>0.214</v>
      </c>
      <c r="BU3" s="3">
        <v>0.47791666700000002</v>
      </c>
      <c r="BV3" s="3">
        <v>0</v>
      </c>
      <c r="BW3" s="3">
        <v>0.36099999999999999</v>
      </c>
      <c r="BX3" s="3">
        <v>0.61799999999999999</v>
      </c>
      <c r="BY3" s="3">
        <v>0</v>
      </c>
      <c r="BZ3" s="3">
        <v>0.25800000000000001</v>
      </c>
      <c r="CA3" s="3">
        <v>0.60799999999999998</v>
      </c>
      <c r="CB3" s="3">
        <v>0</v>
      </c>
      <c r="CC3" s="3">
        <v>0.30499999999999999</v>
      </c>
      <c r="CD3" s="3">
        <v>0.55533333299999998</v>
      </c>
      <c r="CE3" s="3">
        <v>0</v>
      </c>
      <c r="CF3" s="3">
        <v>0.34300000000000003</v>
      </c>
      <c r="CG3" s="3">
        <v>0.58399999999999996</v>
      </c>
      <c r="CH3" s="3">
        <v>0</v>
      </c>
      <c r="CI3" s="3">
        <v>0.34499999999999997</v>
      </c>
      <c r="CJ3" s="3">
        <v>0.89500000000000002</v>
      </c>
      <c r="CK3" s="3">
        <v>0</v>
      </c>
      <c r="CL3" s="3">
        <v>0.47699999999999998</v>
      </c>
      <c r="CM3" s="3">
        <v>0.1</v>
      </c>
      <c r="CN3" s="3">
        <v>0</v>
      </c>
      <c r="CO3" s="3">
        <v>0.32800000000000001</v>
      </c>
      <c r="CP3" s="3">
        <v>0.47566666699999999</v>
      </c>
      <c r="CQ3" s="3">
        <v>0</v>
      </c>
      <c r="CR3" s="3">
        <v>0.38800000000000001</v>
      </c>
      <c r="CS3" s="3">
        <v>0.76900000000000002</v>
      </c>
      <c r="CT3" s="48" t="s">
        <v>314</v>
      </c>
      <c r="CU3" s="49" t="s">
        <v>329</v>
      </c>
      <c r="CV3" s="3">
        <v>-0.82199999999999995</v>
      </c>
      <c r="CW3" s="3">
        <v>-3.2000000000000001E-2</v>
      </c>
      <c r="CX3" s="3">
        <v>-0.06</v>
      </c>
      <c r="CY3" s="3">
        <v>-1.171</v>
      </c>
      <c r="CZ3" s="3">
        <v>-0.65700000000000003</v>
      </c>
      <c r="DA3" s="3">
        <v>-1.4039999999999999</v>
      </c>
      <c r="DB3" s="3">
        <v>-5.673</v>
      </c>
      <c r="DC3" s="3">
        <v>-0.22</v>
      </c>
      <c r="DD3" s="3">
        <v>-0.499</v>
      </c>
      <c r="DE3" s="3">
        <v>-0.51600000000000001</v>
      </c>
      <c r="DF3" s="3">
        <v>-0.46800000000000003</v>
      </c>
      <c r="DG3" s="3">
        <v>-0.91900000000000004</v>
      </c>
      <c r="DH3" s="3">
        <v>-1.476</v>
      </c>
      <c r="DJ3" s="53" t="s">
        <v>500</v>
      </c>
      <c r="DK3" s="51"/>
      <c r="DL3" s="51"/>
    </row>
    <row r="4" spans="1:116" x14ac:dyDescent="0.3">
      <c r="A4" s="48" t="s">
        <v>314</v>
      </c>
      <c r="B4" s="49" t="s">
        <v>330</v>
      </c>
      <c r="C4" s="3">
        <v>34.112464000000003</v>
      </c>
      <c r="D4" s="3">
        <v>25.321856</v>
      </c>
      <c r="E4" s="3">
        <v>25.321856</v>
      </c>
      <c r="F4" s="3">
        <v>26.0588385</v>
      </c>
      <c r="G4" s="3">
        <v>26.0588385</v>
      </c>
      <c r="H4" s="3">
        <v>25.321856</v>
      </c>
      <c r="I4" s="48" t="s">
        <v>314</v>
      </c>
      <c r="J4" s="49" t="s">
        <v>330</v>
      </c>
      <c r="K4" s="3">
        <v>32145.5</v>
      </c>
      <c r="L4" s="48" t="s">
        <v>314</v>
      </c>
      <c r="M4" s="49" t="s">
        <v>330</v>
      </c>
      <c r="N4" s="3">
        <v>1027.597383</v>
      </c>
      <c r="O4" s="3">
        <v>1042.3025849999999</v>
      </c>
      <c r="P4" s="3">
        <v>962.38926819999995</v>
      </c>
      <c r="Q4" s="3">
        <v>1217.6842730000001</v>
      </c>
      <c r="R4" s="3">
        <v>2832.0002009999998</v>
      </c>
      <c r="S4" s="3">
        <v>1035.6929560000001</v>
      </c>
      <c r="T4" s="3">
        <v>1055.0019910000001</v>
      </c>
      <c r="U4" s="3">
        <v>1824.3838089999999</v>
      </c>
      <c r="V4" s="3">
        <v>701.6498709</v>
      </c>
      <c r="W4" s="3">
        <v>340.07126920000002</v>
      </c>
      <c r="X4" s="3">
        <v>1137.2420440000001</v>
      </c>
      <c r="Y4" s="3">
        <v>304.56844059999997</v>
      </c>
      <c r="Z4" s="3">
        <v>559.29926369999998</v>
      </c>
      <c r="AA4" s="48" t="s">
        <v>314</v>
      </c>
      <c r="AB4" s="49" t="s">
        <v>330</v>
      </c>
      <c r="AC4" s="3">
        <v>1644.4112970000001</v>
      </c>
      <c r="AD4" s="3">
        <v>1555.9032649999999</v>
      </c>
      <c r="AE4" s="3">
        <v>925.95572519999996</v>
      </c>
      <c r="AF4" s="3">
        <v>281.12450009999998</v>
      </c>
      <c r="AG4" s="3">
        <v>2675.9608450000001</v>
      </c>
      <c r="AH4" s="3">
        <v>2122.9505939999999</v>
      </c>
      <c r="AI4" s="3">
        <v>2050.1172019999999</v>
      </c>
      <c r="AJ4" s="3">
        <v>2087.5891369999999</v>
      </c>
      <c r="AK4" s="3">
        <v>873.86721539999996</v>
      </c>
      <c r="AL4" s="3">
        <v>1269.248437</v>
      </c>
      <c r="AM4" s="3">
        <v>2228.3870109999998</v>
      </c>
      <c r="AN4" s="3">
        <v>261.37909839999998</v>
      </c>
      <c r="AO4" s="3">
        <v>852.21541119999995</v>
      </c>
      <c r="AP4" s="48" t="s">
        <v>314</v>
      </c>
      <c r="AQ4" s="49" t="s">
        <v>330</v>
      </c>
      <c r="AR4" s="3">
        <v>728.12116560000004</v>
      </c>
      <c r="AS4" s="3">
        <v>1088.9366540000001</v>
      </c>
      <c r="AT4" s="3">
        <v>944.86494119999998</v>
      </c>
      <c r="AU4" s="3">
        <v>909.85333200000002</v>
      </c>
      <c r="AV4" s="3">
        <v>351.12809520000002</v>
      </c>
      <c r="AW4" s="3">
        <v>1562.374386</v>
      </c>
      <c r="AX4" s="3">
        <v>843.18765159999998</v>
      </c>
      <c r="AY4" s="3">
        <v>1163.530295</v>
      </c>
      <c r="AZ4" s="3">
        <v>583.67316359999995</v>
      </c>
      <c r="BA4" s="3">
        <v>408.95973420000001</v>
      </c>
      <c r="BB4" s="3">
        <v>464.30407259999998</v>
      </c>
      <c r="BC4" s="3">
        <v>140.19281219999999</v>
      </c>
      <c r="BD4" s="3">
        <v>999.9166242</v>
      </c>
      <c r="BE4" s="48" t="s">
        <v>314</v>
      </c>
      <c r="BF4" s="49" t="s">
        <v>330</v>
      </c>
      <c r="BG4" s="3">
        <v>0</v>
      </c>
      <c r="BH4" s="3">
        <v>0.13100000000000001</v>
      </c>
      <c r="BI4" s="3">
        <v>0.39350000000000002</v>
      </c>
      <c r="BJ4" s="3">
        <v>0</v>
      </c>
      <c r="BK4" s="3">
        <v>0.29399999999999998</v>
      </c>
      <c r="BL4" s="3">
        <v>0.217</v>
      </c>
      <c r="BM4" s="3">
        <v>0</v>
      </c>
      <c r="BN4" s="3">
        <v>0.35499999999999998</v>
      </c>
      <c r="BO4" s="3">
        <v>0.48849999999999999</v>
      </c>
      <c r="BP4" s="3">
        <v>0</v>
      </c>
      <c r="BQ4" s="3">
        <v>0.32500000000000001</v>
      </c>
      <c r="BR4" s="3">
        <v>0.63300000000000001</v>
      </c>
      <c r="BS4" s="3">
        <v>0</v>
      </c>
      <c r="BT4" s="3">
        <v>0.20100000000000001</v>
      </c>
      <c r="BU4" s="3">
        <v>0.47291666700000001</v>
      </c>
      <c r="BV4" s="3">
        <v>0</v>
      </c>
      <c r="BW4" s="3">
        <v>0.32800000000000001</v>
      </c>
      <c r="BX4" s="3">
        <v>0.57199999999999995</v>
      </c>
      <c r="BY4" s="3">
        <v>0</v>
      </c>
      <c r="BZ4" s="3">
        <v>0.222</v>
      </c>
      <c r="CA4" s="3">
        <v>0.5665</v>
      </c>
      <c r="CB4" s="3">
        <v>0</v>
      </c>
      <c r="CC4" s="3">
        <v>0.29099999999999998</v>
      </c>
      <c r="CD4" s="3">
        <v>0.55233333299999998</v>
      </c>
      <c r="CE4" s="3">
        <v>0</v>
      </c>
      <c r="CF4" s="3">
        <v>0.32900000000000001</v>
      </c>
      <c r="CG4" s="3">
        <v>0.57150000000000001</v>
      </c>
      <c r="CH4" s="3">
        <v>0</v>
      </c>
      <c r="CI4" s="3">
        <v>0.33200000000000002</v>
      </c>
      <c r="CJ4" s="3">
        <v>0.87533333300000005</v>
      </c>
      <c r="CK4" s="3">
        <v>0</v>
      </c>
      <c r="CL4" s="3">
        <v>0.45400000000000001</v>
      </c>
      <c r="CM4" s="3">
        <v>0.1</v>
      </c>
      <c r="CN4" s="3">
        <v>0</v>
      </c>
      <c r="CO4" s="3">
        <v>0.30499999999999999</v>
      </c>
      <c r="CP4" s="3">
        <v>0.45366666700000002</v>
      </c>
      <c r="CQ4" s="3">
        <v>0</v>
      </c>
      <c r="CR4" s="3">
        <v>0.36699999999999999</v>
      </c>
      <c r="CS4" s="3">
        <v>0.73</v>
      </c>
      <c r="CT4" s="48" t="s">
        <v>314</v>
      </c>
      <c r="CU4" s="49" t="s">
        <v>330</v>
      </c>
      <c r="CV4" s="3">
        <v>-0.97099999999999997</v>
      </c>
      <c r="CW4" s="3">
        <v>-0.307</v>
      </c>
      <c r="CX4" s="3">
        <v>-0.36099999999999999</v>
      </c>
      <c r="CY4" s="3">
        <v>-1.2609999999999999</v>
      </c>
      <c r="CZ4" s="3">
        <v>-0.77400000000000002</v>
      </c>
      <c r="DA4" s="3">
        <v>-1.601</v>
      </c>
      <c r="DB4" s="3">
        <v>-6.2320000000000002</v>
      </c>
      <c r="DC4" s="3">
        <v>-0.33900000000000002</v>
      </c>
      <c r="DD4" s="3">
        <v>-0.79200000000000004</v>
      </c>
      <c r="DE4" s="3">
        <v>-0.80900000000000005</v>
      </c>
      <c r="DF4" s="3">
        <v>-0.79100000000000004</v>
      </c>
      <c r="DG4" s="3">
        <v>-0.93600000000000005</v>
      </c>
      <c r="DH4" s="3">
        <v>-1.5740000000000001</v>
      </c>
      <c r="DJ4" s="53" t="s">
        <v>314</v>
      </c>
      <c r="DK4" s="3">
        <v>1</v>
      </c>
      <c r="DL4" s="3"/>
    </row>
    <row r="5" spans="1:116" x14ac:dyDescent="0.3">
      <c r="A5" s="48" t="s">
        <v>314</v>
      </c>
      <c r="B5" s="49" t="s">
        <v>331</v>
      </c>
      <c r="C5" s="3">
        <v>34.196767999999999</v>
      </c>
      <c r="D5" s="3">
        <v>22.631792000000001</v>
      </c>
      <c r="E5" s="3">
        <v>22.631792000000001</v>
      </c>
      <c r="F5" s="3">
        <v>26.120694</v>
      </c>
      <c r="G5" s="3">
        <v>26.120694</v>
      </c>
      <c r="H5" s="3">
        <v>22.631792000000001</v>
      </c>
      <c r="I5" s="48" t="s">
        <v>314</v>
      </c>
      <c r="J5" s="49" t="s">
        <v>331</v>
      </c>
      <c r="K5" s="3">
        <v>31885.5</v>
      </c>
      <c r="L5" s="48" t="s">
        <v>314</v>
      </c>
      <c r="M5" s="49" t="s">
        <v>331</v>
      </c>
      <c r="N5" s="3">
        <v>818.5987662</v>
      </c>
      <c r="O5" s="3">
        <v>849.10912819999999</v>
      </c>
      <c r="P5" s="3">
        <v>1509.2874899999999</v>
      </c>
      <c r="Q5" s="3">
        <v>1127.1492940000001</v>
      </c>
      <c r="R5" s="3">
        <v>2446.9458060000002</v>
      </c>
      <c r="S5" s="3">
        <v>594.53864599999997</v>
      </c>
      <c r="T5" s="3">
        <v>889.47428939999998</v>
      </c>
      <c r="U5" s="3">
        <v>1624.2693549999999</v>
      </c>
      <c r="V5" s="3">
        <v>639.54795479999996</v>
      </c>
      <c r="W5" s="3">
        <v>268.38986679999999</v>
      </c>
      <c r="X5" s="3">
        <v>1032.584998</v>
      </c>
      <c r="Y5" s="3">
        <v>269.02213840000002</v>
      </c>
      <c r="Z5" s="3">
        <v>494.90789369999999</v>
      </c>
      <c r="AA5" s="48" t="s">
        <v>314</v>
      </c>
      <c r="AB5" s="49" t="s">
        <v>331</v>
      </c>
      <c r="AC5" s="3">
        <v>1649.364343</v>
      </c>
      <c r="AD5" s="3">
        <v>1560.5897210000001</v>
      </c>
      <c r="AE5" s="3">
        <v>928.74474840000005</v>
      </c>
      <c r="AF5" s="3">
        <v>281.97126059999999</v>
      </c>
      <c r="AG5" s="3">
        <v>2684.0209679999998</v>
      </c>
      <c r="AH5" s="3">
        <v>2129.3450229999999</v>
      </c>
      <c r="AI5" s="3">
        <v>2009.114857</v>
      </c>
      <c r="AJ5" s="3">
        <v>2093.8770559999998</v>
      </c>
      <c r="AK5" s="3">
        <v>876.49934559999997</v>
      </c>
      <c r="AL5" s="3">
        <v>1273.0714740000001</v>
      </c>
      <c r="AM5" s="3">
        <v>2235.099021</v>
      </c>
      <c r="AN5" s="3">
        <v>262.1663848</v>
      </c>
      <c r="AO5" s="3">
        <v>854.78232509999998</v>
      </c>
      <c r="AP5" s="48" t="s">
        <v>314</v>
      </c>
      <c r="AQ5" s="49" t="s">
        <v>331</v>
      </c>
      <c r="AR5" s="3">
        <v>744.14899000000003</v>
      </c>
      <c r="AS5" s="3">
        <v>1112.906958</v>
      </c>
      <c r="AT5" s="3">
        <v>965.66385500000001</v>
      </c>
      <c r="AU5" s="3">
        <v>929.88154999999995</v>
      </c>
      <c r="AV5" s="3">
        <v>358.85732999999999</v>
      </c>
      <c r="AW5" s="3">
        <v>1596.766275</v>
      </c>
      <c r="AX5" s="3">
        <v>858.56493399999999</v>
      </c>
      <c r="AY5" s="3">
        <v>1189.1425979999999</v>
      </c>
      <c r="AZ5" s="3">
        <v>596.52131499999996</v>
      </c>
      <c r="BA5" s="3">
        <v>417.96199250000001</v>
      </c>
      <c r="BB5" s="3">
        <v>474.52460250000001</v>
      </c>
      <c r="BC5" s="3">
        <v>143.2788175</v>
      </c>
      <c r="BD5" s="3">
        <v>1021.927368</v>
      </c>
      <c r="BE5" s="48" t="s">
        <v>314</v>
      </c>
      <c r="BF5" s="49" t="s">
        <v>331</v>
      </c>
      <c r="BG5" s="3">
        <v>0</v>
      </c>
      <c r="BH5" s="3">
        <v>0.11600000000000001</v>
      </c>
      <c r="BI5" s="3">
        <v>0.36349999999999999</v>
      </c>
      <c r="BJ5" s="3">
        <v>0</v>
      </c>
      <c r="BK5" s="3">
        <v>0.27800000000000002</v>
      </c>
      <c r="BL5" s="3">
        <v>0.23350000000000001</v>
      </c>
      <c r="BM5" s="3">
        <v>0</v>
      </c>
      <c r="BN5" s="3">
        <v>0.35799999999999998</v>
      </c>
      <c r="BO5" s="3">
        <v>0.52549999999999997</v>
      </c>
      <c r="BP5" s="3">
        <v>0</v>
      </c>
      <c r="BQ5" s="3">
        <v>0.309</v>
      </c>
      <c r="BR5" s="3">
        <v>0.60633333300000003</v>
      </c>
      <c r="BS5" s="3">
        <v>0</v>
      </c>
      <c r="BT5" s="3">
        <v>0.17899999999999999</v>
      </c>
      <c r="BU5" s="3">
        <v>0.45858333400000001</v>
      </c>
      <c r="BV5" s="3">
        <v>0</v>
      </c>
      <c r="BW5" s="3">
        <v>0.28199999999999997</v>
      </c>
      <c r="BX5" s="3">
        <v>0.51900000000000002</v>
      </c>
      <c r="BY5" s="3">
        <v>0</v>
      </c>
      <c r="BZ5" s="3">
        <v>0.183</v>
      </c>
      <c r="CA5" s="3">
        <v>0.52049999999999996</v>
      </c>
      <c r="CB5" s="3">
        <v>0</v>
      </c>
      <c r="CC5" s="3">
        <v>0.28100000000000003</v>
      </c>
      <c r="CD5" s="3">
        <v>0.553666667</v>
      </c>
      <c r="CE5" s="3">
        <v>0</v>
      </c>
      <c r="CF5" s="3">
        <v>0.31</v>
      </c>
      <c r="CG5" s="3">
        <v>0.56999999999999995</v>
      </c>
      <c r="CH5" s="3">
        <v>0</v>
      </c>
      <c r="CI5" s="3">
        <v>0.311</v>
      </c>
      <c r="CJ5" s="3">
        <v>0.84399999999999997</v>
      </c>
      <c r="CK5" s="3">
        <v>0</v>
      </c>
      <c r="CL5" s="3">
        <v>0.43099999999999999</v>
      </c>
      <c r="CM5" s="3">
        <v>0.1</v>
      </c>
      <c r="CN5" s="3">
        <v>0</v>
      </c>
      <c r="CO5" s="3">
        <v>0.27400000000000002</v>
      </c>
      <c r="CP5" s="3">
        <v>0.41799999999999998</v>
      </c>
      <c r="CQ5" s="3">
        <v>0</v>
      </c>
      <c r="CR5" s="3">
        <v>0.33900000000000002</v>
      </c>
      <c r="CS5" s="3">
        <v>0.68500000000000005</v>
      </c>
      <c r="CT5" s="48" t="s">
        <v>314</v>
      </c>
      <c r="CU5" s="49" t="s">
        <v>331</v>
      </c>
      <c r="CV5" s="3">
        <v>-1.079</v>
      </c>
      <c r="CW5" s="3">
        <v>-0.65</v>
      </c>
      <c r="CX5" s="3">
        <v>-0.79800000000000004</v>
      </c>
      <c r="CY5" s="3">
        <v>-1.36</v>
      </c>
      <c r="CZ5" s="3">
        <v>-0.99299999999999999</v>
      </c>
      <c r="DA5" s="3">
        <v>-1.6719999999999999</v>
      </c>
      <c r="DB5" s="3">
        <v>-6.5330000000000004</v>
      </c>
      <c r="DC5" s="3">
        <v>-0.438</v>
      </c>
      <c r="DD5" s="3">
        <v>-1.077</v>
      </c>
      <c r="DE5" s="3">
        <v>-1.0920000000000001</v>
      </c>
      <c r="DF5" s="3">
        <v>-1.137</v>
      </c>
      <c r="DG5" s="3">
        <v>-0.98399999999999999</v>
      </c>
      <c r="DH5" s="3">
        <v>-1.601</v>
      </c>
      <c r="DJ5" s="53" t="s">
        <v>315</v>
      </c>
      <c r="DK5" s="3">
        <v>1</v>
      </c>
      <c r="DL5" s="3"/>
    </row>
    <row r="6" spans="1:116" x14ac:dyDescent="0.3">
      <c r="A6" s="48" t="s">
        <v>314</v>
      </c>
      <c r="B6" s="49" t="s">
        <v>332</v>
      </c>
      <c r="C6" s="3">
        <v>34.196767999999999</v>
      </c>
      <c r="D6" s="3">
        <v>21.512848000000002</v>
      </c>
      <c r="E6" s="3">
        <v>21.512848000000002</v>
      </c>
      <c r="F6" s="3">
        <v>26.527173000000001</v>
      </c>
      <c r="G6" s="3">
        <v>26.527173000000001</v>
      </c>
      <c r="H6" s="3">
        <v>21.512848000000002</v>
      </c>
      <c r="I6" s="48" t="s">
        <v>314</v>
      </c>
      <c r="J6" s="49" t="s">
        <v>332</v>
      </c>
      <c r="K6" s="3">
        <v>31439</v>
      </c>
      <c r="L6" s="48" t="s">
        <v>314</v>
      </c>
      <c r="M6" s="49" t="s">
        <v>332</v>
      </c>
      <c r="N6" s="3">
        <v>506.6748513</v>
      </c>
      <c r="O6" s="3">
        <v>343.34099279999998</v>
      </c>
      <c r="P6" s="3">
        <v>1430.179151</v>
      </c>
      <c r="Q6" s="3">
        <v>1074.8787339999999</v>
      </c>
      <c r="R6" s="3">
        <v>1962.694229</v>
      </c>
      <c r="S6" s="3">
        <v>3262.749757</v>
      </c>
      <c r="T6" s="3">
        <v>411.7490742</v>
      </c>
      <c r="U6" s="3">
        <v>1406.860725</v>
      </c>
      <c r="V6" s="3">
        <v>485.9902634</v>
      </c>
      <c r="W6" s="3">
        <v>97.309377530000006</v>
      </c>
      <c r="X6" s="3">
        <v>708.16235429999995</v>
      </c>
      <c r="Y6" s="3">
        <v>262.72269</v>
      </c>
      <c r="Z6" s="3">
        <v>556.30961739999998</v>
      </c>
      <c r="AA6" s="48" t="s">
        <v>314</v>
      </c>
      <c r="AB6" s="49" t="s">
        <v>332</v>
      </c>
      <c r="AC6" s="3">
        <v>1916.828831</v>
      </c>
      <c r="AD6" s="3">
        <v>1813.658324</v>
      </c>
      <c r="AE6" s="3">
        <v>1079.352005</v>
      </c>
      <c r="AF6" s="3">
        <v>327.69632990000002</v>
      </c>
      <c r="AG6" s="3">
        <v>3119.2676120000001</v>
      </c>
      <c r="AH6" s="3">
        <v>2474.6442160000001</v>
      </c>
      <c r="AI6" s="3">
        <v>2301.9887429999999</v>
      </c>
      <c r="AJ6" s="3">
        <v>2433.4246870000002</v>
      </c>
      <c r="AK6" s="3">
        <v>1018.634375</v>
      </c>
      <c r="AL6" s="3">
        <v>1479.5154970000001</v>
      </c>
      <c r="AM6" s="3">
        <v>2597.5475099999999</v>
      </c>
      <c r="AN6" s="3">
        <v>304.6798526</v>
      </c>
      <c r="AO6" s="3">
        <v>993.39567509999995</v>
      </c>
      <c r="AP6" s="48" t="s">
        <v>314</v>
      </c>
      <c r="AQ6" s="49" t="s">
        <v>332</v>
      </c>
      <c r="AR6" s="3">
        <v>789.94277399999999</v>
      </c>
      <c r="AS6" s="3">
        <v>1181.39354</v>
      </c>
      <c r="AT6" s="3">
        <v>1025.0893229999999</v>
      </c>
      <c r="AU6" s="3">
        <v>987.10503000000006</v>
      </c>
      <c r="AV6" s="3">
        <v>380.94085799999999</v>
      </c>
      <c r="AW6" s="3">
        <v>1695.0288149999999</v>
      </c>
      <c r="AX6" s="3">
        <v>922.63694399999997</v>
      </c>
      <c r="AY6" s="3">
        <v>1262.320604</v>
      </c>
      <c r="AZ6" s="3">
        <v>633.23031900000001</v>
      </c>
      <c r="BA6" s="3">
        <v>443.68273049999999</v>
      </c>
      <c r="BB6" s="3">
        <v>503.72611649999999</v>
      </c>
      <c r="BC6" s="3">
        <v>152.09597550000001</v>
      </c>
      <c r="BD6" s="3">
        <v>1084.815206</v>
      </c>
      <c r="BE6" s="48" t="s">
        <v>314</v>
      </c>
      <c r="BF6" s="49" t="s">
        <v>332</v>
      </c>
      <c r="BG6" s="3">
        <v>0</v>
      </c>
      <c r="BH6" s="3">
        <v>0.108</v>
      </c>
      <c r="BI6" s="3">
        <v>0.33550000000000002</v>
      </c>
      <c r="BJ6" s="3">
        <v>0</v>
      </c>
      <c r="BK6" s="3">
        <v>0.27</v>
      </c>
      <c r="BL6" s="3">
        <v>0.255</v>
      </c>
      <c r="BM6" s="3">
        <v>0</v>
      </c>
      <c r="BN6" s="3">
        <v>0.38800000000000001</v>
      </c>
      <c r="BO6" s="3">
        <v>0.56799999999999995</v>
      </c>
      <c r="BP6" s="3">
        <v>0</v>
      </c>
      <c r="BQ6" s="3">
        <v>0.309</v>
      </c>
      <c r="BR6" s="3">
        <v>0.58399999999999996</v>
      </c>
      <c r="BS6" s="3">
        <v>0</v>
      </c>
      <c r="BT6" s="3">
        <v>0.17100000000000001</v>
      </c>
      <c r="BU6" s="3">
        <v>0.44041666699999998</v>
      </c>
      <c r="BV6" s="3">
        <v>0</v>
      </c>
      <c r="BW6" s="3">
        <v>0.26400000000000001</v>
      </c>
      <c r="BX6" s="3">
        <v>0.48</v>
      </c>
      <c r="BY6" s="3">
        <v>0</v>
      </c>
      <c r="BZ6" s="3">
        <v>0.152</v>
      </c>
      <c r="CA6" s="3">
        <v>0.47099999999999997</v>
      </c>
      <c r="CB6" s="3">
        <v>0</v>
      </c>
      <c r="CC6" s="3">
        <v>0.26600000000000001</v>
      </c>
      <c r="CD6" s="3">
        <v>0.54533333299999998</v>
      </c>
      <c r="CE6" s="3">
        <v>0</v>
      </c>
      <c r="CF6" s="3">
        <v>0.27800000000000002</v>
      </c>
      <c r="CG6" s="3">
        <v>0.55249999999999999</v>
      </c>
      <c r="CH6" s="3">
        <v>0</v>
      </c>
      <c r="CI6" s="3">
        <v>0.28000000000000003</v>
      </c>
      <c r="CJ6" s="3">
        <v>0.79100000000000004</v>
      </c>
      <c r="CK6" s="3">
        <v>0</v>
      </c>
      <c r="CL6" s="3">
        <v>0.39500000000000002</v>
      </c>
      <c r="CM6" s="3">
        <v>0.1</v>
      </c>
      <c r="CN6" s="3">
        <v>0</v>
      </c>
      <c r="CO6" s="3">
        <v>0.249</v>
      </c>
      <c r="CP6" s="3">
        <v>0.37333333299999999</v>
      </c>
      <c r="CQ6" s="3">
        <v>0</v>
      </c>
      <c r="CR6" s="3">
        <v>0.3</v>
      </c>
      <c r="CS6" s="3">
        <v>0.60599999999999998</v>
      </c>
      <c r="CT6" s="48" t="s">
        <v>314</v>
      </c>
      <c r="CU6" s="49" t="s">
        <v>332</v>
      </c>
      <c r="CV6" s="3">
        <v>-1.173</v>
      </c>
      <c r="CW6" s="3">
        <v>-0.95699999999999996</v>
      </c>
      <c r="CX6" s="3">
        <v>-1.125</v>
      </c>
      <c r="CY6" s="3">
        <v>-1.4219999999999999</v>
      </c>
      <c r="CZ6" s="3">
        <v>-1.165</v>
      </c>
      <c r="DA6" s="3">
        <v>-1.6779999999999999</v>
      </c>
      <c r="DB6" s="3">
        <v>-6.76</v>
      </c>
      <c r="DC6" s="3">
        <v>-0.57499999999999996</v>
      </c>
      <c r="DD6" s="3">
        <v>-1.296</v>
      </c>
      <c r="DE6" s="3">
        <v>-1.3069999999999999</v>
      </c>
      <c r="DF6" s="3">
        <v>-1.403</v>
      </c>
      <c r="DG6" s="3">
        <v>-1.069</v>
      </c>
      <c r="DH6" s="3">
        <v>-1.593</v>
      </c>
      <c r="DJ6" s="53" t="s">
        <v>316</v>
      </c>
      <c r="DK6" s="3">
        <v>88</v>
      </c>
      <c r="DL6" s="3" t="s">
        <v>685</v>
      </c>
    </row>
    <row r="7" spans="1:116" x14ac:dyDescent="0.3">
      <c r="A7" s="48" t="s">
        <v>314</v>
      </c>
      <c r="B7" s="49" t="s">
        <v>333</v>
      </c>
      <c r="C7" s="3">
        <v>34.196767999999999</v>
      </c>
      <c r="D7" s="3">
        <v>23.888687999999998</v>
      </c>
      <c r="E7" s="3">
        <v>23.888687999999998</v>
      </c>
      <c r="F7" s="3">
        <v>28.064723999999998</v>
      </c>
      <c r="G7" s="3">
        <v>28.064723999999998</v>
      </c>
      <c r="H7" s="3">
        <v>23.888687999999998</v>
      </c>
      <c r="I7" s="48" t="s">
        <v>314</v>
      </c>
      <c r="J7" s="49" t="s">
        <v>333</v>
      </c>
      <c r="K7" s="3">
        <v>31444.5</v>
      </c>
      <c r="L7" s="48" t="s">
        <v>314</v>
      </c>
      <c r="M7" s="49" t="s">
        <v>333</v>
      </c>
      <c r="N7" s="3">
        <v>280.9602878</v>
      </c>
      <c r="O7" s="3">
        <v>3337.0133209999999</v>
      </c>
      <c r="P7" s="3">
        <v>1514.9710299999999</v>
      </c>
      <c r="Q7" s="3">
        <v>1112.3861320000001</v>
      </c>
      <c r="R7" s="3">
        <v>1593.0068719999999</v>
      </c>
      <c r="S7" s="3">
        <v>3275.2466429999999</v>
      </c>
      <c r="T7" s="3">
        <v>122.4234622</v>
      </c>
      <c r="U7" s="3">
        <v>1358.148447</v>
      </c>
      <c r="V7" s="3">
        <v>305.51193230000001</v>
      </c>
      <c r="W7" s="3">
        <v>1542.5027</v>
      </c>
      <c r="X7" s="3">
        <v>275.55321850000001</v>
      </c>
      <c r="Y7" s="3">
        <v>246.7812696</v>
      </c>
      <c r="Z7" s="3">
        <v>633.90471539999999</v>
      </c>
      <c r="AA7" s="48" t="s">
        <v>314</v>
      </c>
      <c r="AB7" s="49" t="s">
        <v>333</v>
      </c>
      <c r="AC7" s="3">
        <v>2268.4951030000002</v>
      </c>
      <c r="AD7" s="3">
        <v>2146.3966730000002</v>
      </c>
      <c r="AE7" s="3">
        <v>1277.3726569999999</v>
      </c>
      <c r="AF7" s="3">
        <v>387.81632839999997</v>
      </c>
      <c r="AG7" s="3">
        <v>3691.5363470000002</v>
      </c>
      <c r="AH7" s="3">
        <v>2928.6487109999998</v>
      </c>
      <c r="AI7" s="3">
        <v>2530.430374</v>
      </c>
      <c r="AJ7" s="3">
        <v>2879.8669420000001</v>
      </c>
      <c r="AK7" s="3">
        <v>1205.5156159999999</v>
      </c>
      <c r="AL7" s="3">
        <v>1750.951157</v>
      </c>
      <c r="AM7" s="3">
        <v>3074.1001540000002</v>
      </c>
      <c r="AN7" s="3">
        <v>360.57718990000001</v>
      </c>
      <c r="AO7" s="3">
        <v>1175.646561</v>
      </c>
      <c r="AP7" s="48" t="s">
        <v>314</v>
      </c>
      <c r="AQ7" s="49" t="s">
        <v>333</v>
      </c>
      <c r="AR7" s="3">
        <v>838.02624719999994</v>
      </c>
      <c r="AS7" s="3">
        <v>1253.304451</v>
      </c>
      <c r="AT7" s="3">
        <v>1087.4860639999999</v>
      </c>
      <c r="AU7" s="3">
        <v>1047.1896839999999</v>
      </c>
      <c r="AV7" s="3">
        <v>404.12856240000002</v>
      </c>
      <c r="AW7" s="3">
        <v>1798.2044820000001</v>
      </c>
      <c r="AX7" s="3">
        <v>948.26574800000003</v>
      </c>
      <c r="AY7" s="3">
        <v>1339.15751</v>
      </c>
      <c r="AZ7" s="3">
        <v>671.77477320000003</v>
      </c>
      <c r="BA7" s="3">
        <v>470.68950539999997</v>
      </c>
      <c r="BB7" s="3">
        <v>534.38770620000003</v>
      </c>
      <c r="BC7" s="3">
        <v>161.35399140000001</v>
      </c>
      <c r="BD7" s="3">
        <v>1150.8474349999999</v>
      </c>
      <c r="BE7" s="48" t="s">
        <v>314</v>
      </c>
      <c r="BF7" s="49" t="s">
        <v>333</v>
      </c>
      <c r="BG7" s="3">
        <v>0</v>
      </c>
      <c r="BH7" s="3">
        <v>0.105</v>
      </c>
      <c r="BI7" s="3">
        <v>0.309</v>
      </c>
      <c r="BJ7" s="3">
        <v>0</v>
      </c>
      <c r="BK7" s="3">
        <v>0.255</v>
      </c>
      <c r="BL7" s="3">
        <v>0.27900000000000003</v>
      </c>
      <c r="BM7" s="3">
        <v>0</v>
      </c>
      <c r="BN7" s="3">
        <v>0.4</v>
      </c>
      <c r="BO7" s="3">
        <v>0.59850000000000003</v>
      </c>
      <c r="BP7" s="3">
        <v>0</v>
      </c>
      <c r="BQ7" s="3">
        <v>0.32800000000000001</v>
      </c>
      <c r="BR7" s="3">
        <v>0.55900000000000005</v>
      </c>
      <c r="BS7" s="3">
        <v>0</v>
      </c>
      <c r="BT7" s="3">
        <v>0.16400000000000001</v>
      </c>
      <c r="BU7" s="3">
        <v>0.418333334</v>
      </c>
      <c r="BV7" s="3">
        <v>0</v>
      </c>
      <c r="BW7" s="3">
        <v>0.22</v>
      </c>
      <c r="BX7" s="3">
        <v>0.42499999999999999</v>
      </c>
      <c r="BY7" s="3">
        <v>0</v>
      </c>
      <c r="BZ7" s="3">
        <v>0.121</v>
      </c>
      <c r="CA7" s="3">
        <v>0.41</v>
      </c>
      <c r="CB7" s="3">
        <v>0</v>
      </c>
      <c r="CC7" s="3">
        <v>0.249</v>
      </c>
      <c r="CD7" s="3">
        <v>0.52766666699999998</v>
      </c>
      <c r="CE7" s="3">
        <v>0</v>
      </c>
      <c r="CF7" s="3">
        <v>0.26400000000000001</v>
      </c>
      <c r="CG7" s="3">
        <v>0.52549999999999997</v>
      </c>
      <c r="CH7" s="3">
        <v>0</v>
      </c>
      <c r="CI7" s="3">
        <v>0.26600000000000001</v>
      </c>
      <c r="CJ7" s="3">
        <v>0.70833333300000001</v>
      </c>
      <c r="CK7" s="3">
        <v>0</v>
      </c>
      <c r="CL7" s="3">
        <v>0.35099999999999998</v>
      </c>
      <c r="CM7" s="3">
        <v>0.1</v>
      </c>
      <c r="CN7" s="3">
        <v>0</v>
      </c>
      <c r="CO7" s="3">
        <v>0.22500000000000001</v>
      </c>
      <c r="CP7" s="3">
        <v>0.33233333300000001</v>
      </c>
      <c r="CQ7" s="3">
        <v>0</v>
      </c>
      <c r="CR7" s="3">
        <v>0.26400000000000001</v>
      </c>
      <c r="CS7" s="3">
        <v>0.504</v>
      </c>
      <c r="CT7" s="48" t="s">
        <v>314</v>
      </c>
      <c r="CU7" s="49" t="s">
        <v>333</v>
      </c>
      <c r="CV7" s="3">
        <v>-1.236</v>
      </c>
      <c r="CW7" s="3">
        <v>-1.153</v>
      </c>
      <c r="CX7" s="3">
        <v>-1.357</v>
      </c>
      <c r="CY7" s="3">
        <v>-1.2869999999999999</v>
      </c>
      <c r="CZ7" s="3">
        <v>-1.1639999999999999</v>
      </c>
      <c r="DA7" s="3">
        <v>-1.792</v>
      </c>
      <c r="DB7" s="3">
        <v>-7.0030000000000001</v>
      </c>
      <c r="DC7" s="3">
        <v>-0.65200000000000002</v>
      </c>
      <c r="DD7" s="3">
        <v>-1.409</v>
      </c>
      <c r="DE7" s="3">
        <v>-1.417</v>
      </c>
      <c r="DF7" s="3">
        <v>-1.5309999999999999</v>
      </c>
      <c r="DG7" s="3">
        <v>-1.1259999999999999</v>
      </c>
      <c r="DH7" s="3">
        <v>-1.575</v>
      </c>
      <c r="DJ7" s="53" t="s">
        <v>317</v>
      </c>
      <c r="DK7" s="3">
        <v>92</v>
      </c>
      <c r="DL7" s="3" t="s">
        <v>686</v>
      </c>
    </row>
    <row r="8" spans="1:116" x14ac:dyDescent="0.3">
      <c r="A8" s="48" t="s">
        <v>314</v>
      </c>
      <c r="B8" s="49" t="s">
        <v>334</v>
      </c>
      <c r="C8" s="3">
        <v>34.411360000000002</v>
      </c>
      <c r="D8" s="3">
        <v>32.855567999999998</v>
      </c>
      <c r="E8" s="3">
        <v>32.855567999999998</v>
      </c>
      <c r="F8" s="3">
        <v>34.232601000000003</v>
      </c>
      <c r="G8" s="3">
        <v>35.363672999999999</v>
      </c>
      <c r="H8" s="3">
        <v>32.855567999999998</v>
      </c>
      <c r="I8" s="48" t="s">
        <v>314</v>
      </c>
      <c r="J8" s="49" t="s">
        <v>334</v>
      </c>
      <c r="K8" s="3">
        <v>32411</v>
      </c>
      <c r="L8" s="48" t="s">
        <v>314</v>
      </c>
      <c r="M8" s="49" t="s">
        <v>334</v>
      </c>
      <c r="N8" s="3">
        <v>1136.950315</v>
      </c>
      <c r="O8" s="3">
        <v>851.73922589999995</v>
      </c>
      <c r="P8" s="3">
        <v>1931.8311329999999</v>
      </c>
      <c r="Q8" s="3">
        <v>1419.089074</v>
      </c>
      <c r="R8" s="3">
        <v>2780.43406</v>
      </c>
      <c r="S8" s="3">
        <v>287.4952035</v>
      </c>
      <c r="T8" s="3">
        <v>531.00711209999997</v>
      </c>
      <c r="U8" s="3">
        <v>2458.1600920000001</v>
      </c>
      <c r="V8" s="3">
        <v>978.40012909999996</v>
      </c>
      <c r="W8" s="3">
        <v>310.97700350000002</v>
      </c>
      <c r="X8" s="3">
        <v>1168.228106</v>
      </c>
      <c r="Y8" s="3">
        <v>339.5225825</v>
      </c>
      <c r="Z8" s="3">
        <v>798.11459939999997</v>
      </c>
      <c r="AA8" s="48" t="s">
        <v>314</v>
      </c>
      <c r="AB8" s="49" t="s">
        <v>334</v>
      </c>
      <c r="AC8" s="3">
        <v>2278.4011949999999</v>
      </c>
      <c r="AD8" s="3">
        <v>2155.7695840000001</v>
      </c>
      <c r="AE8" s="3">
        <v>1282.9507040000001</v>
      </c>
      <c r="AF8" s="3">
        <v>389.50984949999997</v>
      </c>
      <c r="AG8" s="3">
        <v>3707.6565930000002</v>
      </c>
      <c r="AH8" s="3">
        <v>2941.4375700000001</v>
      </c>
      <c r="AI8" s="3">
        <v>2624.1500179999998</v>
      </c>
      <c r="AJ8" s="3">
        <v>2892.4427799999999</v>
      </c>
      <c r="AK8" s="3">
        <v>1210.7798769999999</v>
      </c>
      <c r="AL8" s="3">
        <v>1758.5972320000001</v>
      </c>
      <c r="AM8" s="3">
        <v>3087.5241729999998</v>
      </c>
      <c r="AN8" s="3">
        <v>362.15176279999997</v>
      </c>
      <c r="AO8" s="3">
        <v>1180.780389</v>
      </c>
      <c r="AP8" s="48" t="s">
        <v>314</v>
      </c>
      <c r="AQ8" s="49" t="s">
        <v>334</v>
      </c>
      <c r="AR8" s="3">
        <v>1032.649829</v>
      </c>
      <c r="AS8" s="3">
        <v>1544.3724239999999</v>
      </c>
      <c r="AT8" s="3">
        <v>1340.0443029999999</v>
      </c>
      <c r="AU8" s="3">
        <v>1290.3894740000001</v>
      </c>
      <c r="AV8" s="3">
        <v>497.9835564</v>
      </c>
      <c r="AW8" s="3">
        <v>2215.8202769999998</v>
      </c>
      <c r="AX8" s="3">
        <v>1143.044658</v>
      </c>
      <c r="AY8" s="3">
        <v>1650.164035</v>
      </c>
      <c r="AZ8" s="3">
        <v>827.78804019999995</v>
      </c>
      <c r="BA8" s="3">
        <v>580.00264189999996</v>
      </c>
      <c r="BB8" s="3">
        <v>658.4941407</v>
      </c>
      <c r="BC8" s="3">
        <v>198.8269129</v>
      </c>
      <c r="BD8" s="3">
        <v>1418.1207469999999</v>
      </c>
      <c r="BE8" s="48" t="s">
        <v>314</v>
      </c>
      <c r="BF8" s="49" t="s">
        <v>334</v>
      </c>
      <c r="BG8" s="3">
        <v>0</v>
      </c>
      <c r="BH8" s="3">
        <v>0.108</v>
      </c>
      <c r="BI8" s="3">
        <v>0.27900000000000003</v>
      </c>
      <c r="BJ8" s="3">
        <v>0</v>
      </c>
      <c r="BK8" s="3">
        <v>0.23699999999999999</v>
      </c>
      <c r="BL8" s="3">
        <v>0.28799999999999998</v>
      </c>
      <c r="BM8" s="3">
        <v>0</v>
      </c>
      <c r="BN8" s="3">
        <v>0.39100000000000001</v>
      </c>
      <c r="BO8" s="3">
        <v>0.59950000000000003</v>
      </c>
      <c r="BP8" s="3">
        <v>0</v>
      </c>
      <c r="BQ8" s="3">
        <v>0.307</v>
      </c>
      <c r="BR8" s="3">
        <v>0.52333333299999996</v>
      </c>
      <c r="BS8" s="3">
        <v>0</v>
      </c>
      <c r="BT8" s="3">
        <v>0.16400000000000001</v>
      </c>
      <c r="BU8" s="3">
        <v>0.38750000000000001</v>
      </c>
      <c r="BV8" s="3">
        <v>0</v>
      </c>
      <c r="BW8" s="3">
        <v>0.185</v>
      </c>
      <c r="BX8" s="3">
        <v>0.36199999999999999</v>
      </c>
      <c r="BY8" s="3">
        <v>0</v>
      </c>
      <c r="BZ8" s="3">
        <v>9.1999999999999998E-2</v>
      </c>
      <c r="CA8" s="3">
        <v>0.33</v>
      </c>
      <c r="CB8" s="3">
        <v>0</v>
      </c>
      <c r="CC8" s="3">
        <v>0.23300000000000001</v>
      </c>
      <c r="CD8" s="3">
        <v>0.496</v>
      </c>
      <c r="CE8" s="3">
        <v>0</v>
      </c>
      <c r="CF8" s="3">
        <v>0.253</v>
      </c>
      <c r="CG8" s="3">
        <v>0.48499999999999999</v>
      </c>
      <c r="CH8" s="3">
        <v>0</v>
      </c>
      <c r="CI8" s="3">
        <v>0.255</v>
      </c>
      <c r="CJ8" s="3">
        <v>0.59833333300000002</v>
      </c>
      <c r="CK8" s="3">
        <v>0</v>
      </c>
      <c r="CL8" s="3">
        <v>0.30499999999999999</v>
      </c>
      <c r="CM8" s="3">
        <v>0.1</v>
      </c>
      <c r="CN8" s="3">
        <v>0</v>
      </c>
      <c r="CO8" s="3">
        <v>0.19600000000000001</v>
      </c>
      <c r="CP8" s="3">
        <v>0.28766666699999999</v>
      </c>
      <c r="CQ8" s="3">
        <v>0</v>
      </c>
      <c r="CR8" s="3">
        <v>0.22</v>
      </c>
      <c r="CS8" s="3">
        <v>0.39800000000000002</v>
      </c>
      <c r="CT8" s="48" t="s">
        <v>314</v>
      </c>
      <c r="CU8" s="49" t="s">
        <v>334</v>
      </c>
      <c r="CV8" s="3">
        <v>-1.3120000000000001</v>
      </c>
      <c r="CW8" s="3">
        <v>-1.367</v>
      </c>
      <c r="CX8" s="3">
        <v>-1.464</v>
      </c>
      <c r="CY8" s="3">
        <v>-1.2929999999999999</v>
      </c>
      <c r="CZ8" s="3">
        <v>-1.1919999999999999</v>
      </c>
      <c r="DA8" s="3">
        <v>-1.85</v>
      </c>
      <c r="DB8" s="3">
        <v>-7.2549999999999999</v>
      </c>
      <c r="DC8" s="3">
        <v>-0.71199999999999997</v>
      </c>
      <c r="DD8" s="3">
        <v>-1.4650000000000001</v>
      </c>
      <c r="DE8" s="3">
        <v>-1.472</v>
      </c>
      <c r="DF8" s="3">
        <v>-1.569</v>
      </c>
      <c r="DG8" s="3">
        <v>-1.202</v>
      </c>
      <c r="DH8" s="3">
        <v>-1.575</v>
      </c>
      <c r="DJ8" s="53" t="s">
        <v>318</v>
      </c>
      <c r="DK8" s="3">
        <v>92</v>
      </c>
      <c r="DL8" s="3" t="s">
        <v>687</v>
      </c>
    </row>
    <row r="9" spans="1:116" x14ac:dyDescent="0.3">
      <c r="A9" s="48" t="s">
        <v>314</v>
      </c>
      <c r="B9" s="49" t="s">
        <v>335</v>
      </c>
      <c r="C9" s="3">
        <v>30.418416000000001</v>
      </c>
      <c r="D9" s="3">
        <v>39.906447999999997</v>
      </c>
      <c r="E9" s="3">
        <v>39.906447999999997</v>
      </c>
      <c r="F9" s="3">
        <v>44.049952500000003</v>
      </c>
      <c r="G9" s="3">
        <v>43.263503999999998</v>
      </c>
      <c r="H9" s="3">
        <v>39.906447999999997</v>
      </c>
      <c r="I9" s="48" t="s">
        <v>314</v>
      </c>
      <c r="J9" s="49" t="s">
        <v>335</v>
      </c>
      <c r="K9" s="3">
        <v>37323.5</v>
      </c>
      <c r="L9" s="48" t="s">
        <v>314</v>
      </c>
      <c r="M9" s="49" t="s">
        <v>335</v>
      </c>
      <c r="N9" s="3">
        <v>3227.0930050000002</v>
      </c>
      <c r="O9" s="3">
        <v>2962.723105</v>
      </c>
      <c r="P9" s="3">
        <v>647.44904580000002</v>
      </c>
      <c r="Q9" s="3">
        <v>481.21026289999998</v>
      </c>
      <c r="R9" s="3">
        <v>5666.4596330000004</v>
      </c>
      <c r="S9" s="3">
        <v>2250.5239150000002</v>
      </c>
      <c r="T9" s="3">
        <v>1732.7775489999999</v>
      </c>
      <c r="U9" s="3">
        <v>5345.054333</v>
      </c>
      <c r="V9" s="3">
        <v>2994.602719</v>
      </c>
      <c r="W9" s="3">
        <v>1630.6457129999999</v>
      </c>
      <c r="X9" s="3">
        <v>3145.475539</v>
      </c>
      <c r="Y9" s="3">
        <v>475.5541953</v>
      </c>
      <c r="Z9" s="3">
        <v>97.585625379999996</v>
      </c>
      <c r="AA9" s="48" t="s">
        <v>314</v>
      </c>
      <c r="AB9" s="49" t="s">
        <v>335</v>
      </c>
      <c r="AC9" s="3">
        <v>2689.504019</v>
      </c>
      <c r="AD9" s="3">
        <v>2544.7453999999998</v>
      </c>
      <c r="AE9" s="3">
        <v>1514.439635</v>
      </c>
      <c r="AF9" s="3">
        <v>459.7909745</v>
      </c>
      <c r="AG9" s="3">
        <v>4376.646804</v>
      </c>
      <c r="AH9" s="3">
        <v>3472.1752179999999</v>
      </c>
      <c r="AI9" s="3">
        <v>3034.1734580000002</v>
      </c>
      <c r="AJ9" s="3">
        <v>3414.3400649999999</v>
      </c>
      <c r="AK9" s="3">
        <v>1429.2466810000001</v>
      </c>
      <c r="AL9" s="3">
        <v>2075.909341</v>
      </c>
      <c r="AM9" s="3">
        <v>3644.6209250000002</v>
      </c>
      <c r="AN9" s="3">
        <v>427.49653740000002</v>
      </c>
      <c r="AO9" s="3">
        <v>1393.8342419999999</v>
      </c>
      <c r="AP9" s="48" t="s">
        <v>314</v>
      </c>
      <c r="AQ9" s="49" t="s">
        <v>335</v>
      </c>
      <c r="AR9" s="3">
        <v>1188.3486949999999</v>
      </c>
      <c r="AS9" s="3">
        <v>1777.226803</v>
      </c>
      <c r="AT9" s="3">
        <v>1542.090895</v>
      </c>
      <c r="AU9" s="3">
        <v>1484.949306</v>
      </c>
      <c r="AV9" s="3">
        <v>573.0675516</v>
      </c>
      <c r="AW9" s="3">
        <v>2549.9129130000001</v>
      </c>
      <c r="AX9" s="3">
        <v>1335.2606880000001</v>
      </c>
      <c r="AY9" s="3">
        <v>1898.9692560000001</v>
      </c>
      <c r="AZ9" s="3">
        <v>952.59865379999997</v>
      </c>
      <c r="BA9" s="3">
        <v>667.45315110000001</v>
      </c>
      <c r="BB9" s="3">
        <v>757.77928829999996</v>
      </c>
      <c r="BC9" s="3">
        <v>228.80525009999999</v>
      </c>
      <c r="BD9" s="3">
        <v>1631.939396</v>
      </c>
      <c r="BE9" s="48" t="s">
        <v>314</v>
      </c>
      <c r="BF9" s="49" t="s">
        <v>335</v>
      </c>
      <c r="BG9" s="3">
        <v>0</v>
      </c>
      <c r="BH9" s="3">
        <v>0.113</v>
      </c>
      <c r="BI9" s="3">
        <v>0.24149999999999999</v>
      </c>
      <c r="BJ9" s="3">
        <v>0</v>
      </c>
      <c r="BK9" s="3">
        <v>0.21099999999999999</v>
      </c>
      <c r="BL9" s="3">
        <v>0.29449999999999998</v>
      </c>
      <c r="BM9" s="3">
        <v>0</v>
      </c>
      <c r="BN9" s="3">
        <v>0.36399999999999999</v>
      </c>
      <c r="BO9" s="3">
        <v>0.56699999999999995</v>
      </c>
      <c r="BP9" s="3">
        <v>0</v>
      </c>
      <c r="BQ9" s="3">
        <v>0.30399999999999999</v>
      </c>
      <c r="BR9" s="3">
        <v>0.48166666699999999</v>
      </c>
      <c r="BS9" s="3">
        <v>0</v>
      </c>
      <c r="BT9" s="3">
        <v>0.157</v>
      </c>
      <c r="BU9" s="3">
        <v>0.35391666700000002</v>
      </c>
      <c r="BV9" s="3">
        <v>0</v>
      </c>
      <c r="BW9" s="3">
        <v>0.14099999999999999</v>
      </c>
      <c r="BX9" s="3">
        <v>0.28699999999999998</v>
      </c>
      <c r="BY9" s="3">
        <v>0</v>
      </c>
      <c r="BZ9" s="3">
        <v>6.7000000000000004E-2</v>
      </c>
      <c r="CA9" s="3">
        <v>0.2505</v>
      </c>
      <c r="CB9" s="3">
        <v>0</v>
      </c>
      <c r="CC9" s="3">
        <v>0.216</v>
      </c>
      <c r="CD9" s="3">
        <v>0.46633333300000002</v>
      </c>
      <c r="CE9" s="3">
        <v>0</v>
      </c>
      <c r="CF9" s="3">
        <v>0.23400000000000001</v>
      </c>
      <c r="CG9" s="3">
        <v>0.439</v>
      </c>
      <c r="CH9" s="3">
        <v>0</v>
      </c>
      <c r="CI9" s="3">
        <v>0.23599999999999999</v>
      </c>
      <c r="CJ9" s="3">
        <v>0.45666666700000003</v>
      </c>
      <c r="CK9" s="3">
        <v>0</v>
      </c>
      <c r="CL9" s="3">
        <v>0.23599999999999999</v>
      </c>
      <c r="CM9" s="3">
        <v>0.1</v>
      </c>
      <c r="CN9" s="3">
        <v>0</v>
      </c>
      <c r="CO9" s="3">
        <v>0.16300000000000001</v>
      </c>
      <c r="CP9" s="3">
        <v>0.23</v>
      </c>
      <c r="CQ9" s="3">
        <v>0</v>
      </c>
      <c r="CR9" s="3">
        <v>0.16800000000000001</v>
      </c>
      <c r="CS9" s="3">
        <v>0.28499999999999998</v>
      </c>
      <c r="CT9" s="48" t="s">
        <v>314</v>
      </c>
      <c r="CU9" s="49" t="s">
        <v>335</v>
      </c>
      <c r="CV9" s="3">
        <v>-1.36</v>
      </c>
      <c r="CW9" s="3">
        <v>-1.617</v>
      </c>
      <c r="CX9" s="3">
        <v>-1.2270000000000001</v>
      </c>
      <c r="CY9" s="3">
        <v>-1.3240000000000001</v>
      </c>
      <c r="CZ9" s="3">
        <v>-1.238</v>
      </c>
      <c r="DA9" s="3">
        <v>-1.9</v>
      </c>
      <c r="DB9" s="3">
        <v>-7.5149999999999997</v>
      </c>
      <c r="DC9" s="3">
        <v>-0.751</v>
      </c>
      <c r="DD9" s="3">
        <v>-1.466</v>
      </c>
      <c r="DE9" s="3">
        <v>-1.4830000000000001</v>
      </c>
      <c r="DF9" s="3">
        <v>-1.613</v>
      </c>
      <c r="DG9" s="3">
        <v>-1.429</v>
      </c>
      <c r="DH9" s="3">
        <v>-1.548</v>
      </c>
      <c r="DJ9" s="53" t="s">
        <v>319</v>
      </c>
      <c r="DK9" s="3">
        <v>91</v>
      </c>
      <c r="DL9" s="3" t="s">
        <v>688</v>
      </c>
    </row>
    <row r="10" spans="1:116" x14ac:dyDescent="0.3">
      <c r="A10" s="48" t="s">
        <v>314</v>
      </c>
      <c r="B10" s="49" t="s">
        <v>336</v>
      </c>
      <c r="C10" s="3">
        <v>33.200448000000002</v>
      </c>
      <c r="D10" s="3">
        <v>43.293936000000002</v>
      </c>
      <c r="E10" s="3">
        <v>43.293936000000002</v>
      </c>
      <c r="F10" s="3">
        <v>45.896780999999997</v>
      </c>
      <c r="G10" s="3">
        <v>45.896780999999997</v>
      </c>
      <c r="H10" s="3">
        <v>43.293936000000002</v>
      </c>
      <c r="I10" s="48" t="s">
        <v>314</v>
      </c>
      <c r="J10" s="49" t="s">
        <v>336</v>
      </c>
      <c r="K10" s="3">
        <v>45237.5</v>
      </c>
      <c r="L10" s="48" t="s">
        <v>314</v>
      </c>
      <c r="M10" s="49" t="s">
        <v>336</v>
      </c>
      <c r="N10" s="3">
        <v>7905.2571399999997</v>
      </c>
      <c r="O10" s="3">
        <v>8622.984735</v>
      </c>
      <c r="P10" s="3">
        <v>4195.2756060000002</v>
      </c>
      <c r="Q10" s="3">
        <v>3144.454988</v>
      </c>
      <c r="R10" s="3">
        <v>10190.14912</v>
      </c>
      <c r="S10" s="3">
        <v>8359.0343969999994</v>
      </c>
      <c r="T10" s="3">
        <v>6067.3534529999997</v>
      </c>
      <c r="U10" s="3">
        <v>12260.27745</v>
      </c>
      <c r="V10" s="3">
        <v>8241.520767</v>
      </c>
      <c r="W10" s="3">
        <v>5889.3836670000001</v>
      </c>
      <c r="X10" s="3">
        <v>7836.4547080000002</v>
      </c>
      <c r="Y10" s="3">
        <v>515.23722529999998</v>
      </c>
      <c r="Z10" s="3">
        <v>1864.734598</v>
      </c>
      <c r="AA10" s="48" t="s">
        <v>314</v>
      </c>
      <c r="AB10" s="49" t="s">
        <v>336</v>
      </c>
      <c r="AC10" s="3">
        <v>2768.7527559999999</v>
      </c>
      <c r="AD10" s="3">
        <v>2619.7286899999999</v>
      </c>
      <c r="AE10" s="3">
        <v>1559.0640069999999</v>
      </c>
      <c r="AF10" s="3">
        <v>473.33914320000002</v>
      </c>
      <c r="AG10" s="3">
        <v>4505.6087719999996</v>
      </c>
      <c r="AH10" s="3">
        <v>3574.4860899999999</v>
      </c>
      <c r="AI10" s="3">
        <v>3163.0379680000001</v>
      </c>
      <c r="AJ10" s="3">
        <v>3514.94677</v>
      </c>
      <c r="AK10" s="3">
        <v>1471.3607629999999</v>
      </c>
      <c r="AL10" s="3">
        <v>2137.0779400000001</v>
      </c>
      <c r="AM10" s="3">
        <v>3752.0130709999999</v>
      </c>
      <c r="AN10" s="3">
        <v>440.0931205</v>
      </c>
      <c r="AO10" s="3">
        <v>1434.9048640000001</v>
      </c>
      <c r="AP10" s="48" t="s">
        <v>314</v>
      </c>
      <c r="AQ10" s="49" t="s">
        <v>336</v>
      </c>
      <c r="AR10" s="3">
        <v>1250.1703030000001</v>
      </c>
      <c r="AS10" s="3">
        <v>1869.683689</v>
      </c>
      <c r="AT10" s="3">
        <v>1622.315276</v>
      </c>
      <c r="AU10" s="3">
        <v>1562.201004</v>
      </c>
      <c r="AV10" s="3">
        <v>602.88031439999997</v>
      </c>
      <c r="AW10" s="3">
        <v>2682.5673419999998</v>
      </c>
      <c r="AX10" s="3">
        <v>1360.889492</v>
      </c>
      <c r="AY10" s="3">
        <v>1997.759564</v>
      </c>
      <c r="AZ10" s="3">
        <v>1002.155809</v>
      </c>
      <c r="BA10" s="3">
        <v>702.17614739999999</v>
      </c>
      <c r="BB10" s="3">
        <v>797.20133220000002</v>
      </c>
      <c r="BC10" s="3">
        <v>240.70841340000001</v>
      </c>
      <c r="BD10" s="3">
        <v>1716.8379769999999</v>
      </c>
      <c r="BE10" s="48" t="s">
        <v>314</v>
      </c>
      <c r="BF10" s="49" t="s">
        <v>336</v>
      </c>
      <c r="BG10" s="3">
        <v>0</v>
      </c>
      <c r="BH10" s="3">
        <v>0.111</v>
      </c>
      <c r="BI10" s="3">
        <v>0.187</v>
      </c>
      <c r="BJ10" s="3">
        <v>0</v>
      </c>
      <c r="BK10" s="3">
        <v>0.17899999999999999</v>
      </c>
      <c r="BL10" s="3">
        <v>0.27850000000000003</v>
      </c>
      <c r="BM10" s="3">
        <v>0</v>
      </c>
      <c r="BN10" s="3">
        <v>0.33400000000000002</v>
      </c>
      <c r="BO10" s="3">
        <v>0.51500000000000001</v>
      </c>
      <c r="BP10" s="3">
        <v>0</v>
      </c>
      <c r="BQ10" s="3">
        <v>0.28399999999999997</v>
      </c>
      <c r="BR10" s="3">
        <v>0.426666667</v>
      </c>
      <c r="BS10" s="3">
        <v>0</v>
      </c>
      <c r="BT10" s="3">
        <v>0.14499999999999999</v>
      </c>
      <c r="BU10" s="3">
        <v>0.3105</v>
      </c>
      <c r="BV10" s="3">
        <v>0</v>
      </c>
      <c r="BW10" s="3">
        <v>0.10100000000000001</v>
      </c>
      <c r="BX10" s="3">
        <v>0.20300000000000001</v>
      </c>
      <c r="BY10" s="3">
        <v>0</v>
      </c>
      <c r="BZ10" s="3">
        <v>4.5999999999999999E-2</v>
      </c>
      <c r="CA10" s="3">
        <v>0.1875</v>
      </c>
      <c r="CB10" s="3">
        <v>0</v>
      </c>
      <c r="CC10" s="3">
        <v>0.19500000000000001</v>
      </c>
      <c r="CD10" s="3">
        <v>0.434</v>
      </c>
      <c r="CE10" s="3">
        <v>0</v>
      </c>
      <c r="CF10" s="3">
        <v>0.20300000000000001</v>
      </c>
      <c r="CG10" s="3">
        <v>0.38250000000000001</v>
      </c>
      <c r="CH10" s="3">
        <v>0</v>
      </c>
      <c r="CI10" s="3">
        <v>0.20399999999999999</v>
      </c>
      <c r="CJ10" s="3">
        <v>0.30333333299999998</v>
      </c>
      <c r="CK10" s="3">
        <v>0</v>
      </c>
      <c r="CL10" s="3">
        <v>0.17699999999999999</v>
      </c>
      <c r="CM10" s="3">
        <v>0.1</v>
      </c>
      <c r="CN10" s="3">
        <v>0</v>
      </c>
      <c r="CO10" s="3">
        <v>0.11799999999999999</v>
      </c>
      <c r="CP10" s="3">
        <v>0.16466666699999999</v>
      </c>
      <c r="CQ10" s="3">
        <v>0</v>
      </c>
      <c r="CR10" s="3">
        <v>0.113</v>
      </c>
      <c r="CS10" s="3">
        <v>0.18099999999999999</v>
      </c>
      <c r="CT10" s="48" t="s">
        <v>314</v>
      </c>
      <c r="CU10" s="49" t="s">
        <v>336</v>
      </c>
      <c r="CV10" s="3">
        <v>-1.2390000000000001</v>
      </c>
      <c r="CW10" s="3">
        <v>-1.89</v>
      </c>
      <c r="CX10" s="3">
        <v>-0.52600000000000002</v>
      </c>
      <c r="CY10" s="3">
        <v>-1.302</v>
      </c>
      <c r="CZ10" s="3">
        <v>-1.2250000000000001</v>
      </c>
      <c r="DA10" s="3">
        <v>-1.8180000000000001</v>
      </c>
      <c r="DB10" s="3">
        <v>-7.7720000000000002</v>
      </c>
      <c r="DC10" s="3">
        <v>-0.76900000000000002</v>
      </c>
      <c r="DD10" s="3">
        <v>-1.57</v>
      </c>
      <c r="DE10" s="3">
        <v>-1.597</v>
      </c>
      <c r="DF10" s="3">
        <v>-1.5049999999999999</v>
      </c>
      <c r="DG10" s="3">
        <v>-1.4970000000000001</v>
      </c>
      <c r="DH10" s="3">
        <v>-1.369</v>
      </c>
    </row>
    <row r="11" spans="1:116" x14ac:dyDescent="0.3">
      <c r="A11" s="48" t="s">
        <v>314</v>
      </c>
      <c r="B11" s="49" t="s">
        <v>337</v>
      </c>
      <c r="C11" s="3">
        <v>41.753472000000002</v>
      </c>
      <c r="D11" s="3">
        <v>40.144032000000003</v>
      </c>
      <c r="E11" s="3">
        <v>40.144032000000003</v>
      </c>
      <c r="F11" s="3">
        <v>44.500613999999999</v>
      </c>
      <c r="G11" s="3">
        <v>44.500613999999999</v>
      </c>
      <c r="H11" s="3">
        <v>40.144032000000003</v>
      </c>
      <c r="I11" s="48" t="s">
        <v>314</v>
      </c>
      <c r="J11" s="49" t="s">
        <v>337</v>
      </c>
      <c r="K11" s="3">
        <v>47840</v>
      </c>
      <c r="L11" s="48" t="s">
        <v>314</v>
      </c>
      <c r="M11" s="49" t="s">
        <v>337</v>
      </c>
      <c r="N11" s="3">
        <v>10111.582539999999</v>
      </c>
      <c r="O11" s="3">
        <v>11935.0816</v>
      </c>
      <c r="P11" s="3">
        <v>6225.7055339999997</v>
      </c>
      <c r="Q11" s="3">
        <v>4810.9046820000003</v>
      </c>
      <c r="R11" s="3">
        <v>12418.18066</v>
      </c>
      <c r="S11" s="3">
        <v>12112.726839999999</v>
      </c>
      <c r="T11" s="3">
        <v>8484.2110379999995</v>
      </c>
      <c r="U11" s="3">
        <v>14999.63472</v>
      </c>
      <c r="V11" s="3">
        <v>10168.2078</v>
      </c>
      <c r="W11" s="3">
        <v>7857.2808070000001</v>
      </c>
      <c r="X11" s="3">
        <v>10668.25491</v>
      </c>
      <c r="Y11" s="3">
        <v>993.62887579999995</v>
      </c>
      <c r="Z11" s="3">
        <v>3145.0134889999999</v>
      </c>
      <c r="AA11" s="48" t="s">
        <v>314</v>
      </c>
      <c r="AB11" s="49" t="s">
        <v>337</v>
      </c>
      <c r="AC11" s="3">
        <v>2669.6918350000001</v>
      </c>
      <c r="AD11" s="3">
        <v>2525.9995779999999</v>
      </c>
      <c r="AE11" s="3">
        <v>1503.2835419999999</v>
      </c>
      <c r="AF11" s="3">
        <v>456.40393230000001</v>
      </c>
      <c r="AG11" s="3">
        <v>4344.4063120000001</v>
      </c>
      <c r="AH11" s="3">
        <v>3446.5974999999999</v>
      </c>
      <c r="AI11" s="3">
        <v>3122.0356240000001</v>
      </c>
      <c r="AJ11" s="3">
        <v>3389.188388</v>
      </c>
      <c r="AK11" s="3">
        <v>1418.7181599999999</v>
      </c>
      <c r="AL11" s="3">
        <v>2060.6171909999998</v>
      </c>
      <c r="AM11" s="3">
        <v>3617.7728889999999</v>
      </c>
      <c r="AN11" s="3">
        <v>424.3473917</v>
      </c>
      <c r="AO11" s="3">
        <v>1383.5665859999999</v>
      </c>
      <c r="AP11" s="48" t="s">
        <v>314</v>
      </c>
      <c r="AQ11" s="49" t="s">
        <v>337</v>
      </c>
      <c r="AR11" s="3">
        <v>1231.8527899999999</v>
      </c>
      <c r="AS11" s="3">
        <v>1842.2890560000001</v>
      </c>
      <c r="AT11" s="3">
        <v>1598.545089</v>
      </c>
      <c r="AU11" s="3">
        <v>1539.311612</v>
      </c>
      <c r="AV11" s="3">
        <v>594.04690319999997</v>
      </c>
      <c r="AW11" s="3">
        <v>2643.262326</v>
      </c>
      <c r="AX11" s="3">
        <v>1327.5720470000001</v>
      </c>
      <c r="AY11" s="3">
        <v>1968.4883609999999</v>
      </c>
      <c r="AZ11" s="3">
        <v>987.47220760000005</v>
      </c>
      <c r="BA11" s="3">
        <v>691.8878522</v>
      </c>
      <c r="BB11" s="3">
        <v>785.52072659999999</v>
      </c>
      <c r="BC11" s="3">
        <v>237.1815502</v>
      </c>
      <c r="BD11" s="3">
        <v>1691.6828419999999</v>
      </c>
      <c r="BE11" s="48" t="s">
        <v>314</v>
      </c>
      <c r="BF11" s="49" t="s">
        <v>337</v>
      </c>
      <c r="BG11" s="3">
        <v>1.7999999999999999E-2</v>
      </c>
      <c r="BH11" s="3">
        <v>9.5000000000000001E-2</v>
      </c>
      <c r="BI11" s="3">
        <v>0.13750000000000001</v>
      </c>
      <c r="BJ11" s="3">
        <v>1.7999999999999999E-2</v>
      </c>
      <c r="BK11" s="3">
        <v>0.14899999999999999</v>
      </c>
      <c r="BL11" s="3">
        <v>0.25900000000000001</v>
      </c>
      <c r="BM11" s="3">
        <v>5.0000000000000001E-3</v>
      </c>
      <c r="BN11" s="3">
        <v>0.315</v>
      </c>
      <c r="BO11" s="3">
        <v>0.44500000000000001</v>
      </c>
      <c r="BP11" s="3">
        <v>2E-3</v>
      </c>
      <c r="BQ11" s="3">
        <v>0.27</v>
      </c>
      <c r="BR11" s="3">
        <v>0.368666667</v>
      </c>
      <c r="BS11" s="3">
        <v>2.1999999999999999E-2</v>
      </c>
      <c r="BT11" s="3">
        <v>0.115</v>
      </c>
      <c r="BU11" s="3">
        <v>0.256083334</v>
      </c>
      <c r="BV11" s="3">
        <v>2.1999999999999999E-2</v>
      </c>
      <c r="BW11" s="3">
        <v>7.1999999999999995E-2</v>
      </c>
      <c r="BX11" s="3">
        <v>0.13600000000000001</v>
      </c>
      <c r="BY11" s="3">
        <v>0</v>
      </c>
      <c r="BZ11" s="3">
        <v>2.7E-2</v>
      </c>
      <c r="CA11" s="3">
        <v>0.14549999999999999</v>
      </c>
      <c r="CB11" s="3">
        <v>7.4999999999999997E-2</v>
      </c>
      <c r="CC11" s="3">
        <v>0.16</v>
      </c>
      <c r="CD11" s="3">
        <v>0.37466666700000001</v>
      </c>
      <c r="CE11" s="3">
        <v>2.8000000000000001E-2</v>
      </c>
      <c r="CF11" s="3">
        <v>0.16400000000000001</v>
      </c>
      <c r="CG11" s="3">
        <v>0.307</v>
      </c>
      <c r="CH11" s="3">
        <v>2.9000000000000001E-2</v>
      </c>
      <c r="CI11" s="3">
        <v>0.16700000000000001</v>
      </c>
      <c r="CJ11" s="3">
        <v>0.18133333300000001</v>
      </c>
      <c r="CK11" s="3">
        <v>6.3E-2</v>
      </c>
      <c r="CL11" s="3">
        <v>0.11899999999999999</v>
      </c>
      <c r="CM11" s="3">
        <v>0.1</v>
      </c>
      <c r="CN11" s="3">
        <v>3.5000000000000003E-2</v>
      </c>
      <c r="CO11" s="3">
        <v>7.3999999999999996E-2</v>
      </c>
      <c r="CP11" s="3">
        <v>0.111</v>
      </c>
      <c r="CQ11" s="3">
        <v>5.3999999999999999E-2</v>
      </c>
      <c r="CR11" s="3">
        <v>6.6000000000000003E-2</v>
      </c>
      <c r="CS11" s="3">
        <v>0.10100000000000001</v>
      </c>
      <c r="CT11" s="48" t="s">
        <v>314</v>
      </c>
      <c r="CU11" s="49" t="s">
        <v>337</v>
      </c>
      <c r="CV11" s="3">
        <v>-0.79300000000000004</v>
      </c>
      <c r="CW11" s="3">
        <v>-1.952</v>
      </c>
      <c r="CX11" s="3">
        <v>0.16500000000000001</v>
      </c>
      <c r="CY11" s="3">
        <v>-1.113</v>
      </c>
      <c r="CZ11" s="3">
        <v>-0.81100000000000005</v>
      </c>
      <c r="DA11" s="3">
        <v>-1.4419999999999999</v>
      </c>
      <c r="DB11" s="3">
        <v>-7.87</v>
      </c>
      <c r="DC11" s="3">
        <v>-0.29799999999999999</v>
      </c>
      <c r="DD11" s="3">
        <v>-1.1519999999999999</v>
      </c>
      <c r="DE11" s="3">
        <v>-1.1719999999999999</v>
      </c>
      <c r="DF11" s="3">
        <v>-0.66700000000000004</v>
      </c>
      <c r="DG11" s="3">
        <v>-1.1259999999999999</v>
      </c>
      <c r="DH11" s="3">
        <v>-0.72099999999999997</v>
      </c>
    </row>
    <row r="12" spans="1:116" x14ac:dyDescent="0.3">
      <c r="A12" s="48" t="s">
        <v>314</v>
      </c>
      <c r="B12" s="49" t="s">
        <v>338</v>
      </c>
      <c r="C12" s="3">
        <v>35.438336</v>
      </c>
      <c r="D12" s="3">
        <v>40.113376000000002</v>
      </c>
      <c r="E12" s="3">
        <v>37.430976000000001</v>
      </c>
      <c r="F12" s="3">
        <v>43.811366999999997</v>
      </c>
      <c r="G12" s="3">
        <v>43.811366999999997</v>
      </c>
      <c r="H12" s="3">
        <v>40.113376000000002</v>
      </c>
      <c r="I12" s="48" t="s">
        <v>314</v>
      </c>
      <c r="J12" s="49" t="s">
        <v>338</v>
      </c>
      <c r="K12" s="3">
        <v>48910.5</v>
      </c>
      <c r="L12" s="48" t="s">
        <v>314</v>
      </c>
      <c r="M12" s="49" t="s">
        <v>338</v>
      </c>
      <c r="N12" s="3">
        <v>8193.3964510000005</v>
      </c>
      <c r="O12" s="3">
        <v>10273.67643</v>
      </c>
      <c r="P12" s="3">
        <v>5358.9211409999998</v>
      </c>
      <c r="Q12" s="3">
        <v>4380.4463930000002</v>
      </c>
      <c r="R12" s="3">
        <v>10658.707280000001</v>
      </c>
      <c r="S12" s="3">
        <v>11191.100930000001</v>
      </c>
      <c r="T12" s="3">
        <v>8124.5036790000004</v>
      </c>
      <c r="U12" s="3">
        <v>12298.38999</v>
      </c>
      <c r="V12" s="3">
        <v>8066.0008239999997</v>
      </c>
      <c r="W12" s="3">
        <v>6435.3225510000002</v>
      </c>
      <c r="X12" s="3">
        <v>9627.615092</v>
      </c>
      <c r="Y12" s="3">
        <v>898.05355199999997</v>
      </c>
      <c r="Z12" s="3">
        <v>3095.6129059999998</v>
      </c>
      <c r="AA12" s="48" t="s">
        <v>314</v>
      </c>
      <c r="AB12" s="49" t="s">
        <v>338</v>
      </c>
      <c r="AC12" s="3">
        <v>2550.8187290000001</v>
      </c>
      <c r="AD12" s="3">
        <v>2413.5246430000002</v>
      </c>
      <c r="AE12" s="3">
        <v>1436.3469829999999</v>
      </c>
      <c r="AF12" s="3">
        <v>436.08167930000002</v>
      </c>
      <c r="AG12" s="3">
        <v>4150.9633590000003</v>
      </c>
      <c r="AH12" s="3">
        <v>3293.1311919999998</v>
      </c>
      <c r="AI12" s="3">
        <v>2940.4538149999998</v>
      </c>
      <c r="AJ12" s="3">
        <v>3238.2783300000001</v>
      </c>
      <c r="AK12" s="3">
        <v>1355.5470359999999</v>
      </c>
      <c r="AL12" s="3">
        <v>1968.864292</v>
      </c>
      <c r="AM12" s="3">
        <v>3456.684671</v>
      </c>
      <c r="AN12" s="3">
        <v>405.45251710000002</v>
      </c>
      <c r="AO12" s="3">
        <v>1321.9606530000001</v>
      </c>
      <c r="AP12" s="48" t="s">
        <v>314</v>
      </c>
      <c r="AQ12" s="49" t="s">
        <v>338</v>
      </c>
      <c r="AR12" s="3">
        <v>1188.3486949999999</v>
      </c>
      <c r="AS12" s="3">
        <v>1777.226803</v>
      </c>
      <c r="AT12" s="3">
        <v>1542.090895</v>
      </c>
      <c r="AU12" s="3">
        <v>1484.949306</v>
      </c>
      <c r="AV12" s="3">
        <v>573.0675516</v>
      </c>
      <c r="AW12" s="3">
        <v>2549.9129130000001</v>
      </c>
      <c r="AX12" s="3">
        <v>1258.374276</v>
      </c>
      <c r="AY12" s="3">
        <v>1898.9692560000001</v>
      </c>
      <c r="AZ12" s="3">
        <v>952.59865379999997</v>
      </c>
      <c r="BA12" s="3">
        <v>667.45315110000001</v>
      </c>
      <c r="BB12" s="3">
        <v>757.77928829999996</v>
      </c>
      <c r="BC12" s="3">
        <v>228.80525009999999</v>
      </c>
      <c r="BD12" s="3">
        <v>1631.939396</v>
      </c>
      <c r="BE12" s="48" t="s">
        <v>314</v>
      </c>
      <c r="BF12" s="49" t="s">
        <v>338</v>
      </c>
      <c r="BG12" s="3">
        <v>6.7000000000000004E-2</v>
      </c>
      <c r="BH12" s="3">
        <v>7.4999999999999997E-2</v>
      </c>
      <c r="BI12" s="3">
        <v>0.1065</v>
      </c>
      <c r="BJ12" s="3">
        <v>9.2999999999999999E-2</v>
      </c>
      <c r="BK12" s="3">
        <v>0.11799999999999999</v>
      </c>
      <c r="BL12" s="3">
        <v>0.23949999999999999</v>
      </c>
      <c r="BM12" s="3">
        <v>4.3999999999999997E-2</v>
      </c>
      <c r="BN12" s="3">
        <v>0.245</v>
      </c>
      <c r="BO12" s="3">
        <v>0.33400000000000002</v>
      </c>
      <c r="BP12" s="3">
        <v>3.6999999999999998E-2</v>
      </c>
      <c r="BQ12" s="3">
        <v>0.22900000000000001</v>
      </c>
      <c r="BR12" s="3">
        <v>0.307</v>
      </c>
      <c r="BS12" s="3">
        <v>8.7999999999999995E-2</v>
      </c>
      <c r="BT12" s="3">
        <v>7.5999999999999998E-2</v>
      </c>
      <c r="BU12" s="3">
        <v>0.18991666700000001</v>
      </c>
      <c r="BV12" s="3">
        <v>0.161</v>
      </c>
      <c r="BW12" s="3">
        <v>4.8000000000000001E-2</v>
      </c>
      <c r="BX12" s="3">
        <v>8.8999999999999996E-2</v>
      </c>
      <c r="BY12" s="3">
        <v>7.5999999999999998E-2</v>
      </c>
      <c r="BZ12" s="3">
        <v>1.7000000000000001E-2</v>
      </c>
      <c r="CA12" s="3">
        <v>0.13550000000000001</v>
      </c>
      <c r="CB12" s="3">
        <v>0.219</v>
      </c>
      <c r="CC12" s="3">
        <v>0.112</v>
      </c>
      <c r="CD12" s="3">
        <v>0.27333333300000001</v>
      </c>
      <c r="CE12" s="3">
        <v>0.11600000000000001</v>
      </c>
      <c r="CF12" s="3">
        <v>0.10199999999999999</v>
      </c>
      <c r="CG12" s="3">
        <v>0.20300000000000001</v>
      </c>
      <c r="CH12" s="3">
        <v>0.11700000000000001</v>
      </c>
      <c r="CI12" s="3">
        <v>0.10299999999999999</v>
      </c>
      <c r="CJ12" s="3">
        <v>9.4666666999999996E-2</v>
      </c>
      <c r="CK12" s="3">
        <v>0.219</v>
      </c>
      <c r="CL12" s="3">
        <v>6.2E-2</v>
      </c>
      <c r="CM12" s="3">
        <v>0.1</v>
      </c>
      <c r="CN12" s="3">
        <v>0.17399999999999999</v>
      </c>
      <c r="CO12" s="3">
        <v>4.4999999999999998E-2</v>
      </c>
      <c r="CP12" s="3">
        <v>8.0333333000000007E-2</v>
      </c>
      <c r="CQ12" s="3">
        <v>0.253</v>
      </c>
      <c r="CR12" s="3">
        <v>3.6999999999999998E-2</v>
      </c>
      <c r="CS12" s="3">
        <v>5.8999999999999997E-2</v>
      </c>
      <c r="CT12" s="48" t="s">
        <v>314</v>
      </c>
      <c r="CU12" s="49" t="s">
        <v>338</v>
      </c>
      <c r="CV12" s="3">
        <v>4.2000000000000003E-2</v>
      </c>
      <c r="CW12" s="3">
        <v>-1.2290000000000001</v>
      </c>
      <c r="CX12" s="3">
        <v>1.091</v>
      </c>
      <c r="CY12" s="3">
        <v>-0.46500000000000002</v>
      </c>
      <c r="CZ12" s="3">
        <v>-4.9000000000000002E-2</v>
      </c>
      <c r="DA12" s="3">
        <v>-0.23699999999999999</v>
      </c>
      <c r="DB12" s="3">
        <v>-7.8040000000000003</v>
      </c>
      <c r="DC12" s="3">
        <v>0.69099999999999995</v>
      </c>
      <c r="DD12" s="3">
        <v>-0.16600000000000001</v>
      </c>
      <c r="DE12" s="3">
        <v>-0.17499999999999999</v>
      </c>
      <c r="DF12" s="3">
        <v>1.3460000000000001</v>
      </c>
      <c r="DG12" s="3">
        <v>0.38</v>
      </c>
      <c r="DH12" s="3">
        <v>0.77100000000000002</v>
      </c>
    </row>
    <row r="13" spans="1:116" x14ac:dyDescent="0.3">
      <c r="A13" s="48" t="s">
        <v>314</v>
      </c>
      <c r="B13" s="49" t="s">
        <v>339</v>
      </c>
      <c r="C13" s="3">
        <v>45.738751999999998</v>
      </c>
      <c r="D13" s="3">
        <v>38.841152000000001</v>
      </c>
      <c r="E13" s="3">
        <v>36.74888</v>
      </c>
      <c r="F13" s="3">
        <v>41.425511999999998</v>
      </c>
      <c r="G13" s="3">
        <v>41.425511999999998</v>
      </c>
      <c r="H13" s="3">
        <v>38.841152000000001</v>
      </c>
      <c r="I13" s="48" t="s">
        <v>314</v>
      </c>
      <c r="J13" s="49" t="s">
        <v>339</v>
      </c>
      <c r="K13" s="3">
        <v>48821.5</v>
      </c>
      <c r="L13" s="48" t="s">
        <v>314</v>
      </c>
      <c r="M13" s="49" t="s">
        <v>339</v>
      </c>
      <c r="N13" s="3">
        <v>5919.0306799999998</v>
      </c>
      <c r="O13" s="3">
        <v>8053.4176150000003</v>
      </c>
      <c r="P13" s="3">
        <v>4183.5684979999996</v>
      </c>
      <c r="Q13" s="3">
        <v>3463.6744629999998</v>
      </c>
      <c r="R13" s="3">
        <v>8284.6901159999998</v>
      </c>
      <c r="S13" s="3">
        <v>9117.3313249999992</v>
      </c>
      <c r="T13" s="3">
        <v>6323.6411959999996</v>
      </c>
      <c r="U13" s="3">
        <v>9645.1019529999994</v>
      </c>
      <c r="V13" s="3">
        <v>5833.6379150000002</v>
      </c>
      <c r="W13" s="3">
        <v>4539.1470829999998</v>
      </c>
      <c r="X13" s="3">
        <v>7713.6090029999996</v>
      </c>
      <c r="Y13" s="3">
        <v>711.4155068</v>
      </c>
      <c r="Z13" s="3">
        <v>2437.6733530000001</v>
      </c>
      <c r="AA13" s="48" t="s">
        <v>314</v>
      </c>
      <c r="AB13" s="49" t="s">
        <v>339</v>
      </c>
      <c r="AC13" s="3">
        <v>2626.1050289999998</v>
      </c>
      <c r="AD13" s="3">
        <v>2484.7587680000001</v>
      </c>
      <c r="AE13" s="3">
        <v>1478.740137</v>
      </c>
      <c r="AF13" s="3">
        <v>448.95243959999999</v>
      </c>
      <c r="AG13" s="3">
        <v>4273.4772290000001</v>
      </c>
      <c r="AH13" s="3">
        <v>3390.326521</v>
      </c>
      <c r="AI13" s="3">
        <v>3189.3966180000002</v>
      </c>
      <c r="AJ13" s="3">
        <v>3333.8546999999999</v>
      </c>
      <c r="AK13" s="3">
        <v>1395.5554139999999</v>
      </c>
      <c r="AL13" s="3">
        <v>2026.974461</v>
      </c>
      <c r="AM13" s="3">
        <v>3558.7072090000001</v>
      </c>
      <c r="AN13" s="3">
        <v>417.41927099999998</v>
      </c>
      <c r="AO13" s="3">
        <v>1360.977744</v>
      </c>
      <c r="AP13" s="48" t="s">
        <v>314</v>
      </c>
      <c r="AQ13" s="49" t="s">
        <v>339</v>
      </c>
      <c r="AR13" s="3">
        <v>1117.36833</v>
      </c>
      <c r="AS13" s="3">
        <v>1671.0726010000001</v>
      </c>
      <c r="AT13" s="3">
        <v>1449.981419</v>
      </c>
      <c r="AU13" s="3">
        <v>1396.2529119999999</v>
      </c>
      <c r="AV13" s="3">
        <v>538.83808320000003</v>
      </c>
      <c r="AW13" s="3">
        <v>2397.6059759999998</v>
      </c>
      <c r="AX13" s="3">
        <v>1189.176506</v>
      </c>
      <c r="AY13" s="3">
        <v>1785.5433459999999</v>
      </c>
      <c r="AZ13" s="3">
        <v>895.69969760000004</v>
      </c>
      <c r="BA13" s="3">
        <v>627.58600720000004</v>
      </c>
      <c r="BB13" s="3">
        <v>712.5169416</v>
      </c>
      <c r="BC13" s="3">
        <v>215.13865519999999</v>
      </c>
      <c r="BD13" s="3">
        <v>1534.4632469999999</v>
      </c>
      <c r="BE13" s="48" t="s">
        <v>314</v>
      </c>
      <c r="BF13" s="49" t="s">
        <v>339</v>
      </c>
      <c r="BG13" s="3">
        <v>0.127</v>
      </c>
      <c r="BH13" s="3">
        <v>7.4999999999999997E-2</v>
      </c>
      <c r="BI13" s="3">
        <v>9.4E-2</v>
      </c>
      <c r="BJ13" s="3">
        <v>0.19600000000000001</v>
      </c>
      <c r="BK13" s="3">
        <v>0.105</v>
      </c>
      <c r="BL13" s="3">
        <v>0.23949999999999999</v>
      </c>
      <c r="BM13" s="3">
        <v>9.6000000000000002E-2</v>
      </c>
      <c r="BN13" s="3">
        <v>0.16400000000000001</v>
      </c>
      <c r="BO13" s="3">
        <v>0.22900000000000001</v>
      </c>
      <c r="BP13" s="3">
        <v>7.2999999999999995E-2</v>
      </c>
      <c r="BQ13" s="3">
        <v>0.19500000000000001</v>
      </c>
      <c r="BR13" s="3">
        <v>0.24199999999999999</v>
      </c>
      <c r="BS13" s="3">
        <v>0.17</v>
      </c>
      <c r="BT13" s="3">
        <v>6.0999999999999999E-2</v>
      </c>
      <c r="BU13" s="3">
        <v>0.14299999999999999</v>
      </c>
      <c r="BV13" s="3">
        <v>0.29699999999999999</v>
      </c>
      <c r="BW13" s="3">
        <v>3.5000000000000003E-2</v>
      </c>
      <c r="BX13" s="3">
        <v>5.8000000000000003E-2</v>
      </c>
      <c r="BY13" s="3">
        <v>0.17899999999999999</v>
      </c>
      <c r="BZ13" s="3">
        <v>1.2999999999999999E-2</v>
      </c>
      <c r="CA13" s="3">
        <v>0.12</v>
      </c>
      <c r="CB13" s="3">
        <v>0.36899999999999999</v>
      </c>
      <c r="CC13" s="3">
        <v>7.6999999999999999E-2</v>
      </c>
      <c r="CD13" s="3">
        <v>0.192</v>
      </c>
      <c r="CE13" s="3">
        <v>0.23100000000000001</v>
      </c>
      <c r="CF13" s="3">
        <v>7.1999999999999995E-2</v>
      </c>
      <c r="CG13" s="3">
        <v>0.126</v>
      </c>
      <c r="CH13" s="3">
        <v>0.23300000000000001</v>
      </c>
      <c r="CI13" s="3">
        <v>7.1999999999999995E-2</v>
      </c>
      <c r="CJ13" s="3">
        <v>0.04</v>
      </c>
      <c r="CK13" s="3">
        <v>0.39800000000000002</v>
      </c>
      <c r="CL13" s="3">
        <v>2.8000000000000001E-2</v>
      </c>
      <c r="CM13" s="3">
        <v>0.1</v>
      </c>
      <c r="CN13" s="3">
        <v>0.34200000000000003</v>
      </c>
      <c r="CO13" s="3">
        <v>2.1999999999999999E-2</v>
      </c>
      <c r="CP13" s="3">
        <v>6.1333332999999997E-2</v>
      </c>
      <c r="CQ13" s="3">
        <v>0.38400000000000001</v>
      </c>
      <c r="CR13" s="3">
        <v>2.1999999999999999E-2</v>
      </c>
      <c r="CS13" s="3">
        <v>0.04</v>
      </c>
      <c r="CT13" s="48" t="s">
        <v>314</v>
      </c>
      <c r="CU13" s="49" t="s">
        <v>339</v>
      </c>
      <c r="CV13" s="3">
        <v>0.99399999999999999</v>
      </c>
      <c r="CW13" s="3">
        <v>-5.8999999999999997E-2</v>
      </c>
      <c r="CX13" s="3">
        <v>2.0049999999999999</v>
      </c>
      <c r="CY13" s="3">
        <v>0.20899999999999999</v>
      </c>
      <c r="CZ13" s="3">
        <v>1.0289999999999999</v>
      </c>
      <c r="DA13" s="3">
        <v>1.018</v>
      </c>
      <c r="DB13" s="3">
        <v>-6.9909999999999997</v>
      </c>
      <c r="DC13" s="3">
        <v>1.5740000000000001</v>
      </c>
      <c r="DD13" s="3">
        <v>1.0489999999999999</v>
      </c>
      <c r="DE13" s="3">
        <v>1.0429999999999999</v>
      </c>
      <c r="DF13" s="3">
        <v>2.5139999999999998</v>
      </c>
      <c r="DG13" s="3">
        <v>1.43</v>
      </c>
      <c r="DH13" s="3">
        <v>1.7989999999999999</v>
      </c>
    </row>
    <row r="14" spans="1:116" x14ac:dyDescent="0.3">
      <c r="A14" s="48" t="s">
        <v>314</v>
      </c>
      <c r="B14" s="49" t="s">
        <v>340</v>
      </c>
      <c r="C14" s="3">
        <v>32.058512</v>
      </c>
      <c r="D14" s="3">
        <v>37.791184000000001</v>
      </c>
      <c r="E14" s="3">
        <v>34.465007999999997</v>
      </c>
      <c r="F14" s="3">
        <v>37.988113499999997</v>
      </c>
      <c r="G14" s="3">
        <v>37.988113499999997</v>
      </c>
      <c r="H14" s="3">
        <v>37.791184000000001</v>
      </c>
      <c r="I14" s="48" t="s">
        <v>314</v>
      </c>
      <c r="J14" s="49" t="s">
        <v>340</v>
      </c>
      <c r="K14" s="3">
        <v>48583.5</v>
      </c>
      <c r="L14" s="48" t="s">
        <v>314</v>
      </c>
      <c r="M14" s="49" t="s">
        <v>340</v>
      </c>
      <c r="N14" s="3">
        <v>4407.486465</v>
      </c>
      <c r="O14" s="3">
        <v>6706.0720940000001</v>
      </c>
      <c r="P14" s="3">
        <v>3379.773244</v>
      </c>
      <c r="Q14" s="3">
        <v>2981.1086300000002</v>
      </c>
      <c r="R14" s="3">
        <v>6854.5082869999997</v>
      </c>
      <c r="S14" s="3">
        <v>7399.4926059999998</v>
      </c>
      <c r="T14" s="3">
        <v>5497.3133669999997</v>
      </c>
      <c r="U14" s="3">
        <v>8001.7574020000002</v>
      </c>
      <c r="V14" s="3">
        <v>4254.5731949999999</v>
      </c>
      <c r="W14" s="3">
        <v>3240.9184089999999</v>
      </c>
      <c r="X14" s="3">
        <v>6017.1234599999998</v>
      </c>
      <c r="Y14" s="3">
        <v>494.53980159999998</v>
      </c>
      <c r="Z14" s="3">
        <v>1784.6078789999999</v>
      </c>
      <c r="AA14" s="48" t="s">
        <v>314</v>
      </c>
      <c r="AB14" s="49" t="s">
        <v>340</v>
      </c>
      <c r="AC14" s="3">
        <v>2792.82456</v>
      </c>
      <c r="AD14" s="3">
        <v>2642.5048649999999</v>
      </c>
      <c r="AE14" s="3">
        <v>1572.6186600000001</v>
      </c>
      <c r="AF14" s="3">
        <v>477.4543994</v>
      </c>
      <c r="AG14" s="3">
        <v>4544.7809699999998</v>
      </c>
      <c r="AH14" s="3">
        <v>3605.5630179999998</v>
      </c>
      <c r="AI14" s="3">
        <v>3231.921906</v>
      </c>
      <c r="AJ14" s="3">
        <v>3545.5060570000001</v>
      </c>
      <c r="AK14" s="3">
        <v>1484.152916</v>
      </c>
      <c r="AL14" s="3">
        <v>2155.6579019999999</v>
      </c>
      <c r="AM14" s="3">
        <v>3784.6334350000002</v>
      </c>
      <c r="AN14" s="3">
        <v>443.91933260000002</v>
      </c>
      <c r="AO14" s="3">
        <v>1447.3800659999999</v>
      </c>
      <c r="AP14" s="48" t="s">
        <v>314</v>
      </c>
      <c r="AQ14" s="49" t="s">
        <v>340</v>
      </c>
      <c r="AR14" s="3">
        <v>1060.1261</v>
      </c>
      <c r="AS14" s="3">
        <v>1585.464373</v>
      </c>
      <c r="AT14" s="3">
        <v>1375.699584</v>
      </c>
      <c r="AU14" s="3">
        <v>1324.7235619999999</v>
      </c>
      <c r="AV14" s="3">
        <v>511.2336732</v>
      </c>
      <c r="AW14" s="3">
        <v>2274.7778010000002</v>
      </c>
      <c r="AX14" s="3">
        <v>1166.110582</v>
      </c>
      <c r="AY14" s="3">
        <v>1694.070839</v>
      </c>
      <c r="AZ14" s="3">
        <v>849.81344260000003</v>
      </c>
      <c r="BA14" s="3">
        <v>595.43508469999995</v>
      </c>
      <c r="BB14" s="3">
        <v>676.01504910000006</v>
      </c>
      <c r="BC14" s="3">
        <v>204.11720769999999</v>
      </c>
      <c r="BD14" s="3">
        <v>1455.8534500000001</v>
      </c>
      <c r="BE14" s="48" t="s">
        <v>314</v>
      </c>
      <c r="BF14" s="49" t="s">
        <v>340</v>
      </c>
      <c r="BG14" s="3">
        <v>0.16900000000000001</v>
      </c>
      <c r="BH14" s="3">
        <v>7.8E-2</v>
      </c>
      <c r="BI14" s="3">
        <v>0.10050000000000001</v>
      </c>
      <c r="BJ14" s="3">
        <v>0.28100000000000003</v>
      </c>
      <c r="BK14" s="3">
        <v>0.105</v>
      </c>
      <c r="BL14" s="3">
        <v>0.25600000000000001</v>
      </c>
      <c r="BM14" s="3">
        <v>0.111</v>
      </c>
      <c r="BN14" s="3">
        <v>0.121</v>
      </c>
      <c r="BO14" s="3">
        <v>0.16550000000000001</v>
      </c>
      <c r="BP14" s="3">
        <v>0.09</v>
      </c>
      <c r="BQ14" s="3">
        <v>0.158</v>
      </c>
      <c r="BR14" s="3">
        <v>0.185</v>
      </c>
      <c r="BS14" s="3">
        <v>0.24199999999999999</v>
      </c>
      <c r="BT14" s="3">
        <v>5.7000000000000002E-2</v>
      </c>
      <c r="BU14" s="3">
        <v>0.131083334</v>
      </c>
      <c r="BV14" s="3">
        <v>0.35</v>
      </c>
      <c r="BW14" s="3">
        <v>2.9000000000000001E-2</v>
      </c>
      <c r="BX14" s="3">
        <v>3.6999999999999998E-2</v>
      </c>
      <c r="BY14" s="3">
        <v>0.25800000000000001</v>
      </c>
      <c r="BZ14" s="3">
        <v>8.9999999999999993E-3</v>
      </c>
      <c r="CA14" s="3">
        <v>0.10050000000000001</v>
      </c>
      <c r="CB14" s="3">
        <v>0.51500000000000001</v>
      </c>
      <c r="CC14" s="3">
        <v>6.3E-2</v>
      </c>
      <c r="CD14" s="3">
        <v>0.16166666699999999</v>
      </c>
      <c r="CE14" s="3">
        <v>0.32400000000000001</v>
      </c>
      <c r="CF14" s="3">
        <v>5.8000000000000003E-2</v>
      </c>
      <c r="CG14" s="3">
        <v>7.3499999999999996E-2</v>
      </c>
      <c r="CH14" s="3">
        <v>0.32600000000000001</v>
      </c>
      <c r="CI14" s="3">
        <v>5.8000000000000003E-2</v>
      </c>
      <c r="CJ14" s="3">
        <v>1.4E-2</v>
      </c>
      <c r="CK14" s="3">
        <v>0.496</v>
      </c>
      <c r="CL14" s="3">
        <v>2.1000000000000001E-2</v>
      </c>
      <c r="CM14" s="3">
        <v>0.1</v>
      </c>
      <c r="CN14" s="3">
        <v>0.46700000000000003</v>
      </c>
      <c r="CO14" s="3">
        <v>1.7000000000000001E-2</v>
      </c>
      <c r="CP14" s="3">
        <v>5.9333333000000002E-2</v>
      </c>
      <c r="CQ14" s="3">
        <v>0.433</v>
      </c>
      <c r="CR14" s="3">
        <v>2.1000000000000001E-2</v>
      </c>
      <c r="CS14" s="3">
        <v>3.2000000000000001E-2</v>
      </c>
      <c r="CT14" s="48" t="s">
        <v>314</v>
      </c>
      <c r="CU14" s="49" t="s">
        <v>340</v>
      </c>
      <c r="CV14" s="3">
        <v>1.704</v>
      </c>
      <c r="CW14" s="3">
        <v>1.278</v>
      </c>
      <c r="CX14" s="3">
        <v>2.6179999999999999</v>
      </c>
      <c r="CY14" s="3">
        <v>0.71599999999999997</v>
      </c>
      <c r="CZ14" s="3">
        <v>2.0129999999999999</v>
      </c>
      <c r="DA14" s="3">
        <v>1.764</v>
      </c>
      <c r="DB14" s="3">
        <v>-5.8970000000000002</v>
      </c>
      <c r="DC14" s="3">
        <v>2.3570000000000002</v>
      </c>
      <c r="DD14" s="3">
        <v>2.2669999999999999</v>
      </c>
      <c r="DE14" s="3">
        <v>2.2679999999999998</v>
      </c>
      <c r="DF14" s="3">
        <v>3.1389999999999998</v>
      </c>
      <c r="DG14" s="3">
        <v>1.8080000000000001</v>
      </c>
      <c r="DH14" s="3">
        <v>2.2949999999999999</v>
      </c>
    </row>
    <row r="15" spans="1:116" x14ac:dyDescent="0.3">
      <c r="A15" s="48" t="s">
        <v>314</v>
      </c>
      <c r="B15" s="49" t="s">
        <v>341</v>
      </c>
      <c r="C15" s="3">
        <v>32.058512</v>
      </c>
      <c r="D15" s="3">
        <v>37.430976000000001</v>
      </c>
      <c r="E15" s="3">
        <v>36.74888</v>
      </c>
      <c r="F15" s="3">
        <v>36.821695499999997</v>
      </c>
      <c r="G15" s="3">
        <v>36.821695499999997</v>
      </c>
      <c r="H15" s="3">
        <v>37.430976000000001</v>
      </c>
      <c r="I15" s="48" t="s">
        <v>314</v>
      </c>
      <c r="J15" s="49" t="s">
        <v>341</v>
      </c>
      <c r="K15" s="3">
        <v>48547</v>
      </c>
      <c r="L15" s="48" t="s">
        <v>314</v>
      </c>
      <c r="M15" s="49" t="s">
        <v>341</v>
      </c>
      <c r="N15" s="3">
        <v>4118.9237110000004</v>
      </c>
      <c r="O15" s="3">
        <v>6466.3068409999996</v>
      </c>
      <c r="P15" s="3">
        <v>3200.4154039999999</v>
      </c>
      <c r="Q15" s="3">
        <v>2945.030158</v>
      </c>
      <c r="R15" s="3">
        <v>6250.0470750000004</v>
      </c>
      <c r="S15" s="3">
        <v>7082.8698270000004</v>
      </c>
      <c r="T15" s="3">
        <v>5193.3219239999999</v>
      </c>
      <c r="U15" s="3">
        <v>7347.0962079999999</v>
      </c>
      <c r="V15" s="3">
        <v>3788.7556129999998</v>
      </c>
      <c r="W15" s="3">
        <v>2772.0851699999998</v>
      </c>
      <c r="X15" s="3">
        <v>5584.9928730000001</v>
      </c>
      <c r="Y15" s="3">
        <v>510.41291419999999</v>
      </c>
      <c r="Z15" s="3">
        <v>1516.7027760000001</v>
      </c>
      <c r="AA15" s="48" t="s">
        <v>314</v>
      </c>
      <c r="AB15" s="49" t="s">
        <v>341</v>
      </c>
      <c r="AC15" s="3">
        <v>2660.9744740000001</v>
      </c>
      <c r="AD15" s="3">
        <v>2517.7514160000001</v>
      </c>
      <c r="AE15" s="3">
        <v>1498.374861</v>
      </c>
      <c r="AF15" s="3">
        <v>454.91363380000001</v>
      </c>
      <c r="AG15" s="3">
        <v>4330.2204949999996</v>
      </c>
      <c r="AH15" s="3">
        <v>3435.343304</v>
      </c>
      <c r="AI15" s="3">
        <v>3146.8713299999999</v>
      </c>
      <c r="AJ15" s="3">
        <v>3378.1216509999999</v>
      </c>
      <c r="AK15" s="3">
        <v>1414.085611</v>
      </c>
      <c r="AL15" s="3">
        <v>2053.888645</v>
      </c>
      <c r="AM15" s="3">
        <v>3605.9597530000001</v>
      </c>
      <c r="AN15" s="3">
        <v>422.96176750000001</v>
      </c>
      <c r="AO15" s="3">
        <v>1379.048818</v>
      </c>
      <c r="AP15" s="48" t="s">
        <v>314</v>
      </c>
      <c r="AQ15" s="49" t="s">
        <v>341</v>
      </c>
      <c r="AR15" s="3">
        <v>1025.7807620000001</v>
      </c>
      <c r="AS15" s="3">
        <v>1534.0994370000001</v>
      </c>
      <c r="AT15" s="3">
        <v>1331.1304829999999</v>
      </c>
      <c r="AU15" s="3">
        <v>1281.8059519999999</v>
      </c>
      <c r="AV15" s="3">
        <v>494.67102720000003</v>
      </c>
      <c r="AW15" s="3">
        <v>2201.0808959999999</v>
      </c>
      <c r="AX15" s="3">
        <v>1109.7272129999999</v>
      </c>
      <c r="AY15" s="3">
        <v>1639.187334</v>
      </c>
      <c r="AZ15" s="3">
        <v>822.28168960000005</v>
      </c>
      <c r="BA15" s="3">
        <v>576.14453119999996</v>
      </c>
      <c r="BB15" s="3">
        <v>654.11391360000005</v>
      </c>
      <c r="BC15" s="3">
        <v>197.5043392</v>
      </c>
      <c r="BD15" s="3">
        <v>1408.6875709999999</v>
      </c>
      <c r="BE15" s="48" t="s">
        <v>314</v>
      </c>
      <c r="BF15" s="49" t="s">
        <v>341</v>
      </c>
      <c r="BG15" s="3">
        <v>0.21199999999999999</v>
      </c>
      <c r="BH15" s="3">
        <v>8.4000000000000005E-2</v>
      </c>
      <c r="BI15" s="3">
        <v>0.1055</v>
      </c>
      <c r="BJ15" s="3">
        <v>0.30399999999999999</v>
      </c>
      <c r="BK15" s="3">
        <v>0.108</v>
      </c>
      <c r="BL15" s="3">
        <v>0.26650000000000001</v>
      </c>
      <c r="BM15" s="3">
        <v>0.107</v>
      </c>
      <c r="BN15" s="3">
        <v>0.111</v>
      </c>
      <c r="BO15" s="3">
        <v>0.1285</v>
      </c>
      <c r="BP15" s="3">
        <v>9.2999999999999999E-2</v>
      </c>
      <c r="BQ15" s="3">
        <v>0.13300000000000001</v>
      </c>
      <c r="BR15" s="3">
        <v>0.139333333</v>
      </c>
      <c r="BS15" s="3">
        <v>0.28499999999999998</v>
      </c>
      <c r="BT15" s="3">
        <v>5.5E-2</v>
      </c>
      <c r="BU15" s="3">
        <v>0.131083334</v>
      </c>
      <c r="BV15" s="3">
        <v>0.30199999999999999</v>
      </c>
      <c r="BW15" s="3">
        <v>2.9000000000000001E-2</v>
      </c>
      <c r="BX15" s="3">
        <v>2.5000000000000001E-2</v>
      </c>
      <c r="BY15" s="3">
        <v>0.318</v>
      </c>
      <c r="BZ15" s="3">
        <v>8.0000000000000002E-3</v>
      </c>
      <c r="CA15" s="3">
        <v>0.10150000000000001</v>
      </c>
      <c r="CB15" s="3">
        <v>0.53100000000000003</v>
      </c>
      <c r="CC15" s="3">
        <v>5.8000000000000003E-2</v>
      </c>
      <c r="CD15" s="3">
        <v>0.15666666700000001</v>
      </c>
      <c r="CE15" s="3">
        <v>0.33900000000000002</v>
      </c>
      <c r="CF15" s="3">
        <v>5.0999999999999997E-2</v>
      </c>
      <c r="CG15" s="3">
        <v>5.3999999999999999E-2</v>
      </c>
      <c r="CH15" s="3">
        <v>0.33800000000000002</v>
      </c>
      <c r="CI15" s="3">
        <v>5.0999999999999997E-2</v>
      </c>
      <c r="CJ15" s="3">
        <v>1.7999999999999999E-2</v>
      </c>
      <c r="CK15" s="3">
        <v>0.47899999999999998</v>
      </c>
      <c r="CL15" s="3">
        <v>2.7E-2</v>
      </c>
      <c r="CM15" s="3">
        <v>0.1</v>
      </c>
      <c r="CN15" s="3">
        <v>0.47899999999999998</v>
      </c>
      <c r="CO15" s="3">
        <v>2.1000000000000001E-2</v>
      </c>
      <c r="CP15" s="3">
        <v>6.5333332999999993E-2</v>
      </c>
      <c r="CQ15" s="3">
        <v>0.36399999999999999</v>
      </c>
      <c r="CR15" s="3">
        <v>3.1E-2</v>
      </c>
      <c r="CS15" s="3">
        <v>3.4000000000000002E-2</v>
      </c>
      <c r="CT15" s="48" t="s">
        <v>314</v>
      </c>
      <c r="CU15" s="49" t="s">
        <v>341</v>
      </c>
      <c r="CV15" s="3">
        <v>2.4769999999999999</v>
      </c>
      <c r="CW15" s="3">
        <v>2.15</v>
      </c>
      <c r="CX15" s="3">
        <v>2.98</v>
      </c>
      <c r="CY15" s="3">
        <v>0.94899999999999995</v>
      </c>
      <c r="CZ15" s="3">
        <v>2.746</v>
      </c>
      <c r="DA15" s="3">
        <v>2.194</v>
      </c>
      <c r="DB15" s="3">
        <v>-5.0469999999999997</v>
      </c>
      <c r="DC15" s="3">
        <v>3.016</v>
      </c>
      <c r="DD15" s="3">
        <v>3.0670000000000002</v>
      </c>
      <c r="DE15" s="3">
        <v>3.06</v>
      </c>
      <c r="DF15" s="3">
        <v>3.379</v>
      </c>
      <c r="DG15" s="3">
        <v>1.92</v>
      </c>
      <c r="DH15" s="3">
        <v>2.2930000000000001</v>
      </c>
    </row>
    <row r="16" spans="1:116" x14ac:dyDescent="0.3">
      <c r="A16" s="48" t="s">
        <v>314</v>
      </c>
      <c r="B16" s="49" t="s">
        <v>342</v>
      </c>
      <c r="C16" s="3">
        <v>31.912896</v>
      </c>
      <c r="D16" s="3">
        <v>36.572608000000002</v>
      </c>
      <c r="E16" s="3">
        <v>36.572608000000002</v>
      </c>
      <c r="F16" s="3">
        <v>34.895338500000001</v>
      </c>
      <c r="G16" s="3">
        <v>34.895338500000001</v>
      </c>
      <c r="H16" s="3">
        <v>36.572608000000002</v>
      </c>
      <c r="I16" s="48" t="s">
        <v>314</v>
      </c>
      <c r="J16" s="49" t="s">
        <v>342</v>
      </c>
      <c r="K16" s="3">
        <v>48308.5</v>
      </c>
      <c r="L16" s="48" t="s">
        <v>314</v>
      </c>
      <c r="M16" s="49" t="s">
        <v>342</v>
      </c>
      <c r="N16" s="3">
        <v>4103.5905309999998</v>
      </c>
      <c r="O16" s="3">
        <v>6172.7542210000001</v>
      </c>
      <c r="P16" s="3">
        <v>3197.0821040000001</v>
      </c>
      <c r="Q16" s="3">
        <v>2938.363558</v>
      </c>
      <c r="R16" s="3">
        <v>6095.6041750000004</v>
      </c>
      <c r="S16" s="3">
        <v>7422.9775369999998</v>
      </c>
      <c r="T16" s="3">
        <v>5052.1052390000004</v>
      </c>
      <c r="U16" s="3">
        <v>7288.7856780000002</v>
      </c>
      <c r="V16" s="3">
        <v>3691.5010299999999</v>
      </c>
      <c r="W16" s="3">
        <v>2669.371752</v>
      </c>
      <c r="X16" s="3">
        <v>5498.1048529999998</v>
      </c>
      <c r="Y16" s="3">
        <v>482.20430720000002</v>
      </c>
      <c r="Z16" s="3">
        <v>1503.002913</v>
      </c>
      <c r="AA16" s="48" t="s">
        <v>314</v>
      </c>
      <c r="AB16" s="49" t="s">
        <v>342</v>
      </c>
      <c r="AC16" s="3">
        <v>2660.9744740000001</v>
      </c>
      <c r="AD16" s="3">
        <v>2517.7514160000001</v>
      </c>
      <c r="AE16" s="3">
        <v>1498.374861</v>
      </c>
      <c r="AF16" s="3">
        <v>454.91363380000001</v>
      </c>
      <c r="AG16" s="3">
        <v>4330.2204949999996</v>
      </c>
      <c r="AH16" s="3">
        <v>3435.343304</v>
      </c>
      <c r="AI16" s="3">
        <v>3054.733205</v>
      </c>
      <c r="AJ16" s="3">
        <v>3378.1216509999999</v>
      </c>
      <c r="AK16" s="3">
        <v>1414.085611</v>
      </c>
      <c r="AL16" s="3">
        <v>2053.888645</v>
      </c>
      <c r="AM16" s="3">
        <v>3605.9597530000001</v>
      </c>
      <c r="AN16" s="3">
        <v>422.96176750000001</v>
      </c>
      <c r="AO16" s="3">
        <v>1379.048818</v>
      </c>
      <c r="AP16" s="48" t="s">
        <v>314</v>
      </c>
      <c r="AQ16" s="49" t="s">
        <v>342</v>
      </c>
      <c r="AR16" s="3">
        <v>996.01480200000003</v>
      </c>
      <c r="AS16" s="3">
        <v>1489.5831579999999</v>
      </c>
      <c r="AT16" s="3">
        <v>1292.503929</v>
      </c>
      <c r="AU16" s="3">
        <v>1244.61069</v>
      </c>
      <c r="AV16" s="3">
        <v>480.316734</v>
      </c>
      <c r="AW16" s="3">
        <v>2137.2102450000002</v>
      </c>
      <c r="AX16" s="3">
        <v>1078.9726479999999</v>
      </c>
      <c r="AY16" s="3">
        <v>1591.621631</v>
      </c>
      <c r="AZ16" s="3">
        <v>798.42083700000001</v>
      </c>
      <c r="BA16" s="3">
        <v>559.42605149999997</v>
      </c>
      <c r="BB16" s="3">
        <v>635.13292950000005</v>
      </c>
      <c r="BC16" s="3">
        <v>191.77318650000001</v>
      </c>
      <c r="BD16" s="3">
        <v>1367.8104760000001</v>
      </c>
      <c r="BE16" s="48" t="s">
        <v>314</v>
      </c>
      <c r="BF16" s="49" t="s">
        <v>342</v>
      </c>
      <c r="BG16" s="3">
        <v>0.17399999999999999</v>
      </c>
      <c r="BH16" s="3">
        <v>8.8999999999999996E-2</v>
      </c>
      <c r="BI16" s="3">
        <v>0.107</v>
      </c>
      <c r="BJ16" s="3">
        <v>0.315</v>
      </c>
      <c r="BK16" s="3">
        <v>0.11700000000000001</v>
      </c>
      <c r="BL16" s="3">
        <v>0.27600000000000002</v>
      </c>
      <c r="BM16" s="3">
        <v>7.9000000000000001E-2</v>
      </c>
      <c r="BN16" s="3">
        <v>0.106</v>
      </c>
      <c r="BO16" s="3">
        <v>0.1105</v>
      </c>
      <c r="BP16" s="3">
        <v>7.2999999999999995E-2</v>
      </c>
      <c r="BQ16" s="3">
        <v>0.12</v>
      </c>
      <c r="BR16" s="3">
        <v>0.10666666700000001</v>
      </c>
      <c r="BS16" s="3">
        <v>0.215</v>
      </c>
      <c r="BT16" s="3">
        <v>0.06</v>
      </c>
      <c r="BU16" s="3">
        <v>0.13166666699999999</v>
      </c>
      <c r="BV16" s="3">
        <v>0.19900000000000001</v>
      </c>
      <c r="BW16" s="3">
        <v>3.5000000000000003E-2</v>
      </c>
      <c r="BX16" s="3">
        <v>2.1999999999999999E-2</v>
      </c>
      <c r="BY16" s="3">
        <v>0.30199999999999999</v>
      </c>
      <c r="BZ16" s="3">
        <v>1.4E-2</v>
      </c>
      <c r="CA16" s="3">
        <v>0.1135</v>
      </c>
      <c r="CB16" s="3">
        <v>0.44800000000000001</v>
      </c>
      <c r="CC16" s="3">
        <v>5.8000000000000003E-2</v>
      </c>
      <c r="CD16" s="3">
        <v>0.15633333299999999</v>
      </c>
      <c r="CE16" s="3">
        <v>0.28799999999999998</v>
      </c>
      <c r="CF16" s="3">
        <v>5.5E-2</v>
      </c>
      <c r="CG16" s="3">
        <v>5.6000000000000001E-2</v>
      </c>
      <c r="CH16" s="3">
        <v>0.28799999999999998</v>
      </c>
      <c r="CI16" s="3">
        <v>5.5E-2</v>
      </c>
      <c r="CJ16" s="3">
        <v>3.3333333E-2</v>
      </c>
      <c r="CK16" s="3">
        <v>0.34300000000000003</v>
      </c>
      <c r="CL16" s="3">
        <v>4.1000000000000002E-2</v>
      </c>
      <c r="CM16" s="3">
        <v>0.1</v>
      </c>
      <c r="CN16" s="3">
        <v>0.42099999999999999</v>
      </c>
      <c r="CO16" s="3">
        <v>0.03</v>
      </c>
      <c r="CP16" s="3">
        <v>6.9333332999999997E-2</v>
      </c>
      <c r="CQ16" s="3">
        <v>0.193</v>
      </c>
      <c r="CR16" s="3">
        <v>4.5999999999999999E-2</v>
      </c>
      <c r="CS16" s="3">
        <v>4.5999999999999999E-2</v>
      </c>
      <c r="CT16" s="48" t="s">
        <v>314</v>
      </c>
      <c r="CU16" s="49" t="s">
        <v>342</v>
      </c>
      <c r="CV16" s="3">
        <v>2.7559999999999998</v>
      </c>
      <c r="CW16" s="3">
        <v>2.4740000000000002</v>
      </c>
      <c r="CX16" s="3">
        <v>2.984</v>
      </c>
      <c r="CY16" s="3">
        <v>0.93700000000000006</v>
      </c>
      <c r="CZ16" s="3">
        <v>2.984</v>
      </c>
      <c r="DA16" s="3">
        <v>2.1579999999999999</v>
      </c>
      <c r="DB16" s="3">
        <v>-4.6479999999999997</v>
      </c>
      <c r="DC16" s="3">
        <v>3.3</v>
      </c>
      <c r="DD16" s="3">
        <v>3.2949999999999999</v>
      </c>
      <c r="DE16" s="3">
        <v>3.2839999999999998</v>
      </c>
      <c r="DF16" s="3">
        <v>3.306</v>
      </c>
      <c r="DG16" s="3">
        <v>1.77</v>
      </c>
      <c r="DH16" s="3">
        <v>2.0430000000000001</v>
      </c>
    </row>
    <row r="17" spans="1:112" x14ac:dyDescent="0.3">
      <c r="A17" s="48" t="s">
        <v>314</v>
      </c>
      <c r="B17" s="49" t="s">
        <v>343</v>
      </c>
      <c r="C17" s="3">
        <v>32.188800000000001</v>
      </c>
      <c r="D17" s="3">
        <v>36.350352000000001</v>
      </c>
      <c r="E17" s="3">
        <v>36.350352000000001</v>
      </c>
      <c r="F17" s="3">
        <v>35.734805999999999</v>
      </c>
      <c r="G17" s="3">
        <v>36.918897000000001</v>
      </c>
      <c r="H17" s="3">
        <v>36.350352000000001</v>
      </c>
      <c r="I17" s="48" t="s">
        <v>314</v>
      </c>
      <c r="J17" s="49" t="s">
        <v>343</v>
      </c>
      <c r="K17" s="3">
        <v>48351.5</v>
      </c>
      <c r="L17" s="48" t="s">
        <v>314</v>
      </c>
      <c r="M17" s="49" t="s">
        <v>343</v>
      </c>
      <c r="N17" s="3">
        <v>4313.7659940000003</v>
      </c>
      <c r="O17" s="3">
        <v>6670.2252909999997</v>
      </c>
      <c r="P17" s="3">
        <v>3449.1762939999999</v>
      </c>
      <c r="Q17" s="3">
        <v>3050.685673</v>
      </c>
      <c r="R17" s="3">
        <v>5974.8173699999998</v>
      </c>
      <c r="S17" s="3">
        <v>7758.1616260000001</v>
      </c>
      <c r="T17" s="3">
        <v>5000.0307080000002</v>
      </c>
      <c r="U17" s="3">
        <v>7272.5815060000004</v>
      </c>
      <c r="V17" s="3">
        <v>3612.0292049999998</v>
      </c>
      <c r="W17" s="3">
        <v>2655.1238589999998</v>
      </c>
      <c r="X17" s="3">
        <v>5844.5694240000003</v>
      </c>
      <c r="Y17" s="3">
        <v>481.90527109999999</v>
      </c>
      <c r="Z17" s="3">
        <v>1797.6827000000001</v>
      </c>
      <c r="AA17" s="48" t="s">
        <v>314</v>
      </c>
      <c r="AB17" s="49" t="s">
        <v>343</v>
      </c>
      <c r="AC17" s="3">
        <v>2564.6490210000002</v>
      </c>
      <c r="AD17" s="3">
        <v>2426.6105389999998</v>
      </c>
      <c r="AE17" s="3">
        <v>1444.1347169999999</v>
      </c>
      <c r="AF17" s="3">
        <v>438.44607180000003</v>
      </c>
      <c r="AG17" s="3">
        <v>4173.4694799999997</v>
      </c>
      <c r="AH17" s="3">
        <v>3310.98623</v>
      </c>
      <c r="AI17" s="3">
        <v>2955.5075320000001</v>
      </c>
      <c r="AJ17" s="3">
        <v>3255.8359610000002</v>
      </c>
      <c r="AK17" s="3">
        <v>1362.8966800000001</v>
      </c>
      <c r="AL17" s="3">
        <v>1979.5392830000001</v>
      </c>
      <c r="AM17" s="3">
        <v>3475.4264800000001</v>
      </c>
      <c r="AN17" s="3">
        <v>407.65084130000002</v>
      </c>
      <c r="AO17" s="3">
        <v>1329.128195</v>
      </c>
      <c r="AP17" s="48" t="s">
        <v>314</v>
      </c>
      <c r="AQ17" s="49" t="s">
        <v>343</v>
      </c>
      <c r="AR17" s="3">
        <v>963.95915319999995</v>
      </c>
      <c r="AS17" s="3">
        <v>1441.6425509999999</v>
      </c>
      <c r="AT17" s="3">
        <v>1250.906101</v>
      </c>
      <c r="AU17" s="3">
        <v>1204.5542539999999</v>
      </c>
      <c r="AV17" s="3">
        <v>464.8582644</v>
      </c>
      <c r="AW17" s="3">
        <v>2068.4264669999998</v>
      </c>
      <c r="AX17" s="3">
        <v>1066.158246</v>
      </c>
      <c r="AY17" s="3">
        <v>1540.3970260000001</v>
      </c>
      <c r="AZ17" s="3">
        <v>772.72453419999999</v>
      </c>
      <c r="BA17" s="3">
        <v>541.42153489999998</v>
      </c>
      <c r="BB17" s="3">
        <v>614.69186969999998</v>
      </c>
      <c r="BC17" s="3">
        <v>185.60117589999999</v>
      </c>
      <c r="BD17" s="3">
        <v>1323.78899</v>
      </c>
      <c r="BE17" s="48" t="s">
        <v>314</v>
      </c>
      <c r="BF17" s="49" t="s">
        <v>343</v>
      </c>
      <c r="BG17" s="3">
        <v>7.3999999999999996E-2</v>
      </c>
      <c r="BH17" s="3">
        <v>9.1999999999999998E-2</v>
      </c>
      <c r="BI17" s="3">
        <v>0.11</v>
      </c>
      <c r="BJ17" s="3">
        <v>0.156</v>
      </c>
      <c r="BK17" s="3">
        <v>0.12</v>
      </c>
      <c r="BL17" s="3">
        <v>0.28799999999999998</v>
      </c>
      <c r="BM17" s="3">
        <v>4.1000000000000002E-2</v>
      </c>
      <c r="BN17" s="3">
        <v>0.108</v>
      </c>
      <c r="BO17" s="3">
        <v>0.1095</v>
      </c>
      <c r="BP17" s="3">
        <v>4.1000000000000002E-2</v>
      </c>
      <c r="BQ17" s="3">
        <v>0.11700000000000001</v>
      </c>
      <c r="BR17" s="3">
        <v>9.4666666999999996E-2</v>
      </c>
      <c r="BS17" s="3">
        <v>0.111</v>
      </c>
      <c r="BT17" s="3">
        <v>6.7000000000000004E-2</v>
      </c>
      <c r="BU17" s="3">
        <v>0.130833334</v>
      </c>
      <c r="BV17" s="3">
        <v>0.10199999999999999</v>
      </c>
      <c r="BW17" s="3">
        <v>4.1000000000000002E-2</v>
      </c>
      <c r="BX17" s="3">
        <v>2.4E-2</v>
      </c>
      <c r="BY17" s="3">
        <v>0.20300000000000001</v>
      </c>
      <c r="BZ17" s="3">
        <v>2.4E-2</v>
      </c>
      <c r="CA17" s="3">
        <v>0.125</v>
      </c>
      <c r="CB17" s="3">
        <v>0.28599999999999998</v>
      </c>
      <c r="CC17" s="3">
        <v>6.2E-2</v>
      </c>
      <c r="CD17" s="3">
        <v>0.15166666700000001</v>
      </c>
      <c r="CE17" s="3">
        <v>0.14599999999999999</v>
      </c>
      <c r="CF17" s="3">
        <v>5.8999999999999997E-2</v>
      </c>
      <c r="CG17" s="3">
        <v>7.1999999999999995E-2</v>
      </c>
      <c r="CH17" s="3">
        <v>0.14899999999999999</v>
      </c>
      <c r="CI17" s="3">
        <v>5.8999999999999997E-2</v>
      </c>
      <c r="CJ17" s="3">
        <v>6.2333332999999998E-2</v>
      </c>
      <c r="CK17" s="3">
        <v>0.17199999999999999</v>
      </c>
      <c r="CL17" s="3">
        <v>5.3999999999999999E-2</v>
      </c>
      <c r="CM17" s="3">
        <v>0.1</v>
      </c>
      <c r="CN17" s="3">
        <v>0.28199999999999997</v>
      </c>
      <c r="CO17" s="3">
        <v>3.5999999999999997E-2</v>
      </c>
      <c r="CP17" s="3">
        <v>7.3666667000000005E-2</v>
      </c>
      <c r="CQ17" s="3">
        <v>8.5999999999999993E-2</v>
      </c>
      <c r="CR17" s="3">
        <v>6.0999999999999999E-2</v>
      </c>
      <c r="CS17" s="3">
        <v>6.4000000000000001E-2</v>
      </c>
      <c r="CT17" s="48" t="s">
        <v>314</v>
      </c>
      <c r="CU17" s="49" t="s">
        <v>343</v>
      </c>
      <c r="CV17" s="3">
        <v>2.504</v>
      </c>
      <c r="CW17" s="3">
        <v>2.2149999999999999</v>
      </c>
      <c r="CX17" s="3">
        <v>2.63</v>
      </c>
      <c r="CY17" s="3">
        <v>0.64300000000000002</v>
      </c>
      <c r="CZ17" s="3">
        <v>2.7919999999999998</v>
      </c>
      <c r="DA17" s="3">
        <v>1.6990000000000001</v>
      </c>
      <c r="DB17" s="3">
        <v>-5.093</v>
      </c>
      <c r="DC17" s="3">
        <v>3.1379999999999999</v>
      </c>
      <c r="DD17" s="3">
        <v>3.0790000000000002</v>
      </c>
      <c r="DE17" s="3">
        <v>3.0670000000000002</v>
      </c>
      <c r="DF17" s="3">
        <v>2.879</v>
      </c>
      <c r="DG17" s="3">
        <v>1.32</v>
      </c>
      <c r="DH17" s="3">
        <v>1.5429999999999999</v>
      </c>
    </row>
    <row r="18" spans="1:112" x14ac:dyDescent="0.3">
      <c r="A18" s="48" t="s">
        <v>314</v>
      </c>
      <c r="B18" s="49" t="s">
        <v>344</v>
      </c>
      <c r="C18" s="3">
        <v>32.732944000000003</v>
      </c>
      <c r="D18" s="3">
        <v>36.932816000000003</v>
      </c>
      <c r="E18" s="3">
        <v>36.932816000000003</v>
      </c>
      <c r="F18" s="3">
        <v>37.899748500000001</v>
      </c>
      <c r="G18" s="3">
        <v>39.145695000000003</v>
      </c>
      <c r="H18" s="3">
        <v>36.932816000000003</v>
      </c>
      <c r="I18" s="48" t="s">
        <v>314</v>
      </c>
      <c r="J18" s="49" t="s">
        <v>344</v>
      </c>
      <c r="K18" s="3">
        <v>48964</v>
      </c>
      <c r="L18" s="48" t="s">
        <v>314</v>
      </c>
      <c r="M18" s="49" t="s">
        <v>344</v>
      </c>
      <c r="N18" s="3">
        <v>4830.5731759999999</v>
      </c>
      <c r="O18" s="3">
        <v>7172.1987980000004</v>
      </c>
      <c r="P18" s="3">
        <v>3834.3827649999998</v>
      </c>
      <c r="Q18" s="3">
        <v>3294.503385</v>
      </c>
      <c r="R18" s="3">
        <v>6299.5793219999996</v>
      </c>
      <c r="S18" s="3">
        <v>7619.4607370000003</v>
      </c>
      <c r="T18" s="3">
        <v>5030.5443050000003</v>
      </c>
      <c r="U18" s="3">
        <v>7966.2111629999999</v>
      </c>
      <c r="V18" s="3">
        <v>3882.654657</v>
      </c>
      <c r="W18" s="3">
        <v>2883.88168</v>
      </c>
      <c r="X18" s="3">
        <v>6064.1865049999997</v>
      </c>
      <c r="Y18" s="3">
        <v>506.98844179999998</v>
      </c>
      <c r="Z18" s="3">
        <v>2122.84782</v>
      </c>
      <c r="AA18" s="48" t="s">
        <v>314</v>
      </c>
      <c r="AB18" s="49" t="s">
        <v>344</v>
      </c>
      <c r="AC18" s="3">
        <v>2529.1243869999998</v>
      </c>
      <c r="AD18" s="3">
        <v>2392.9979669999998</v>
      </c>
      <c r="AE18" s="3">
        <v>1424.131061</v>
      </c>
      <c r="AF18" s="3">
        <v>432.37286810000001</v>
      </c>
      <c r="AG18" s="3">
        <v>4115.6600200000003</v>
      </c>
      <c r="AH18" s="3">
        <v>3265.123591</v>
      </c>
      <c r="AI18" s="3">
        <v>2969.6826289999999</v>
      </c>
      <c r="AJ18" s="3">
        <v>3210.7372449999998</v>
      </c>
      <c r="AK18" s="3">
        <v>1344.0183059999999</v>
      </c>
      <c r="AL18" s="3">
        <v>1952.1193880000001</v>
      </c>
      <c r="AM18" s="3">
        <v>3427.2860719999999</v>
      </c>
      <c r="AN18" s="3">
        <v>402.00420250000002</v>
      </c>
      <c r="AO18" s="3">
        <v>1310.71757</v>
      </c>
      <c r="AP18" s="48" t="s">
        <v>314</v>
      </c>
      <c r="AQ18" s="49" t="s">
        <v>344</v>
      </c>
      <c r="AR18" s="3">
        <v>950.22101799999996</v>
      </c>
      <c r="AS18" s="3">
        <v>1421.0965759999999</v>
      </c>
      <c r="AT18" s="3">
        <v>1233.0784610000001</v>
      </c>
      <c r="AU18" s="3">
        <v>1187.3872100000001</v>
      </c>
      <c r="AV18" s="3">
        <v>458.233206</v>
      </c>
      <c r="AW18" s="3">
        <v>2038.947705</v>
      </c>
      <c r="AX18" s="3">
        <v>1078.9726479999999</v>
      </c>
      <c r="AY18" s="3">
        <v>1518.4436250000001</v>
      </c>
      <c r="AZ18" s="3">
        <v>761.71183299999996</v>
      </c>
      <c r="BA18" s="3">
        <v>533.70531349999999</v>
      </c>
      <c r="BB18" s="3">
        <v>605.93141549999996</v>
      </c>
      <c r="BC18" s="3">
        <v>182.9560285</v>
      </c>
      <c r="BD18" s="3">
        <v>1304.9226389999999</v>
      </c>
      <c r="BE18" s="48" t="s">
        <v>314</v>
      </c>
      <c r="BF18" s="49" t="s">
        <v>344</v>
      </c>
      <c r="BG18" s="3">
        <v>1.6E-2</v>
      </c>
      <c r="BH18" s="3">
        <v>0.10100000000000001</v>
      </c>
      <c r="BI18" s="3">
        <v>0.11749999999999999</v>
      </c>
      <c r="BJ18" s="3">
        <v>3.3000000000000002E-2</v>
      </c>
      <c r="BK18" s="3">
        <v>0.14099999999999999</v>
      </c>
      <c r="BL18" s="3">
        <v>0.3155</v>
      </c>
      <c r="BM18" s="3">
        <v>7.0000000000000001E-3</v>
      </c>
      <c r="BN18" s="3">
        <v>0.123</v>
      </c>
      <c r="BO18" s="3">
        <v>0.122</v>
      </c>
      <c r="BP18" s="3">
        <v>8.0000000000000002E-3</v>
      </c>
      <c r="BQ18" s="3">
        <v>0.13800000000000001</v>
      </c>
      <c r="BR18" s="3">
        <v>0.10566666700000001</v>
      </c>
      <c r="BS18" s="3">
        <v>2.8000000000000001E-2</v>
      </c>
      <c r="BT18" s="3">
        <v>7.2999999999999995E-2</v>
      </c>
      <c r="BU18" s="3">
        <v>0.13391666699999999</v>
      </c>
      <c r="BV18" s="3">
        <v>2.7E-2</v>
      </c>
      <c r="BW18" s="3">
        <v>4.4999999999999998E-2</v>
      </c>
      <c r="BX18" s="3">
        <v>2.4E-2</v>
      </c>
      <c r="BY18" s="3">
        <v>4.2000000000000003E-2</v>
      </c>
      <c r="BZ18" s="3">
        <v>3.5999999999999997E-2</v>
      </c>
      <c r="CA18" s="3">
        <v>0.1205</v>
      </c>
      <c r="CB18" s="3">
        <v>7.0999999999999994E-2</v>
      </c>
      <c r="CC18" s="3">
        <v>6.9000000000000006E-2</v>
      </c>
      <c r="CD18" s="3">
        <v>0.15033333300000001</v>
      </c>
      <c r="CE18" s="3">
        <v>0.05</v>
      </c>
      <c r="CF18" s="3">
        <v>6.3E-2</v>
      </c>
      <c r="CG18" s="3">
        <v>8.2000000000000003E-2</v>
      </c>
      <c r="CH18" s="3">
        <v>5.0999999999999997E-2</v>
      </c>
      <c r="CI18" s="3">
        <v>6.3E-2</v>
      </c>
      <c r="CJ18" s="3">
        <v>8.7999999999999995E-2</v>
      </c>
      <c r="CK18" s="3">
        <v>4.9000000000000002E-2</v>
      </c>
      <c r="CL18" s="3">
        <v>6.9000000000000006E-2</v>
      </c>
      <c r="CM18" s="3">
        <v>0.1</v>
      </c>
      <c r="CN18" s="3">
        <v>0.09</v>
      </c>
      <c r="CO18" s="3">
        <v>4.3999999999999997E-2</v>
      </c>
      <c r="CP18" s="3">
        <v>8.2000000000000003E-2</v>
      </c>
      <c r="CQ18" s="3">
        <v>2.8000000000000001E-2</v>
      </c>
      <c r="CR18" s="3">
        <v>7.1999999999999995E-2</v>
      </c>
      <c r="CS18" s="3">
        <v>7.8E-2</v>
      </c>
      <c r="CT18" s="48" t="s">
        <v>314</v>
      </c>
      <c r="CU18" s="49" t="s">
        <v>344</v>
      </c>
      <c r="CV18" s="3">
        <v>1.0449999999999999</v>
      </c>
      <c r="CW18" s="3">
        <v>0.66900000000000004</v>
      </c>
      <c r="CX18" s="3">
        <v>1.5669999999999999</v>
      </c>
      <c r="CY18" s="3">
        <v>-0.22800000000000001</v>
      </c>
      <c r="CZ18" s="3">
        <v>1.448</v>
      </c>
      <c r="DA18" s="3">
        <v>0.57199999999999995</v>
      </c>
      <c r="DB18" s="3">
        <v>-6.6210000000000004</v>
      </c>
      <c r="DC18" s="3">
        <v>1.897</v>
      </c>
      <c r="DD18" s="3">
        <v>1.7929999999999999</v>
      </c>
      <c r="DE18" s="3">
        <v>1.774</v>
      </c>
      <c r="DF18" s="3">
        <v>1.5840000000000001</v>
      </c>
      <c r="DG18" s="3">
        <v>0.315</v>
      </c>
      <c r="DH18" s="3">
        <v>0.58799999999999997</v>
      </c>
    </row>
    <row r="19" spans="1:112" x14ac:dyDescent="0.3">
      <c r="A19" s="48" t="s">
        <v>314</v>
      </c>
      <c r="B19" s="49" t="s">
        <v>345</v>
      </c>
      <c r="C19" s="3">
        <v>31.062192</v>
      </c>
      <c r="D19" s="3">
        <v>39.975423999999997</v>
      </c>
      <c r="E19" s="3">
        <v>39.975423999999997</v>
      </c>
      <c r="F19" s="3">
        <v>42.397526999999997</v>
      </c>
      <c r="G19" s="3">
        <v>43.802530500000003</v>
      </c>
      <c r="H19" s="3">
        <v>39.975423999999997</v>
      </c>
      <c r="I19" s="48" t="s">
        <v>314</v>
      </c>
      <c r="J19" s="49" t="s">
        <v>345</v>
      </c>
      <c r="K19" s="3">
        <v>51774</v>
      </c>
      <c r="L19" s="48" t="s">
        <v>314</v>
      </c>
      <c r="M19" s="49" t="s">
        <v>345</v>
      </c>
      <c r="N19" s="3">
        <v>7278.4889540000004</v>
      </c>
      <c r="O19" s="3">
        <v>9733.0709910000005</v>
      </c>
      <c r="P19" s="3">
        <v>5356.3553000000002</v>
      </c>
      <c r="Q19" s="3">
        <v>4762.7051929999998</v>
      </c>
      <c r="R19" s="3">
        <v>8849.4873399999997</v>
      </c>
      <c r="S19" s="3">
        <v>10639.0578</v>
      </c>
      <c r="T19" s="3">
        <v>7384.6864869999999</v>
      </c>
      <c r="U19" s="3">
        <v>10316.584860000001</v>
      </c>
      <c r="V19" s="3">
        <v>6029.8205639999996</v>
      </c>
      <c r="W19" s="3">
        <v>4713.0331409999999</v>
      </c>
      <c r="X19" s="3">
        <v>8610.7246290000003</v>
      </c>
      <c r="Y19" s="3">
        <v>905.14066260000004</v>
      </c>
      <c r="Z19" s="3">
        <v>3947.1092779999999</v>
      </c>
      <c r="AA19" s="48" t="s">
        <v>314</v>
      </c>
      <c r="AB19" s="49" t="s">
        <v>345</v>
      </c>
      <c r="AC19" s="3">
        <v>1966.3592920000001</v>
      </c>
      <c r="AD19" s="3">
        <v>1860.52288</v>
      </c>
      <c r="AE19" s="3">
        <v>1107.242238</v>
      </c>
      <c r="AF19" s="3">
        <v>336.16393529999999</v>
      </c>
      <c r="AG19" s="3">
        <v>3199.8688419999999</v>
      </c>
      <c r="AH19" s="3">
        <v>2538.5885109999999</v>
      </c>
      <c r="AI19" s="3">
        <v>2342.9910869999999</v>
      </c>
      <c r="AJ19" s="3">
        <v>2496.3038780000002</v>
      </c>
      <c r="AK19" s="3">
        <v>1044.955676</v>
      </c>
      <c r="AL19" s="3">
        <v>1517.745872</v>
      </c>
      <c r="AM19" s="3">
        <v>2664.6676010000001</v>
      </c>
      <c r="AN19" s="3">
        <v>312.5527171</v>
      </c>
      <c r="AO19" s="3">
        <v>1019.064814</v>
      </c>
      <c r="AP19" s="48" t="s">
        <v>314</v>
      </c>
      <c r="AQ19" s="49" t="s">
        <v>345</v>
      </c>
      <c r="AR19" s="3">
        <v>947.93132879999996</v>
      </c>
      <c r="AS19" s="3">
        <v>1417.672247</v>
      </c>
      <c r="AT19" s="3">
        <v>1230.107188</v>
      </c>
      <c r="AU19" s="3">
        <v>1184.526036</v>
      </c>
      <c r="AV19" s="3">
        <v>457.12902960000002</v>
      </c>
      <c r="AW19" s="3">
        <v>2034.034578</v>
      </c>
      <c r="AX19" s="3">
        <v>1066.158246</v>
      </c>
      <c r="AY19" s="3">
        <v>1514.7847240000001</v>
      </c>
      <c r="AZ19" s="3">
        <v>759.87638279999999</v>
      </c>
      <c r="BA19" s="3">
        <v>532.41927659999999</v>
      </c>
      <c r="BB19" s="3">
        <v>604.47133980000001</v>
      </c>
      <c r="BC19" s="3">
        <v>182.5151706</v>
      </c>
      <c r="BD19" s="3">
        <v>1301.778247</v>
      </c>
      <c r="BE19" s="48" t="s">
        <v>314</v>
      </c>
      <c r="BF19" s="49" t="s">
        <v>345</v>
      </c>
      <c r="BG19" s="3">
        <v>0</v>
      </c>
      <c r="BH19" s="3">
        <v>0.108</v>
      </c>
      <c r="BI19" s="3">
        <v>0.1245</v>
      </c>
      <c r="BJ19" s="3">
        <v>0</v>
      </c>
      <c r="BK19" s="3">
        <v>0.16300000000000001</v>
      </c>
      <c r="BL19" s="3">
        <v>0.33900000000000002</v>
      </c>
      <c r="BM19" s="3">
        <v>0</v>
      </c>
      <c r="BN19" s="3">
        <v>0.13</v>
      </c>
      <c r="BO19" s="3">
        <v>0.1285</v>
      </c>
      <c r="BP19" s="3">
        <v>0</v>
      </c>
      <c r="BQ19" s="3">
        <v>0.16</v>
      </c>
      <c r="BR19" s="3">
        <v>0.121333333</v>
      </c>
      <c r="BS19" s="3">
        <v>0</v>
      </c>
      <c r="BT19" s="3">
        <v>7.2999999999999995E-2</v>
      </c>
      <c r="BU19" s="3">
        <v>0.134583334</v>
      </c>
      <c r="BV19" s="3">
        <v>0</v>
      </c>
      <c r="BW19" s="3">
        <v>3.9E-2</v>
      </c>
      <c r="BX19" s="3">
        <v>2.1000000000000001E-2</v>
      </c>
      <c r="BY19" s="3">
        <v>0</v>
      </c>
      <c r="BZ19" s="3">
        <v>5.8999999999999997E-2</v>
      </c>
      <c r="CA19" s="3">
        <v>0.11650000000000001</v>
      </c>
      <c r="CB19" s="3">
        <v>0</v>
      </c>
      <c r="CC19" s="3">
        <v>6.9000000000000006E-2</v>
      </c>
      <c r="CD19" s="3">
        <v>0.144666667</v>
      </c>
      <c r="CE19" s="3">
        <v>0</v>
      </c>
      <c r="CF19" s="3">
        <v>5.8999999999999997E-2</v>
      </c>
      <c r="CG19" s="3">
        <v>7.8E-2</v>
      </c>
      <c r="CH19" s="3">
        <v>0</v>
      </c>
      <c r="CI19" s="3">
        <v>5.8000000000000003E-2</v>
      </c>
      <c r="CJ19" s="3">
        <v>9.3666666999999995E-2</v>
      </c>
      <c r="CK19" s="3">
        <v>0</v>
      </c>
      <c r="CL19" s="3">
        <v>7.0000000000000007E-2</v>
      </c>
      <c r="CM19" s="3">
        <v>0.1</v>
      </c>
      <c r="CN19" s="3">
        <v>0</v>
      </c>
      <c r="CO19" s="3">
        <v>4.4999999999999998E-2</v>
      </c>
      <c r="CP19" s="3">
        <v>9.1333333000000003E-2</v>
      </c>
      <c r="CQ19" s="3">
        <v>0</v>
      </c>
      <c r="CR19" s="3">
        <v>7.0000000000000007E-2</v>
      </c>
      <c r="CS19" s="3">
        <v>7.9000000000000001E-2</v>
      </c>
      <c r="CT19" s="48" t="s">
        <v>314</v>
      </c>
      <c r="CU19" s="49" t="s">
        <v>345</v>
      </c>
      <c r="CV19" s="3">
        <v>-0.14799999999999999</v>
      </c>
      <c r="CW19" s="3">
        <v>-0.76800000000000002</v>
      </c>
      <c r="CX19" s="3">
        <v>0.51200000000000001</v>
      </c>
      <c r="CY19" s="3">
        <v>-0.99399999999999999</v>
      </c>
      <c r="CZ19" s="3">
        <v>-4.2999999999999997E-2</v>
      </c>
      <c r="DA19" s="3">
        <v>-0.28599999999999998</v>
      </c>
      <c r="DB19" s="3">
        <v>-8.01</v>
      </c>
      <c r="DC19" s="3">
        <v>0.94699999999999995</v>
      </c>
      <c r="DD19" s="3">
        <v>0.34899999999999998</v>
      </c>
      <c r="DE19" s="3">
        <v>0.32600000000000001</v>
      </c>
      <c r="DF19" s="3">
        <v>0.56799999999999995</v>
      </c>
      <c r="DG19" s="3">
        <v>-0.38800000000000001</v>
      </c>
      <c r="DH19" s="3">
        <v>-0.154</v>
      </c>
    </row>
    <row r="20" spans="1:112" x14ac:dyDescent="0.3">
      <c r="A20" s="48" t="s">
        <v>314</v>
      </c>
      <c r="B20" s="49" t="s">
        <v>346</v>
      </c>
      <c r="C20" s="3">
        <v>104.889504</v>
      </c>
      <c r="D20" s="3">
        <v>49.586080000000003</v>
      </c>
      <c r="E20" s="3">
        <v>43.117663999999998</v>
      </c>
      <c r="F20" s="3">
        <v>42.5477475</v>
      </c>
      <c r="G20" s="3">
        <v>43.952750999999999</v>
      </c>
      <c r="H20" s="3">
        <v>49.586080000000003</v>
      </c>
      <c r="I20" s="48" t="s">
        <v>314</v>
      </c>
      <c r="J20" s="49" t="s">
        <v>346</v>
      </c>
      <c r="K20" s="3">
        <v>53718</v>
      </c>
      <c r="L20" s="48" t="s">
        <v>314</v>
      </c>
      <c r="M20" s="49" t="s">
        <v>346</v>
      </c>
      <c r="N20" s="3">
        <v>9840.4612149999994</v>
      </c>
      <c r="O20" s="3">
        <v>12983.89676</v>
      </c>
      <c r="P20" s="3">
        <v>7087.3260110000001</v>
      </c>
      <c r="Q20" s="3">
        <v>5888.4462039999999</v>
      </c>
      <c r="R20" s="3">
        <v>11723.28386</v>
      </c>
      <c r="S20" s="3">
        <v>14253.212170000001</v>
      </c>
      <c r="T20" s="3">
        <v>9308.0030690000003</v>
      </c>
      <c r="U20" s="3">
        <v>13754.578890000001</v>
      </c>
      <c r="V20" s="3">
        <v>9572.6664099999998</v>
      </c>
      <c r="W20" s="3">
        <v>7766.7640270000002</v>
      </c>
      <c r="X20" s="3">
        <v>11149.947179999999</v>
      </c>
      <c r="Y20" s="3">
        <v>1255.2005859999999</v>
      </c>
      <c r="Z20" s="3">
        <v>5589.2616019999996</v>
      </c>
      <c r="AA20" s="48" t="s">
        <v>314</v>
      </c>
      <c r="AB20" s="49" t="s">
        <v>346</v>
      </c>
      <c r="AC20" s="3">
        <v>1981.2184299999999</v>
      </c>
      <c r="AD20" s="3">
        <v>1874.5822470000001</v>
      </c>
      <c r="AE20" s="3">
        <v>1115.6093069999999</v>
      </c>
      <c r="AF20" s="3">
        <v>338.70421690000001</v>
      </c>
      <c r="AG20" s="3">
        <v>3224.049211</v>
      </c>
      <c r="AH20" s="3">
        <v>2557.7718</v>
      </c>
      <c r="AI20" s="3">
        <v>2366.4209980000001</v>
      </c>
      <c r="AJ20" s="3">
        <v>2515.1676349999998</v>
      </c>
      <c r="AK20" s="3">
        <v>1052.852067</v>
      </c>
      <c r="AL20" s="3">
        <v>1529.214984</v>
      </c>
      <c r="AM20" s="3">
        <v>2684.8036280000001</v>
      </c>
      <c r="AN20" s="3">
        <v>314.91457639999999</v>
      </c>
      <c r="AO20" s="3">
        <v>1026.7655560000001</v>
      </c>
      <c r="AP20" s="48" t="s">
        <v>314</v>
      </c>
      <c r="AQ20" s="49" t="s">
        <v>346</v>
      </c>
      <c r="AR20" s="3">
        <v>975.40759920000005</v>
      </c>
      <c r="AS20" s="3">
        <v>1458.764197</v>
      </c>
      <c r="AT20" s="3">
        <v>1265.7624679999999</v>
      </c>
      <c r="AU20" s="3">
        <v>1218.860124</v>
      </c>
      <c r="AV20" s="3">
        <v>470.37914640000002</v>
      </c>
      <c r="AW20" s="3">
        <v>2092.9921020000002</v>
      </c>
      <c r="AX20" s="3">
        <v>1091.7870499999999</v>
      </c>
      <c r="AY20" s="3">
        <v>1558.6915280000001</v>
      </c>
      <c r="AZ20" s="3">
        <v>781.90178519999995</v>
      </c>
      <c r="BA20" s="3">
        <v>547.85171939999998</v>
      </c>
      <c r="BB20" s="3">
        <v>621.99224819999995</v>
      </c>
      <c r="BC20" s="3">
        <v>187.8054654</v>
      </c>
      <c r="BD20" s="3">
        <v>1339.510949</v>
      </c>
      <c r="BE20" s="48" t="s">
        <v>314</v>
      </c>
      <c r="BF20" s="49" t="s">
        <v>346</v>
      </c>
      <c r="BG20" s="3">
        <v>0</v>
      </c>
      <c r="BH20" s="3">
        <v>9.9000000000000005E-2</v>
      </c>
      <c r="BI20" s="3">
        <v>0.1275</v>
      </c>
      <c r="BJ20" s="3">
        <v>0</v>
      </c>
      <c r="BK20" s="3">
        <v>0.155</v>
      </c>
      <c r="BL20" s="3">
        <v>0.33</v>
      </c>
      <c r="BM20" s="3">
        <v>0</v>
      </c>
      <c r="BN20" s="3">
        <v>0.113</v>
      </c>
      <c r="BO20" s="3">
        <v>0.1265</v>
      </c>
      <c r="BP20" s="3">
        <v>0</v>
      </c>
      <c r="BQ20" s="3">
        <v>0.155</v>
      </c>
      <c r="BR20" s="3">
        <v>0.13300000000000001</v>
      </c>
      <c r="BS20" s="3">
        <v>0</v>
      </c>
      <c r="BT20" s="3">
        <v>5.8999999999999997E-2</v>
      </c>
      <c r="BU20" s="3">
        <v>0.131583334</v>
      </c>
      <c r="BV20" s="3">
        <v>0</v>
      </c>
      <c r="BW20" s="3">
        <v>2.5999999999999999E-2</v>
      </c>
      <c r="BX20" s="3">
        <v>1.7999999999999999E-2</v>
      </c>
      <c r="BY20" s="3">
        <v>0</v>
      </c>
      <c r="BZ20" s="3">
        <v>8.7999999999999995E-2</v>
      </c>
      <c r="CA20" s="3">
        <v>0.13750000000000001</v>
      </c>
      <c r="CB20" s="3">
        <v>0</v>
      </c>
      <c r="CC20" s="3">
        <v>5.7000000000000002E-2</v>
      </c>
      <c r="CD20" s="3">
        <v>0.13566666699999999</v>
      </c>
      <c r="CE20" s="3">
        <v>0</v>
      </c>
      <c r="CF20" s="3">
        <v>4.4999999999999998E-2</v>
      </c>
      <c r="CG20" s="3">
        <v>6.1499999999999999E-2</v>
      </c>
      <c r="CH20" s="3">
        <v>0</v>
      </c>
      <c r="CI20" s="3">
        <v>4.4999999999999998E-2</v>
      </c>
      <c r="CJ20" s="3">
        <v>8.4333332999999996E-2</v>
      </c>
      <c r="CK20" s="3">
        <v>0</v>
      </c>
      <c r="CL20" s="3">
        <v>5.7000000000000002E-2</v>
      </c>
      <c r="CM20" s="3">
        <v>0.1</v>
      </c>
      <c r="CN20" s="3">
        <v>0</v>
      </c>
      <c r="CO20" s="3">
        <v>4.2999999999999997E-2</v>
      </c>
      <c r="CP20" s="3">
        <v>9.6666666999999998E-2</v>
      </c>
      <c r="CQ20" s="3">
        <v>0</v>
      </c>
      <c r="CR20" s="3">
        <v>5.7000000000000002E-2</v>
      </c>
      <c r="CS20" s="3">
        <v>6.6000000000000003E-2</v>
      </c>
      <c r="CT20" s="48" t="s">
        <v>314</v>
      </c>
      <c r="CU20" s="49" t="s">
        <v>346</v>
      </c>
      <c r="CV20" s="3">
        <v>-0.41399999999999998</v>
      </c>
      <c r="CW20" s="3">
        <v>-1.046</v>
      </c>
      <c r="CX20" s="3">
        <v>0.23499999999999999</v>
      </c>
      <c r="CY20" s="3">
        <v>-1.1220000000000001</v>
      </c>
      <c r="CZ20" s="3">
        <v>-0.38600000000000001</v>
      </c>
      <c r="DA20" s="3">
        <v>-0.22900000000000001</v>
      </c>
      <c r="DB20" s="3">
        <v>-8.6</v>
      </c>
      <c r="DC20" s="3">
        <v>0.92400000000000004</v>
      </c>
      <c r="DD20" s="3">
        <v>0.16300000000000001</v>
      </c>
      <c r="DE20" s="3">
        <v>0.14399999999999999</v>
      </c>
      <c r="DF20" s="3">
        <v>0.53800000000000003</v>
      </c>
      <c r="DG20" s="3">
        <v>-0.46400000000000002</v>
      </c>
      <c r="DH20" s="3">
        <v>-0.105</v>
      </c>
    </row>
    <row r="21" spans="1:112" x14ac:dyDescent="0.3">
      <c r="A21" s="48" t="s">
        <v>314</v>
      </c>
      <c r="B21" s="49" t="s">
        <v>347</v>
      </c>
      <c r="C21" s="3">
        <v>104.889504</v>
      </c>
      <c r="D21" s="3">
        <v>42.083024000000002</v>
      </c>
      <c r="E21" s="3">
        <v>40.588543999999999</v>
      </c>
      <c r="F21" s="3">
        <v>36.644965499999998</v>
      </c>
      <c r="G21" s="3">
        <v>39.578683499999997</v>
      </c>
      <c r="H21" s="3">
        <v>42.083024000000002</v>
      </c>
      <c r="I21" s="48" t="s">
        <v>314</v>
      </c>
      <c r="J21" s="49" t="s">
        <v>347</v>
      </c>
      <c r="K21" s="3">
        <v>52801.5</v>
      </c>
      <c r="L21" s="48" t="s">
        <v>314</v>
      </c>
      <c r="M21" s="49" t="s">
        <v>347</v>
      </c>
      <c r="N21" s="3">
        <v>11070.574860000001</v>
      </c>
      <c r="O21" s="3">
        <v>14367.541639999999</v>
      </c>
      <c r="P21" s="3">
        <v>7924.8459359999997</v>
      </c>
      <c r="Q21" s="3">
        <v>6329.2870270000003</v>
      </c>
      <c r="R21" s="3">
        <v>13410.712390000001</v>
      </c>
      <c r="S21" s="3">
        <v>15924.973040000001</v>
      </c>
      <c r="T21" s="3">
        <v>10373.776320000001</v>
      </c>
      <c r="U21" s="3">
        <v>15849.359049999999</v>
      </c>
      <c r="V21" s="3">
        <v>11056.38264</v>
      </c>
      <c r="W21" s="3">
        <v>9291.944383</v>
      </c>
      <c r="X21" s="3">
        <v>12077.313410000001</v>
      </c>
      <c r="Y21" s="3">
        <v>1437.332576</v>
      </c>
      <c r="Z21" s="3">
        <v>6686.991626</v>
      </c>
      <c r="AA21" s="48" t="s">
        <v>314</v>
      </c>
      <c r="AB21" s="49" t="s">
        <v>347</v>
      </c>
      <c r="AC21" s="3">
        <v>1877.204463</v>
      </c>
      <c r="AD21" s="3">
        <v>1776.1666789999999</v>
      </c>
      <c r="AE21" s="3">
        <v>1057.0398190000001</v>
      </c>
      <c r="AF21" s="3">
        <v>320.9222456</v>
      </c>
      <c r="AG21" s="3">
        <v>3054.786627</v>
      </c>
      <c r="AH21" s="3">
        <v>2423.4887800000001</v>
      </c>
      <c r="AI21" s="3">
        <v>2319.561177</v>
      </c>
      <c r="AJ21" s="3">
        <v>2383.1213339999999</v>
      </c>
      <c r="AK21" s="3">
        <v>997.57733329999996</v>
      </c>
      <c r="AL21" s="3">
        <v>1448.9311970000001</v>
      </c>
      <c r="AM21" s="3">
        <v>2543.8514380000001</v>
      </c>
      <c r="AN21" s="3">
        <v>298.3815611</v>
      </c>
      <c r="AO21" s="3">
        <v>972.860364</v>
      </c>
      <c r="AP21" s="48" t="s">
        <v>314</v>
      </c>
      <c r="AQ21" s="49" t="s">
        <v>347</v>
      </c>
      <c r="AR21" s="3">
        <v>970.82822080000005</v>
      </c>
      <c r="AS21" s="3">
        <v>1451.915538</v>
      </c>
      <c r="AT21" s="3">
        <v>1259.8199219999999</v>
      </c>
      <c r="AU21" s="3">
        <v>1213.137776</v>
      </c>
      <c r="AV21" s="3">
        <v>468.17079360000002</v>
      </c>
      <c r="AW21" s="3">
        <v>2083.1658480000001</v>
      </c>
      <c r="AX21" s="3">
        <v>1068.721127</v>
      </c>
      <c r="AY21" s="3">
        <v>1551.3737269999999</v>
      </c>
      <c r="AZ21" s="3">
        <v>778.23088480000001</v>
      </c>
      <c r="BA21" s="3">
        <v>545.27964559999998</v>
      </c>
      <c r="BB21" s="3">
        <v>619.07209680000005</v>
      </c>
      <c r="BC21" s="3">
        <v>186.92374960000001</v>
      </c>
      <c r="BD21" s="3">
        <v>1333.222166</v>
      </c>
      <c r="BE21" s="48" t="s">
        <v>314</v>
      </c>
      <c r="BF21" s="49" t="s">
        <v>347</v>
      </c>
      <c r="BG21" s="3">
        <v>0</v>
      </c>
      <c r="BH21" s="3">
        <v>8.1000000000000003E-2</v>
      </c>
      <c r="BI21" s="3">
        <v>0.1275</v>
      </c>
      <c r="BJ21" s="3">
        <v>0</v>
      </c>
      <c r="BK21" s="3">
        <v>0.13100000000000001</v>
      </c>
      <c r="BL21" s="3">
        <v>0.307</v>
      </c>
      <c r="BM21" s="3">
        <v>0</v>
      </c>
      <c r="BN21" s="3">
        <v>8.5999999999999993E-2</v>
      </c>
      <c r="BO21" s="3">
        <v>0.121</v>
      </c>
      <c r="BP21" s="3">
        <v>0</v>
      </c>
      <c r="BQ21" s="3">
        <v>0.13500000000000001</v>
      </c>
      <c r="BR21" s="3">
        <v>0.14233333300000001</v>
      </c>
      <c r="BS21" s="3">
        <v>0</v>
      </c>
      <c r="BT21" s="3">
        <v>3.7999999999999999E-2</v>
      </c>
      <c r="BU21" s="3">
        <v>0.121083334</v>
      </c>
      <c r="BV21" s="3">
        <v>0</v>
      </c>
      <c r="BW21" s="3">
        <v>1.2999999999999999E-2</v>
      </c>
      <c r="BX21" s="3">
        <v>1.7999999999999999E-2</v>
      </c>
      <c r="BY21" s="3">
        <v>0</v>
      </c>
      <c r="BZ21" s="3">
        <v>0.11700000000000001</v>
      </c>
      <c r="CA21" s="3">
        <v>0.183</v>
      </c>
      <c r="CB21" s="3">
        <v>0</v>
      </c>
      <c r="CC21" s="3">
        <v>3.7999999999999999E-2</v>
      </c>
      <c r="CD21" s="3">
        <v>0.114666667</v>
      </c>
      <c r="CE21" s="3">
        <v>0</v>
      </c>
      <c r="CF21" s="3">
        <v>2.5999999999999999E-2</v>
      </c>
      <c r="CG21" s="3">
        <v>3.9E-2</v>
      </c>
      <c r="CH21" s="3">
        <v>0</v>
      </c>
      <c r="CI21" s="3">
        <v>2.5999999999999999E-2</v>
      </c>
      <c r="CJ21" s="3">
        <v>7.8E-2</v>
      </c>
      <c r="CK21" s="3">
        <v>0</v>
      </c>
      <c r="CL21" s="3">
        <v>3.7999999999999999E-2</v>
      </c>
      <c r="CM21" s="3">
        <v>0.1</v>
      </c>
      <c r="CN21" s="3">
        <v>0</v>
      </c>
      <c r="CO21" s="3">
        <v>3.7999999999999999E-2</v>
      </c>
      <c r="CP21" s="3">
        <v>9.7666666999999999E-2</v>
      </c>
      <c r="CQ21" s="3">
        <v>0</v>
      </c>
      <c r="CR21" s="3">
        <v>3.9E-2</v>
      </c>
      <c r="CS21" s="3">
        <v>5.1999999999999998E-2</v>
      </c>
      <c r="CT21" s="48" t="s">
        <v>314</v>
      </c>
      <c r="CU21" s="49" t="s">
        <v>347</v>
      </c>
      <c r="CV21" s="3">
        <v>-0.61099999999999999</v>
      </c>
      <c r="CW21" s="3">
        <v>-1.232</v>
      </c>
      <c r="CX21" s="3">
        <v>3.0000000000000001E-3</v>
      </c>
      <c r="CY21" s="3">
        <v>-1.1379999999999999</v>
      </c>
      <c r="CZ21" s="3">
        <v>-0.41899999999999998</v>
      </c>
      <c r="DA21" s="3">
        <v>-5.1999999999999998E-2</v>
      </c>
      <c r="DB21" s="3">
        <v>-8.5069999999999997</v>
      </c>
      <c r="DC21" s="3">
        <v>1.024</v>
      </c>
      <c r="DD21" s="3">
        <v>0.22900000000000001</v>
      </c>
      <c r="DE21" s="3">
        <v>0.214</v>
      </c>
      <c r="DF21" s="3">
        <v>0.65500000000000003</v>
      </c>
      <c r="DG21" s="3">
        <v>-0.45</v>
      </c>
      <c r="DH21" s="3">
        <v>0.114</v>
      </c>
    </row>
    <row r="22" spans="1:112" x14ac:dyDescent="0.3">
      <c r="A22" s="48" t="s">
        <v>314</v>
      </c>
      <c r="B22" s="49" t="s">
        <v>348</v>
      </c>
      <c r="C22" s="3">
        <v>34.288736</v>
      </c>
      <c r="D22" s="3">
        <v>39.117055999999998</v>
      </c>
      <c r="E22" s="3">
        <v>34.488</v>
      </c>
      <c r="F22" s="3">
        <v>34.0293615</v>
      </c>
      <c r="G22" s="3">
        <v>34.312129499999998</v>
      </c>
      <c r="H22" s="3">
        <v>39.117055999999998</v>
      </c>
      <c r="I22" s="48" t="s">
        <v>314</v>
      </c>
      <c r="J22" s="49" t="s">
        <v>348</v>
      </c>
      <c r="K22" s="3">
        <v>51401.5</v>
      </c>
      <c r="L22" s="48" t="s">
        <v>314</v>
      </c>
      <c r="M22" s="49" t="s">
        <v>348</v>
      </c>
      <c r="N22" s="3">
        <v>11680.230320000001</v>
      </c>
      <c r="O22" s="3">
        <v>15316.194100000001</v>
      </c>
      <c r="P22" s="3">
        <v>8618.742193</v>
      </c>
      <c r="Q22" s="3">
        <v>6879.2825839999996</v>
      </c>
      <c r="R22" s="3">
        <v>14849.51714</v>
      </c>
      <c r="S22" s="3">
        <v>17357.471969999999</v>
      </c>
      <c r="T22" s="3">
        <v>11610.19289</v>
      </c>
      <c r="U22" s="3">
        <v>17037.380990000001</v>
      </c>
      <c r="V22" s="3">
        <v>11446.119640000001</v>
      </c>
      <c r="W22" s="3">
        <v>9844.821269</v>
      </c>
      <c r="X22" s="3">
        <v>12818.42244</v>
      </c>
      <c r="Y22" s="3">
        <v>1579.0916549999999</v>
      </c>
      <c r="Z22" s="3">
        <v>6930.6447699999999</v>
      </c>
      <c r="AA22" s="48" t="s">
        <v>314</v>
      </c>
      <c r="AB22" s="49" t="s">
        <v>348</v>
      </c>
      <c r="AC22" s="3">
        <v>1289.7731980000001</v>
      </c>
      <c r="AD22" s="3">
        <v>1220.3530430000001</v>
      </c>
      <c r="AE22" s="3">
        <v>726.26165909999997</v>
      </c>
      <c r="AF22" s="3">
        <v>220.49644520000001</v>
      </c>
      <c r="AG22" s="3">
        <v>2098.8560360000001</v>
      </c>
      <c r="AH22" s="3">
        <v>1665.1094419999999</v>
      </c>
      <c r="AI22" s="3">
        <v>1582.69048</v>
      </c>
      <c r="AJ22" s="3">
        <v>1637.3741299999999</v>
      </c>
      <c r="AK22" s="3">
        <v>685.40669549999996</v>
      </c>
      <c r="AL22" s="3">
        <v>995.51895469999999</v>
      </c>
      <c r="AM22" s="3">
        <v>1747.8071620000001</v>
      </c>
      <c r="AN22" s="3">
        <v>205.00938919999999</v>
      </c>
      <c r="AO22" s="3">
        <v>668.42437670000004</v>
      </c>
      <c r="AP22" s="48" t="s">
        <v>314</v>
      </c>
      <c r="AQ22" s="49" t="s">
        <v>348</v>
      </c>
      <c r="AR22" s="3">
        <v>954.80039639999995</v>
      </c>
      <c r="AS22" s="3">
        <v>1427.9452349999999</v>
      </c>
      <c r="AT22" s="3">
        <v>1239.0210079999999</v>
      </c>
      <c r="AU22" s="3">
        <v>1193.1095580000001</v>
      </c>
      <c r="AV22" s="3">
        <v>460.4415588</v>
      </c>
      <c r="AW22" s="3">
        <v>2048.7739590000001</v>
      </c>
      <c r="AX22" s="3">
        <v>1055.9067250000001</v>
      </c>
      <c r="AY22" s="3">
        <v>1525.7614249999999</v>
      </c>
      <c r="AZ22" s="3">
        <v>765.38273340000001</v>
      </c>
      <c r="BA22" s="3">
        <v>536.27738729999999</v>
      </c>
      <c r="BB22" s="3">
        <v>608.85156689999997</v>
      </c>
      <c r="BC22" s="3">
        <v>183.8377443</v>
      </c>
      <c r="BD22" s="3">
        <v>1311.2114220000001</v>
      </c>
      <c r="BE22" s="48" t="s">
        <v>314</v>
      </c>
      <c r="BF22" s="49" t="s">
        <v>348</v>
      </c>
      <c r="BG22" s="3">
        <v>0</v>
      </c>
      <c r="BH22" s="3">
        <v>6.0999999999999999E-2</v>
      </c>
      <c r="BI22" s="3">
        <v>0.126</v>
      </c>
      <c r="BJ22" s="3">
        <v>0</v>
      </c>
      <c r="BK22" s="3">
        <v>0.105</v>
      </c>
      <c r="BL22" s="3">
        <v>0.28100000000000003</v>
      </c>
      <c r="BM22" s="3">
        <v>0</v>
      </c>
      <c r="BN22" s="3">
        <v>5.8999999999999997E-2</v>
      </c>
      <c r="BO22" s="3">
        <v>0.115</v>
      </c>
      <c r="BP22" s="3">
        <v>0</v>
      </c>
      <c r="BQ22" s="3">
        <v>0.113</v>
      </c>
      <c r="BR22" s="3">
        <v>0.15366666700000001</v>
      </c>
      <c r="BS22" s="3">
        <v>0</v>
      </c>
      <c r="BT22" s="3">
        <v>1.7999999999999999E-2</v>
      </c>
      <c r="BU22" s="3">
        <v>0.103666667</v>
      </c>
      <c r="BV22" s="3">
        <v>0</v>
      </c>
      <c r="BW22" s="3">
        <v>6.0000000000000001E-3</v>
      </c>
      <c r="BX22" s="3">
        <v>2.5000000000000001E-2</v>
      </c>
      <c r="BY22" s="3">
        <v>0</v>
      </c>
      <c r="BZ22" s="3">
        <v>0.14000000000000001</v>
      </c>
      <c r="CA22" s="3">
        <v>0.22950000000000001</v>
      </c>
      <c r="CB22" s="3">
        <v>0</v>
      </c>
      <c r="CC22" s="3">
        <v>0.02</v>
      </c>
      <c r="CD22" s="3">
        <v>8.1333332999999994E-2</v>
      </c>
      <c r="CE22" s="3">
        <v>0</v>
      </c>
      <c r="CF22" s="3">
        <v>8.9999999999999993E-3</v>
      </c>
      <c r="CG22" s="3">
        <v>1.8499999999999999E-2</v>
      </c>
      <c r="CH22" s="3">
        <v>0</v>
      </c>
      <c r="CI22" s="3">
        <v>8.0000000000000002E-3</v>
      </c>
      <c r="CJ22" s="3">
        <v>9.1999999999999998E-2</v>
      </c>
      <c r="CK22" s="3">
        <v>0</v>
      </c>
      <c r="CL22" s="3">
        <v>2.9000000000000001E-2</v>
      </c>
      <c r="CM22" s="3">
        <v>0.1</v>
      </c>
      <c r="CN22" s="3">
        <v>0</v>
      </c>
      <c r="CO22" s="3">
        <v>3.6999999999999998E-2</v>
      </c>
      <c r="CP22" s="3">
        <v>0.1</v>
      </c>
      <c r="CQ22" s="3">
        <v>0</v>
      </c>
      <c r="CR22" s="3">
        <v>0.03</v>
      </c>
      <c r="CS22" s="3">
        <v>5.8000000000000003E-2</v>
      </c>
      <c r="CT22" s="48" t="s">
        <v>314</v>
      </c>
      <c r="CU22" s="49" t="s">
        <v>348</v>
      </c>
      <c r="CV22" s="3">
        <v>-0.77200000000000002</v>
      </c>
      <c r="CW22" s="3">
        <v>-1.3959999999999999</v>
      </c>
      <c r="CX22" s="3">
        <v>-0.16700000000000001</v>
      </c>
      <c r="CY22" s="3">
        <v>-1.1279999999999999</v>
      </c>
      <c r="CZ22" s="3">
        <v>-0.34499999999999997</v>
      </c>
      <c r="DA22" s="3">
        <v>-7.4999999999999997E-2</v>
      </c>
      <c r="DB22" s="3">
        <v>-8.1180000000000003</v>
      </c>
      <c r="DC22" s="3">
        <v>1.208</v>
      </c>
      <c r="DD22" s="3">
        <v>0.50800000000000001</v>
      </c>
      <c r="DE22" s="3">
        <v>0.499</v>
      </c>
      <c r="DF22" s="3">
        <v>0.88400000000000001</v>
      </c>
      <c r="DG22" s="3">
        <v>-0.48899999999999999</v>
      </c>
      <c r="DH22" s="3">
        <v>0.26900000000000002</v>
      </c>
    </row>
    <row r="23" spans="1:112" x14ac:dyDescent="0.3">
      <c r="A23" s="48" t="s">
        <v>314</v>
      </c>
      <c r="B23" s="49" t="s">
        <v>349</v>
      </c>
      <c r="C23" s="3">
        <v>34.763903999999997</v>
      </c>
      <c r="D23" s="3">
        <v>33.997503999999999</v>
      </c>
      <c r="E23" s="3">
        <v>30.655999999999999</v>
      </c>
      <c r="F23" s="3">
        <v>32.270898000000003</v>
      </c>
      <c r="G23" s="3">
        <v>32.642031000000003</v>
      </c>
      <c r="H23" s="3">
        <v>33.997503999999999</v>
      </c>
      <c r="I23" s="48" t="s">
        <v>314</v>
      </c>
      <c r="J23" s="49" t="s">
        <v>349</v>
      </c>
      <c r="K23" s="3">
        <v>48548.5</v>
      </c>
      <c r="L23" s="48" t="s">
        <v>314</v>
      </c>
      <c r="M23" s="49" t="s">
        <v>349</v>
      </c>
      <c r="N23" s="3">
        <v>10822.06409</v>
      </c>
      <c r="O23" s="3">
        <v>13960.78384</v>
      </c>
      <c r="P23" s="3">
        <v>7816.2558740000004</v>
      </c>
      <c r="Q23" s="3">
        <v>6273.4576889999998</v>
      </c>
      <c r="R23" s="3">
        <v>14236.479009999999</v>
      </c>
      <c r="S23" s="3">
        <v>16179.41705</v>
      </c>
      <c r="T23" s="3">
        <v>11175.75748</v>
      </c>
      <c r="U23" s="3">
        <v>15930.481159999999</v>
      </c>
      <c r="V23" s="3">
        <v>10791.22795</v>
      </c>
      <c r="W23" s="3">
        <v>8976.9777389999999</v>
      </c>
      <c r="X23" s="3">
        <v>12025.772139999999</v>
      </c>
      <c r="Y23" s="3">
        <v>1484.920249</v>
      </c>
      <c r="Z23" s="3">
        <v>6244.9131610000004</v>
      </c>
      <c r="AA23" s="48" t="s">
        <v>314</v>
      </c>
      <c r="AB23" s="49" t="s">
        <v>349</v>
      </c>
      <c r="AC23" s="3">
        <v>1268.970405</v>
      </c>
      <c r="AD23" s="3">
        <v>1200.6699289999999</v>
      </c>
      <c r="AE23" s="3">
        <v>714.54776140000001</v>
      </c>
      <c r="AF23" s="3">
        <v>216.94005100000001</v>
      </c>
      <c r="AG23" s="3">
        <v>2065.0035200000002</v>
      </c>
      <c r="AH23" s="3">
        <v>1638.2528380000001</v>
      </c>
      <c r="AI23" s="3">
        <v>1545.78837</v>
      </c>
      <c r="AJ23" s="3">
        <v>1610.96487</v>
      </c>
      <c r="AK23" s="3">
        <v>674.3517488</v>
      </c>
      <c r="AL23" s="3">
        <v>979.46219729999996</v>
      </c>
      <c r="AM23" s="3">
        <v>1719.616724</v>
      </c>
      <c r="AN23" s="3">
        <v>201.70278619999999</v>
      </c>
      <c r="AO23" s="3">
        <v>657.64333839999995</v>
      </c>
      <c r="AP23" s="48" t="s">
        <v>314</v>
      </c>
      <c r="AQ23" s="49" t="s">
        <v>349</v>
      </c>
      <c r="AR23" s="3">
        <v>899.8478556</v>
      </c>
      <c r="AS23" s="3">
        <v>1345.761336</v>
      </c>
      <c r="AT23" s="3">
        <v>1167.710446</v>
      </c>
      <c r="AU23" s="3">
        <v>1124.441382</v>
      </c>
      <c r="AV23" s="3">
        <v>433.94132519999999</v>
      </c>
      <c r="AW23" s="3">
        <v>1930.858911</v>
      </c>
      <c r="AX23" s="3">
        <v>1004.649117</v>
      </c>
      <c r="AY23" s="3">
        <v>1437.9478180000001</v>
      </c>
      <c r="AZ23" s="3">
        <v>721.33192859999997</v>
      </c>
      <c r="BA23" s="3">
        <v>505.41250170000001</v>
      </c>
      <c r="BB23" s="3">
        <v>573.80975009999997</v>
      </c>
      <c r="BC23" s="3">
        <v>173.2571547</v>
      </c>
      <c r="BD23" s="3">
        <v>1235.7460169999999</v>
      </c>
      <c r="BE23" s="48" t="s">
        <v>314</v>
      </c>
      <c r="BF23" s="49" t="s">
        <v>349</v>
      </c>
      <c r="BG23" s="3">
        <v>0</v>
      </c>
      <c r="BH23" s="3">
        <v>4.3999999999999997E-2</v>
      </c>
      <c r="BI23" s="3">
        <v>0.13300000000000001</v>
      </c>
      <c r="BJ23" s="3">
        <v>0</v>
      </c>
      <c r="BK23" s="3">
        <v>8.8999999999999996E-2</v>
      </c>
      <c r="BL23" s="3">
        <v>0.25700000000000001</v>
      </c>
      <c r="BM23" s="3">
        <v>0</v>
      </c>
      <c r="BN23" s="3">
        <v>3.6999999999999998E-2</v>
      </c>
      <c r="BO23" s="3">
        <v>0.1105</v>
      </c>
      <c r="BP23" s="3">
        <v>0</v>
      </c>
      <c r="BQ23" s="3">
        <v>9.9000000000000005E-2</v>
      </c>
      <c r="BR23" s="3">
        <v>0.172666667</v>
      </c>
      <c r="BS23" s="3">
        <v>0</v>
      </c>
      <c r="BT23" s="3">
        <v>5.0000000000000001E-3</v>
      </c>
      <c r="BU23" s="3">
        <v>9.1833334000000003E-2</v>
      </c>
      <c r="BV23" s="3">
        <v>0</v>
      </c>
      <c r="BW23" s="3">
        <v>6.0000000000000001E-3</v>
      </c>
      <c r="BX23" s="3">
        <v>4.1000000000000002E-2</v>
      </c>
      <c r="BY23" s="3">
        <v>0</v>
      </c>
      <c r="BZ23" s="3">
        <v>0.159</v>
      </c>
      <c r="CA23" s="3">
        <v>0.27200000000000002</v>
      </c>
      <c r="CB23" s="3">
        <v>0</v>
      </c>
      <c r="CC23" s="3">
        <v>7.0000000000000001E-3</v>
      </c>
      <c r="CD23" s="3">
        <v>5.0666666999999999E-2</v>
      </c>
      <c r="CE23" s="3">
        <v>0</v>
      </c>
      <c r="CF23" s="3">
        <v>3.0000000000000001E-3</v>
      </c>
      <c r="CG23" s="3">
        <v>7.4999999999999997E-3</v>
      </c>
      <c r="CH23" s="3">
        <v>0</v>
      </c>
      <c r="CI23" s="3">
        <v>3.0000000000000001E-3</v>
      </c>
      <c r="CJ23" s="3">
        <v>0.14299999999999999</v>
      </c>
      <c r="CK23" s="3">
        <v>0</v>
      </c>
      <c r="CL23" s="3">
        <v>3.5999999999999997E-2</v>
      </c>
      <c r="CM23" s="3">
        <v>0.1</v>
      </c>
      <c r="CN23" s="3">
        <v>0</v>
      </c>
      <c r="CO23" s="3">
        <v>4.4999999999999998E-2</v>
      </c>
      <c r="CP23" s="3">
        <v>0.12</v>
      </c>
      <c r="CQ23" s="3">
        <v>0</v>
      </c>
      <c r="CR23" s="3">
        <v>3.7999999999999999E-2</v>
      </c>
      <c r="CS23" s="3">
        <v>9.5000000000000001E-2</v>
      </c>
      <c r="CT23" s="48" t="s">
        <v>314</v>
      </c>
      <c r="CU23" s="49" t="s">
        <v>349</v>
      </c>
      <c r="CV23" s="3">
        <v>-0.88300000000000001</v>
      </c>
      <c r="CW23" s="3">
        <v>-1.5880000000000001</v>
      </c>
      <c r="CX23" s="3">
        <v>-0.253</v>
      </c>
      <c r="CY23" s="3">
        <v>-1.127</v>
      </c>
      <c r="CZ23" s="3">
        <v>-0.17100000000000001</v>
      </c>
      <c r="DA23" s="3">
        <v>-0.32900000000000001</v>
      </c>
      <c r="DB23" s="3">
        <v>-7.4980000000000002</v>
      </c>
      <c r="DC23" s="3">
        <v>1.3839999999999999</v>
      </c>
      <c r="DD23" s="3">
        <v>0.66700000000000004</v>
      </c>
      <c r="DE23" s="3">
        <v>0.63800000000000001</v>
      </c>
      <c r="DF23" s="3">
        <v>0.68100000000000005</v>
      </c>
      <c r="DG23" s="3">
        <v>-0.68400000000000005</v>
      </c>
      <c r="DH23" s="3">
        <v>0.23300000000000001</v>
      </c>
    </row>
    <row r="24" spans="1:112" x14ac:dyDescent="0.3">
      <c r="A24" s="48" t="s">
        <v>314</v>
      </c>
      <c r="B24" s="49" t="s">
        <v>350</v>
      </c>
      <c r="C24" s="3">
        <v>32.058512</v>
      </c>
      <c r="D24" s="3">
        <v>37.936799999999998</v>
      </c>
      <c r="E24" s="3">
        <v>28.762992000000001</v>
      </c>
      <c r="F24" s="3">
        <v>30.998442000000001</v>
      </c>
      <c r="G24" s="3">
        <v>31.670016</v>
      </c>
      <c r="H24" s="3">
        <v>37.936799999999998</v>
      </c>
      <c r="I24" s="48" t="s">
        <v>314</v>
      </c>
      <c r="J24" s="49" t="s">
        <v>350</v>
      </c>
      <c r="K24" s="3">
        <v>44204</v>
      </c>
      <c r="L24" s="48" t="s">
        <v>314</v>
      </c>
      <c r="M24" s="49" t="s">
        <v>350</v>
      </c>
      <c r="N24" s="3">
        <v>9776.8933319999996</v>
      </c>
      <c r="O24" s="3">
        <v>12399.26345</v>
      </c>
      <c r="P24" s="3">
        <v>7030.095875</v>
      </c>
      <c r="Q24" s="3">
        <v>5435.0552180000004</v>
      </c>
      <c r="R24" s="3">
        <v>13248.06048</v>
      </c>
      <c r="S24" s="3">
        <v>14522.90005</v>
      </c>
      <c r="T24" s="3">
        <v>10428.9414</v>
      </c>
      <c r="U24" s="3">
        <v>14318.33944</v>
      </c>
      <c r="V24" s="3">
        <v>9589.1807919999992</v>
      </c>
      <c r="W24" s="3">
        <v>7779.1338569999998</v>
      </c>
      <c r="X24" s="3">
        <v>10804.800719999999</v>
      </c>
      <c r="Y24" s="3">
        <v>1320.2992409999999</v>
      </c>
      <c r="Z24" s="3">
        <v>5302.435262</v>
      </c>
      <c r="AA24" s="48" t="s">
        <v>314</v>
      </c>
      <c r="AB24" s="49" t="s">
        <v>350</v>
      </c>
      <c r="AC24" s="3">
        <v>1137.2193789999999</v>
      </c>
      <c r="AD24" s="3">
        <v>1076.0102099999999</v>
      </c>
      <c r="AE24" s="3">
        <v>640.35974250000004</v>
      </c>
      <c r="AF24" s="3">
        <v>194.41622050000001</v>
      </c>
      <c r="AG24" s="3">
        <v>1850.604247</v>
      </c>
      <c r="AH24" s="3">
        <v>1468.1610129999999</v>
      </c>
      <c r="AI24" s="3">
        <v>1410.4806349999999</v>
      </c>
      <c r="AJ24" s="3">
        <v>1443.7062229999999</v>
      </c>
      <c r="AK24" s="3">
        <v>604.33708630000001</v>
      </c>
      <c r="AL24" s="3">
        <v>877.76940090000005</v>
      </c>
      <c r="AM24" s="3">
        <v>1541.0772830000001</v>
      </c>
      <c r="AN24" s="3">
        <v>180.76096680000001</v>
      </c>
      <c r="AO24" s="3">
        <v>589.363429</v>
      </c>
      <c r="AP24" s="48" t="s">
        <v>314</v>
      </c>
      <c r="AQ24" s="49" t="s">
        <v>350</v>
      </c>
      <c r="AR24" s="3">
        <v>856.34376080000004</v>
      </c>
      <c r="AS24" s="3">
        <v>1280.699083</v>
      </c>
      <c r="AT24" s="3">
        <v>1111.2562519999999</v>
      </c>
      <c r="AU24" s="3">
        <v>1070.079076</v>
      </c>
      <c r="AV24" s="3">
        <v>412.96197360000002</v>
      </c>
      <c r="AW24" s="3">
        <v>1837.5094979999999</v>
      </c>
      <c r="AX24" s="3">
        <v>981.58319319999998</v>
      </c>
      <c r="AY24" s="3">
        <v>1368.4287119999999</v>
      </c>
      <c r="AZ24" s="3">
        <v>686.4583748</v>
      </c>
      <c r="BA24" s="3">
        <v>480.97780060000002</v>
      </c>
      <c r="BB24" s="3">
        <v>546.06831179999995</v>
      </c>
      <c r="BC24" s="3">
        <v>164.88085459999999</v>
      </c>
      <c r="BD24" s="3">
        <v>1176.002571</v>
      </c>
      <c r="BE24" s="48" t="s">
        <v>314</v>
      </c>
      <c r="BF24" s="49" t="s">
        <v>350</v>
      </c>
      <c r="BG24" s="3">
        <v>0</v>
      </c>
      <c r="BH24" s="3">
        <v>3.5000000000000003E-2</v>
      </c>
      <c r="BI24" s="3">
        <v>0.14499999999999999</v>
      </c>
      <c r="BJ24" s="3">
        <v>0</v>
      </c>
      <c r="BK24" s="3">
        <v>8.5000000000000006E-2</v>
      </c>
      <c r="BL24" s="3">
        <v>0.23649999999999999</v>
      </c>
      <c r="BM24" s="3">
        <v>0</v>
      </c>
      <c r="BN24" s="3">
        <v>2.5000000000000001E-2</v>
      </c>
      <c r="BO24" s="3">
        <v>0.1075</v>
      </c>
      <c r="BP24" s="3">
        <v>0</v>
      </c>
      <c r="BQ24" s="3">
        <v>7.9000000000000001E-2</v>
      </c>
      <c r="BR24" s="3">
        <v>0.182666667</v>
      </c>
      <c r="BS24" s="3">
        <v>0</v>
      </c>
      <c r="BT24" s="3">
        <v>4.0000000000000001E-3</v>
      </c>
      <c r="BU24" s="3">
        <v>0.09</v>
      </c>
      <c r="BV24" s="3">
        <v>0</v>
      </c>
      <c r="BW24" s="3">
        <v>1.4E-2</v>
      </c>
      <c r="BX24" s="3">
        <v>6.0999999999999999E-2</v>
      </c>
      <c r="BY24" s="3">
        <v>0</v>
      </c>
      <c r="BZ24" s="3">
        <v>0.16900000000000001</v>
      </c>
      <c r="CA24" s="3">
        <v>0.313</v>
      </c>
      <c r="CB24" s="3">
        <v>0</v>
      </c>
      <c r="CC24" s="3">
        <v>4.0000000000000001E-3</v>
      </c>
      <c r="CD24" s="3">
        <v>3.5000000000000003E-2</v>
      </c>
      <c r="CE24" s="3">
        <v>0</v>
      </c>
      <c r="CF24" s="3">
        <v>8.0000000000000002E-3</v>
      </c>
      <c r="CG24" s="3">
        <v>8.5000000000000006E-3</v>
      </c>
      <c r="CH24" s="3">
        <v>0</v>
      </c>
      <c r="CI24" s="3">
        <v>8.0000000000000002E-3</v>
      </c>
      <c r="CJ24" s="3">
        <v>0.25066666700000001</v>
      </c>
      <c r="CK24" s="3">
        <v>0</v>
      </c>
      <c r="CL24" s="3">
        <v>6.0999999999999999E-2</v>
      </c>
      <c r="CM24" s="3">
        <v>0.1</v>
      </c>
      <c r="CN24" s="3">
        <v>0</v>
      </c>
      <c r="CO24" s="3">
        <v>6.7000000000000004E-2</v>
      </c>
      <c r="CP24" s="3">
        <v>0.16600000000000001</v>
      </c>
      <c r="CQ24" s="3">
        <v>0</v>
      </c>
      <c r="CR24" s="3">
        <v>7.0999999999999994E-2</v>
      </c>
      <c r="CS24" s="3">
        <v>0.186</v>
      </c>
      <c r="CT24" s="48" t="s">
        <v>314</v>
      </c>
      <c r="CU24" s="49" t="s">
        <v>350</v>
      </c>
      <c r="CV24" s="3">
        <v>-1.026</v>
      </c>
      <c r="CW24" s="3">
        <v>-1.85</v>
      </c>
      <c r="CX24" s="3">
        <v>-0.26800000000000002</v>
      </c>
      <c r="CY24" s="3">
        <v>-1.1160000000000001</v>
      </c>
      <c r="CZ24" s="3">
        <v>-0.27800000000000002</v>
      </c>
      <c r="DA24" s="3">
        <v>-0.57699999999999996</v>
      </c>
      <c r="DB24" s="3">
        <v>-6.8810000000000002</v>
      </c>
      <c r="DC24" s="3">
        <v>1.4379999999999999</v>
      </c>
      <c r="DD24" s="3">
        <v>0.28499999999999998</v>
      </c>
      <c r="DE24" s="3">
        <v>0.23799999999999999</v>
      </c>
      <c r="DF24" s="3">
        <v>0.31900000000000001</v>
      </c>
      <c r="DG24" s="3">
        <v>-0.92700000000000005</v>
      </c>
      <c r="DH24" s="3">
        <v>5.6000000000000001E-2</v>
      </c>
    </row>
    <row r="25" spans="1:112" x14ac:dyDescent="0.3">
      <c r="A25" s="48" t="s">
        <v>314</v>
      </c>
      <c r="B25" s="49" t="s">
        <v>351</v>
      </c>
      <c r="C25" s="3">
        <v>30.564032000000001</v>
      </c>
      <c r="D25" s="3">
        <v>38.212704000000002</v>
      </c>
      <c r="E25" s="3">
        <v>24.110944</v>
      </c>
      <c r="F25" s="3">
        <v>28.8158265</v>
      </c>
      <c r="G25" s="3">
        <v>28.8158265</v>
      </c>
      <c r="H25" s="3">
        <v>38.212704000000002</v>
      </c>
      <c r="I25" s="48" t="s">
        <v>314</v>
      </c>
      <c r="J25" s="49" t="s">
        <v>351</v>
      </c>
      <c r="K25" s="3">
        <v>39458</v>
      </c>
      <c r="L25" s="48" t="s">
        <v>314</v>
      </c>
      <c r="M25" s="49" t="s">
        <v>351</v>
      </c>
      <c r="N25" s="3">
        <v>8088.8564050000004</v>
      </c>
      <c r="O25" s="3">
        <v>9836.9340300000003</v>
      </c>
      <c r="P25" s="3">
        <v>5452.2658069999998</v>
      </c>
      <c r="Q25" s="3">
        <v>4038.3202369999999</v>
      </c>
      <c r="R25" s="3">
        <v>11450.182989999999</v>
      </c>
      <c r="S25" s="3">
        <v>11705.75028</v>
      </c>
      <c r="T25" s="3">
        <v>8870.1509779999997</v>
      </c>
      <c r="U25" s="3">
        <v>12058.22597</v>
      </c>
      <c r="V25" s="3">
        <v>7873.4352410000001</v>
      </c>
      <c r="W25" s="3">
        <v>6179.5728609999996</v>
      </c>
      <c r="X25" s="3">
        <v>8836.4865759999993</v>
      </c>
      <c r="Y25" s="3">
        <v>1059.698335</v>
      </c>
      <c r="Z25" s="3">
        <v>3966.829338</v>
      </c>
      <c r="AA25" s="48" t="s">
        <v>314</v>
      </c>
      <c r="AB25" s="49" t="s">
        <v>351</v>
      </c>
      <c r="AC25" s="3">
        <v>1047.07394</v>
      </c>
      <c r="AD25" s="3">
        <v>990.71671760000004</v>
      </c>
      <c r="AE25" s="3">
        <v>589.59951899999999</v>
      </c>
      <c r="AF25" s="3">
        <v>179.00517869999999</v>
      </c>
      <c r="AG25" s="3">
        <v>1703.9100080000001</v>
      </c>
      <c r="AH25" s="3">
        <v>1351.7823960000001</v>
      </c>
      <c r="AI25" s="3">
        <v>1312.0750089999999</v>
      </c>
      <c r="AJ25" s="3">
        <v>1329.266095</v>
      </c>
      <c r="AK25" s="3">
        <v>556.43231730000002</v>
      </c>
      <c r="AL25" s="3">
        <v>808.19011909999995</v>
      </c>
      <c r="AM25" s="3">
        <v>1418.9187179999999</v>
      </c>
      <c r="AN25" s="3">
        <v>166.4323536</v>
      </c>
      <c r="AO25" s="3">
        <v>542.6455962</v>
      </c>
      <c r="AP25" s="48" t="s">
        <v>314</v>
      </c>
      <c r="AQ25" s="49" t="s">
        <v>351</v>
      </c>
      <c r="AR25" s="3">
        <v>783.07370639999999</v>
      </c>
      <c r="AS25" s="3">
        <v>1171.1205520000001</v>
      </c>
      <c r="AT25" s="3">
        <v>1016.175503</v>
      </c>
      <c r="AU25" s="3">
        <v>978.52150800000004</v>
      </c>
      <c r="AV25" s="3">
        <v>377.62832880000002</v>
      </c>
      <c r="AW25" s="3">
        <v>1680.289434</v>
      </c>
      <c r="AX25" s="3">
        <v>976.45743240000002</v>
      </c>
      <c r="AY25" s="3">
        <v>1251.343903</v>
      </c>
      <c r="AZ25" s="3">
        <v>627.72396839999999</v>
      </c>
      <c r="BA25" s="3">
        <v>439.82461979999999</v>
      </c>
      <c r="BB25" s="3">
        <v>499.34588939999998</v>
      </c>
      <c r="BC25" s="3">
        <v>150.77340179999999</v>
      </c>
      <c r="BD25" s="3">
        <v>1075.38203</v>
      </c>
      <c r="BE25" s="48" t="s">
        <v>314</v>
      </c>
      <c r="BF25" s="49" t="s">
        <v>351</v>
      </c>
      <c r="BG25" s="3">
        <v>0</v>
      </c>
      <c r="BH25" s="3">
        <v>0.03</v>
      </c>
      <c r="BI25" s="3">
        <v>0.1585</v>
      </c>
      <c r="BJ25" s="3">
        <v>0</v>
      </c>
      <c r="BK25" s="3">
        <v>8.4000000000000005E-2</v>
      </c>
      <c r="BL25" s="3">
        <v>0.215</v>
      </c>
      <c r="BM25" s="3">
        <v>0</v>
      </c>
      <c r="BN25" s="3">
        <v>2.3E-2</v>
      </c>
      <c r="BO25" s="3">
        <v>0.106</v>
      </c>
      <c r="BP25" s="3">
        <v>0</v>
      </c>
      <c r="BQ25" s="3">
        <v>6.6000000000000003E-2</v>
      </c>
      <c r="BR25" s="3">
        <v>0.18533333299999999</v>
      </c>
      <c r="BS25" s="3">
        <v>0</v>
      </c>
      <c r="BT25" s="3">
        <v>8.0000000000000002E-3</v>
      </c>
      <c r="BU25" s="3">
        <v>9.3416666999999995E-2</v>
      </c>
      <c r="BV25" s="3">
        <v>0</v>
      </c>
      <c r="BW25" s="3">
        <v>2.5999999999999999E-2</v>
      </c>
      <c r="BX25" s="3">
        <v>8.4000000000000005E-2</v>
      </c>
      <c r="BY25" s="3">
        <v>0</v>
      </c>
      <c r="BZ25" s="3">
        <v>0.17299999999999999</v>
      </c>
      <c r="CA25" s="3">
        <v>0.33100000000000002</v>
      </c>
      <c r="CB25" s="3">
        <v>0</v>
      </c>
      <c r="CC25" s="3">
        <v>5.0000000000000001E-3</v>
      </c>
      <c r="CD25" s="3">
        <v>2.8333332999999999E-2</v>
      </c>
      <c r="CE25" s="3">
        <v>0</v>
      </c>
      <c r="CF25" s="3">
        <v>1.7999999999999999E-2</v>
      </c>
      <c r="CG25" s="3">
        <v>1.7500000000000002E-2</v>
      </c>
      <c r="CH25" s="3">
        <v>0</v>
      </c>
      <c r="CI25" s="3">
        <v>1.9E-2</v>
      </c>
      <c r="CJ25" s="3">
        <v>0.41666666699999999</v>
      </c>
      <c r="CK25" s="3">
        <v>0</v>
      </c>
      <c r="CL25" s="3">
        <v>0.1</v>
      </c>
      <c r="CM25" s="3">
        <v>0.1</v>
      </c>
      <c r="CN25" s="3">
        <v>0</v>
      </c>
      <c r="CO25" s="3">
        <v>0.10199999999999999</v>
      </c>
      <c r="CP25" s="3">
        <v>0.22500000000000001</v>
      </c>
      <c r="CQ25" s="3">
        <v>0</v>
      </c>
      <c r="CR25" s="3">
        <v>0.13100000000000001</v>
      </c>
      <c r="CS25" s="3">
        <v>0.33300000000000002</v>
      </c>
      <c r="CT25" s="48" t="s">
        <v>314</v>
      </c>
      <c r="CU25" s="49" t="s">
        <v>351</v>
      </c>
      <c r="CV25" s="3">
        <v>-1.2789999999999999</v>
      </c>
      <c r="CW25" s="3">
        <v>-2.2349999999999999</v>
      </c>
      <c r="CX25" s="3">
        <v>-0.39100000000000001</v>
      </c>
      <c r="CY25" s="3">
        <v>-1.1220000000000001</v>
      </c>
      <c r="CZ25" s="3">
        <v>-0.81599999999999995</v>
      </c>
      <c r="DA25" s="3">
        <v>-0.93500000000000005</v>
      </c>
      <c r="DB25" s="3">
        <v>-6.4349999999999996</v>
      </c>
      <c r="DC25" s="3">
        <v>1.2270000000000001</v>
      </c>
      <c r="DD25" s="3">
        <v>-0.39600000000000002</v>
      </c>
      <c r="DE25" s="3">
        <v>-0.442</v>
      </c>
      <c r="DF25" s="3">
        <v>-3.7999999999999999E-2</v>
      </c>
      <c r="DG25" s="3">
        <v>-1.0620000000000001</v>
      </c>
      <c r="DH25" s="3">
        <v>-3.0000000000000001E-3</v>
      </c>
    </row>
    <row r="26" spans="1:112" x14ac:dyDescent="0.3">
      <c r="A26" s="48" t="s">
        <v>314</v>
      </c>
      <c r="B26" s="49" t="s">
        <v>352</v>
      </c>
      <c r="C26" s="3">
        <v>30.594688000000001</v>
      </c>
      <c r="D26" s="3">
        <v>32.970528000000002</v>
      </c>
      <c r="E26" s="3">
        <v>29.667344</v>
      </c>
      <c r="F26" s="3">
        <v>27.242929499999999</v>
      </c>
      <c r="G26" s="3">
        <v>26.253241500000001</v>
      </c>
      <c r="H26" s="3">
        <v>32.970528000000002</v>
      </c>
      <c r="I26" s="48" t="s">
        <v>314</v>
      </c>
      <c r="J26" s="49" t="s">
        <v>352</v>
      </c>
      <c r="K26" s="3">
        <v>36085</v>
      </c>
      <c r="L26" s="48" t="s">
        <v>314</v>
      </c>
      <c r="M26" s="49" t="s">
        <v>352</v>
      </c>
      <c r="N26" s="3">
        <v>4903.5712130000002</v>
      </c>
      <c r="O26" s="3">
        <v>5923.5985659999997</v>
      </c>
      <c r="P26" s="3">
        <v>2938.3907380000001</v>
      </c>
      <c r="Q26" s="3">
        <v>2244.444528</v>
      </c>
      <c r="R26" s="3">
        <v>8139.5268219999998</v>
      </c>
      <c r="S26" s="3">
        <v>7144.2626380000002</v>
      </c>
      <c r="T26" s="3">
        <v>6239.2718800000002</v>
      </c>
      <c r="U26" s="3">
        <v>7645.8252060000004</v>
      </c>
      <c r="V26" s="3">
        <v>4723.807648</v>
      </c>
      <c r="W26" s="3">
        <v>3607.915223</v>
      </c>
      <c r="X26" s="3">
        <v>5533.3916250000002</v>
      </c>
      <c r="Y26" s="3">
        <v>663.86032450000005</v>
      </c>
      <c r="Z26" s="3">
        <v>2288.9763830000002</v>
      </c>
      <c r="AA26" s="48" t="s">
        <v>314</v>
      </c>
      <c r="AB26" s="49" t="s">
        <v>352</v>
      </c>
      <c r="AC26" s="3">
        <v>1088.679527</v>
      </c>
      <c r="AD26" s="3">
        <v>1030.0829450000001</v>
      </c>
      <c r="AE26" s="3">
        <v>613.02731440000002</v>
      </c>
      <c r="AF26" s="3">
        <v>186.11796720000001</v>
      </c>
      <c r="AG26" s="3">
        <v>1771.615041</v>
      </c>
      <c r="AH26" s="3">
        <v>1405.495604</v>
      </c>
      <c r="AI26" s="3">
        <v>1344.876884</v>
      </c>
      <c r="AJ26" s="3">
        <v>1382.0846160000001</v>
      </c>
      <c r="AK26" s="3">
        <v>578.54221070000006</v>
      </c>
      <c r="AL26" s="3">
        <v>840.30363379999994</v>
      </c>
      <c r="AM26" s="3">
        <v>1475.2995940000001</v>
      </c>
      <c r="AN26" s="3">
        <v>173.04555970000001</v>
      </c>
      <c r="AO26" s="3">
        <v>564.20767279999995</v>
      </c>
      <c r="AP26" s="48" t="s">
        <v>314</v>
      </c>
      <c r="AQ26" s="49" t="s">
        <v>352</v>
      </c>
      <c r="AR26" s="3">
        <v>709.80365200000006</v>
      </c>
      <c r="AS26" s="3">
        <v>1061.542021</v>
      </c>
      <c r="AT26" s="3">
        <v>921.09475399999997</v>
      </c>
      <c r="AU26" s="3">
        <v>886.96393999999998</v>
      </c>
      <c r="AV26" s="3">
        <v>342.29468400000002</v>
      </c>
      <c r="AW26" s="3">
        <v>1523.0693699999999</v>
      </c>
      <c r="AX26" s="3">
        <v>868.81645560000004</v>
      </c>
      <c r="AY26" s="3">
        <v>1134.2590929999999</v>
      </c>
      <c r="AZ26" s="3">
        <v>568.98956199999998</v>
      </c>
      <c r="BA26" s="3">
        <v>398.67143900000002</v>
      </c>
      <c r="BB26" s="3">
        <v>452.62346700000001</v>
      </c>
      <c r="BC26" s="3">
        <v>136.66594900000001</v>
      </c>
      <c r="BD26" s="3">
        <v>974.76148899999998</v>
      </c>
      <c r="BE26" s="48" t="s">
        <v>314</v>
      </c>
      <c r="BF26" s="49" t="s">
        <v>352</v>
      </c>
      <c r="BG26" s="3">
        <v>0</v>
      </c>
      <c r="BH26" s="3">
        <v>2.7E-2</v>
      </c>
      <c r="BI26" s="3">
        <v>0.17</v>
      </c>
      <c r="BJ26" s="3">
        <v>0</v>
      </c>
      <c r="BK26" s="3">
        <v>8.5000000000000006E-2</v>
      </c>
      <c r="BL26" s="3">
        <v>0.19700000000000001</v>
      </c>
      <c r="BM26" s="3">
        <v>0</v>
      </c>
      <c r="BN26" s="3">
        <v>2.5000000000000001E-2</v>
      </c>
      <c r="BO26" s="3">
        <v>0.105</v>
      </c>
      <c r="BP26" s="3">
        <v>0</v>
      </c>
      <c r="BQ26" s="3">
        <v>5.8000000000000003E-2</v>
      </c>
      <c r="BR26" s="3">
        <v>0.18833333299999999</v>
      </c>
      <c r="BS26" s="3">
        <v>0</v>
      </c>
      <c r="BT26" s="3">
        <v>1.4E-2</v>
      </c>
      <c r="BU26" s="3">
        <v>9.8666667E-2</v>
      </c>
      <c r="BV26" s="3">
        <v>0</v>
      </c>
      <c r="BW26" s="3">
        <v>4.1000000000000002E-2</v>
      </c>
      <c r="BX26" s="3">
        <v>0.111</v>
      </c>
      <c r="BY26" s="3">
        <v>0</v>
      </c>
      <c r="BZ26" s="3">
        <v>0.17799999999999999</v>
      </c>
      <c r="CA26" s="3">
        <v>0.33500000000000002</v>
      </c>
      <c r="CB26" s="3">
        <v>0</v>
      </c>
      <c r="CC26" s="3">
        <v>8.9999999999999993E-3</v>
      </c>
      <c r="CD26" s="3">
        <v>2.7333333000000001E-2</v>
      </c>
      <c r="CE26" s="3">
        <v>0</v>
      </c>
      <c r="CF26" s="3">
        <v>3.4000000000000002E-2</v>
      </c>
      <c r="CG26" s="3">
        <v>3.6999999999999998E-2</v>
      </c>
      <c r="CH26" s="3">
        <v>0</v>
      </c>
      <c r="CI26" s="3">
        <v>3.5000000000000003E-2</v>
      </c>
      <c r="CJ26" s="3">
        <v>0.58333333300000001</v>
      </c>
      <c r="CK26" s="3">
        <v>0</v>
      </c>
      <c r="CL26" s="3">
        <v>0.14499999999999999</v>
      </c>
      <c r="CM26" s="3">
        <v>0.1</v>
      </c>
      <c r="CN26" s="3">
        <v>0</v>
      </c>
      <c r="CO26" s="3">
        <v>0.127</v>
      </c>
      <c r="CP26" s="3">
        <v>0.28066666699999998</v>
      </c>
      <c r="CQ26" s="3">
        <v>0</v>
      </c>
      <c r="CR26" s="3">
        <v>0.19500000000000001</v>
      </c>
      <c r="CS26" s="3">
        <v>0.48599999999999999</v>
      </c>
      <c r="CT26" s="48" t="s">
        <v>314</v>
      </c>
      <c r="CU26" s="49" t="s">
        <v>352</v>
      </c>
      <c r="CV26" s="3">
        <v>-1.5780000000000001</v>
      </c>
      <c r="CW26" s="3">
        <v>-2.6539999999999999</v>
      </c>
      <c r="CX26" s="3">
        <v>-0.57899999999999996</v>
      </c>
      <c r="CY26" s="3">
        <v>-1.1830000000000001</v>
      </c>
      <c r="CZ26" s="3">
        <v>-1.2949999999999999</v>
      </c>
      <c r="DA26" s="3">
        <v>-1.3480000000000001</v>
      </c>
      <c r="DB26" s="3">
        <v>-6.202</v>
      </c>
      <c r="DC26" s="3">
        <v>0.92800000000000005</v>
      </c>
      <c r="DD26" s="3">
        <v>-1.07</v>
      </c>
      <c r="DE26" s="3">
        <v>-1.121</v>
      </c>
      <c r="DF26" s="3">
        <v>-0.20399999999999999</v>
      </c>
      <c r="DG26" s="3">
        <v>-1.083</v>
      </c>
      <c r="DH26" s="3">
        <v>6.4000000000000001E-2</v>
      </c>
    </row>
    <row r="27" spans="1:112" x14ac:dyDescent="0.3">
      <c r="A27" s="48" t="s">
        <v>315</v>
      </c>
      <c r="B27" s="49" t="s">
        <v>329</v>
      </c>
      <c r="C27" s="3">
        <v>33.256855799999997</v>
      </c>
      <c r="D27" s="3">
        <v>77.880302099999994</v>
      </c>
      <c r="E27" s="3">
        <v>35.811145799999998</v>
      </c>
      <c r="F27" s="3">
        <v>23.5164966</v>
      </c>
      <c r="G27" s="3">
        <v>23.5164966</v>
      </c>
      <c r="H27" s="3">
        <v>77.880302099999994</v>
      </c>
      <c r="I27" s="48" t="s">
        <v>315</v>
      </c>
      <c r="J27" s="49" t="s">
        <v>329</v>
      </c>
      <c r="K27" s="3">
        <v>33185.5</v>
      </c>
      <c r="L27" s="48" t="s">
        <v>315</v>
      </c>
      <c r="M27" s="49" t="s">
        <v>329</v>
      </c>
      <c r="N27" s="3">
        <v>3592.3891549999998</v>
      </c>
      <c r="O27" s="3">
        <v>4488.2456620000003</v>
      </c>
      <c r="P27" s="3">
        <v>1894.752115</v>
      </c>
      <c r="Q27" s="3">
        <v>1929.1605970000001</v>
      </c>
      <c r="R27" s="3">
        <v>5692.7082119999995</v>
      </c>
      <c r="S27" s="3">
        <v>5022.7006719999999</v>
      </c>
      <c r="T27" s="3">
        <v>2395.5709660000002</v>
      </c>
      <c r="U27" s="3">
        <v>4374.7270980000003</v>
      </c>
      <c r="V27" s="3">
        <v>2554.9185309999998</v>
      </c>
      <c r="W27" s="3">
        <v>1316.5664420000001</v>
      </c>
      <c r="X27" s="3">
        <v>3467.8816539999998</v>
      </c>
      <c r="Y27" s="3">
        <v>219.2112875</v>
      </c>
      <c r="Z27" s="3">
        <v>1608.867094</v>
      </c>
      <c r="AA27" s="48" t="s">
        <v>315</v>
      </c>
      <c r="AB27" s="49" t="s">
        <v>329</v>
      </c>
      <c r="AC27" s="3">
        <v>1177.264365</v>
      </c>
      <c r="AD27" s="3">
        <v>1235.1076929999999</v>
      </c>
      <c r="AE27" s="3">
        <v>754.22707049999997</v>
      </c>
      <c r="AF27" s="3">
        <v>227.55588829999999</v>
      </c>
      <c r="AG27" s="3">
        <v>1963.9604260000001</v>
      </c>
      <c r="AH27" s="3">
        <v>1699.071058</v>
      </c>
      <c r="AI27" s="3">
        <v>1526.3932569999999</v>
      </c>
      <c r="AJ27" s="3">
        <v>1458.1329920000001</v>
      </c>
      <c r="AK27" s="3">
        <v>613.35028820000002</v>
      </c>
      <c r="AL27" s="3">
        <v>907.75574619999998</v>
      </c>
      <c r="AM27" s="3">
        <v>1763.117767</v>
      </c>
      <c r="AN27" s="3">
        <v>204.52924849999999</v>
      </c>
      <c r="AO27" s="3">
        <v>594.43205469999998</v>
      </c>
      <c r="AP27" s="48" t="s">
        <v>315</v>
      </c>
      <c r="AQ27" s="49" t="s">
        <v>329</v>
      </c>
      <c r="AR27" s="3">
        <v>671.79948000000002</v>
      </c>
      <c r="AS27" s="3">
        <v>1050.5512530000001</v>
      </c>
      <c r="AT27" s="3">
        <v>789.79102720000003</v>
      </c>
      <c r="AU27" s="3">
        <v>807.41402879999998</v>
      </c>
      <c r="AV27" s="3">
        <v>290.28381000000002</v>
      </c>
      <c r="AW27" s="3">
        <v>1329.1982909999999</v>
      </c>
      <c r="AX27" s="3">
        <v>707.60447520000002</v>
      </c>
      <c r="AY27" s="3">
        <v>556.18497000000002</v>
      </c>
      <c r="AZ27" s="3">
        <v>620.03441999999995</v>
      </c>
      <c r="BA27" s="3">
        <v>303.27476999999999</v>
      </c>
      <c r="BB27" s="3">
        <v>404.92103839999999</v>
      </c>
      <c r="BC27" s="3">
        <v>141.91540800000001</v>
      </c>
      <c r="BD27" s="3">
        <v>721.89948000000004</v>
      </c>
      <c r="BE27" s="48" t="s">
        <v>315</v>
      </c>
      <c r="BF27" s="49" t="s">
        <v>329</v>
      </c>
      <c r="BG27" s="3">
        <v>0</v>
      </c>
      <c r="BH27" s="3">
        <v>0.318</v>
      </c>
      <c r="BI27" s="3">
        <v>0.87050000000000005</v>
      </c>
      <c r="BJ27" s="3">
        <v>0</v>
      </c>
      <c r="BK27" s="3">
        <v>0.33</v>
      </c>
      <c r="BL27" s="3">
        <v>0.79</v>
      </c>
      <c r="BM27" s="3">
        <v>0</v>
      </c>
      <c r="BN27" s="3">
        <v>0.45700000000000002</v>
      </c>
      <c r="BO27" s="3">
        <v>0.77800000000000002</v>
      </c>
      <c r="BP27" s="3">
        <v>0</v>
      </c>
      <c r="BQ27" s="3">
        <v>0.25900000000000001</v>
      </c>
      <c r="BR27" s="3">
        <v>0.84366666700000004</v>
      </c>
      <c r="BS27" s="3">
        <v>0</v>
      </c>
      <c r="BT27" s="3">
        <v>0.70599999999999996</v>
      </c>
      <c r="BU27" s="3">
        <v>0.79925000000000002</v>
      </c>
      <c r="BV27" s="3">
        <v>0</v>
      </c>
      <c r="BW27" s="3">
        <v>0.80300000000000005</v>
      </c>
      <c r="BX27" s="3">
        <v>0.86799999999999999</v>
      </c>
      <c r="BY27" s="3">
        <v>0</v>
      </c>
      <c r="BZ27" s="3">
        <v>0.80300000000000005</v>
      </c>
      <c r="CA27" s="3">
        <v>0.76749999999999996</v>
      </c>
      <c r="CB27" s="3">
        <v>0</v>
      </c>
      <c r="CC27" s="3">
        <v>0.34300000000000003</v>
      </c>
      <c r="CD27" s="3">
        <v>0.72799999999999998</v>
      </c>
      <c r="CE27" s="3">
        <v>0</v>
      </c>
      <c r="CF27" s="3">
        <v>0.34300000000000003</v>
      </c>
      <c r="CG27" s="3">
        <v>0.80549999999999999</v>
      </c>
      <c r="CH27" s="3">
        <v>0</v>
      </c>
      <c r="CI27" s="3">
        <v>0.56599999999999995</v>
      </c>
      <c r="CJ27" s="3">
        <v>0.81599999999999995</v>
      </c>
      <c r="CK27" s="3">
        <v>0</v>
      </c>
      <c r="CL27" s="3">
        <v>0.39300000000000002</v>
      </c>
      <c r="CM27" s="3">
        <v>0.01</v>
      </c>
      <c r="CN27" s="3">
        <v>0</v>
      </c>
      <c r="CO27" s="3">
        <v>0.66400000000000003</v>
      </c>
      <c r="CP27" s="3">
        <v>0.81066666700000001</v>
      </c>
      <c r="CQ27" s="3">
        <v>0</v>
      </c>
      <c r="CR27" s="3">
        <v>0.64300000000000002</v>
      </c>
      <c r="CS27" s="3">
        <v>0.89</v>
      </c>
      <c r="CT27" s="48" t="s">
        <v>315</v>
      </c>
      <c r="CU27" s="49" t="s">
        <v>329</v>
      </c>
      <c r="CV27" s="3">
        <v>-0.58199999999999996</v>
      </c>
      <c r="CW27" s="3">
        <v>-0.193</v>
      </c>
      <c r="CX27" s="3">
        <v>0.13800000000000001</v>
      </c>
      <c r="CY27" s="3">
        <v>0.89900000000000002</v>
      </c>
      <c r="CZ27" s="3">
        <v>-1.026</v>
      </c>
      <c r="DA27" s="3">
        <v>3.706</v>
      </c>
      <c r="DB27" s="3">
        <v>1.994</v>
      </c>
      <c r="DC27" s="3">
        <v>0.17499999999999999</v>
      </c>
      <c r="DD27" s="3">
        <v>0.61799999999999999</v>
      </c>
      <c r="DE27" s="3">
        <v>2.3940000000000001</v>
      </c>
      <c r="DF27" s="3">
        <v>-0.23499999999999999</v>
      </c>
      <c r="DG27" s="3">
        <v>1.9630000000000001</v>
      </c>
      <c r="DH27" s="3">
        <v>0.69299999999999995</v>
      </c>
    </row>
    <row r="28" spans="1:112" x14ac:dyDescent="0.3">
      <c r="A28" s="48" t="s">
        <v>315</v>
      </c>
      <c r="B28" s="49" t="s">
        <v>330</v>
      </c>
      <c r="C28" s="3">
        <v>33.256855799999997</v>
      </c>
      <c r="D28" s="3">
        <v>75.777270000000001</v>
      </c>
      <c r="E28" s="3">
        <v>34.074228599999998</v>
      </c>
      <c r="F28" s="3">
        <v>23.3887821</v>
      </c>
      <c r="G28" s="3">
        <v>23.3887821</v>
      </c>
      <c r="H28" s="3">
        <v>70.702747200000005</v>
      </c>
      <c r="I28" s="48" t="s">
        <v>315</v>
      </c>
      <c r="J28" s="49" t="s">
        <v>330</v>
      </c>
      <c r="K28" s="3">
        <v>33098</v>
      </c>
      <c r="L28" s="48" t="s">
        <v>315</v>
      </c>
      <c r="M28" s="49" t="s">
        <v>330</v>
      </c>
      <c r="N28" s="3">
        <v>2695.9148420000001</v>
      </c>
      <c r="O28" s="3">
        <v>3624.6301410000001</v>
      </c>
      <c r="P28" s="3">
        <v>1369.5276100000001</v>
      </c>
      <c r="Q28" s="3">
        <v>1500.1300650000001</v>
      </c>
      <c r="R28" s="3">
        <v>4168.4391329999999</v>
      </c>
      <c r="S28" s="3">
        <v>3664.9406880000001</v>
      </c>
      <c r="T28" s="3">
        <v>1116.2165849999999</v>
      </c>
      <c r="U28" s="3">
        <v>2778.3363650000001</v>
      </c>
      <c r="V28" s="3">
        <v>2088.7094320000001</v>
      </c>
      <c r="W28" s="3">
        <v>874.92630650000001</v>
      </c>
      <c r="X28" s="3">
        <v>2498.9283999999998</v>
      </c>
      <c r="Y28" s="3">
        <v>202.75289409999999</v>
      </c>
      <c r="Z28" s="3">
        <v>958.16664349999996</v>
      </c>
      <c r="AA28" s="48" t="s">
        <v>315</v>
      </c>
      <c r="AB28" s="49" t="s">
        <v>330</v>
      </c>
      <c r="AC28" s="3">
        <v>1282.0892739999999</v>
      </c>
      <c r="AD28" s="3">
        <v>1246.370073</v>
      </c>
      <c r="AE28" s="3">
        <v>761.10452099999998</v>
      </c>
      <c r="AF28" s="3">
        <v>229.63086609999999</v>
      </c>
      <c r="AG28" s="3">
        <v>2138.833615</v>
      </c>
      <c r="AH28" s="3">
        <v>1714.564108</v>
      </c>
      <c r="AI28" s="3">
        <v>1540.311737</v>
      </c>
      <c r="AJ28" s="3">
        <v>1587.966752</v>
      </c>
      <c r="AK28" s="3">
        <v>667.96366999999998</v>
      </c>
      <c r="AL28" s="3">
        <v>988.58331269999996</v>
      </c>
      <c r="AM28" s="3">
        <v>1779.194829</v>
      </c>
      <c r="AN28" s="3">
        <v>206.39425679999999</v>
      </c>
      <c r="AO28" s="3">
        <v>647.36093619999997</v>
      </c>
      <c r="AP28" s="48" t="s">
        <v>315</v>
      </c>
      <c r="AQ28" s="49" t="s">
        <v>330</v>
      </c>
      <c r="AR28" s="3">
        <v>698.67145919999996</v>
      </c>
      <c r="AS28" s="3">
        <v>1098.9319029999999</v>
      </c>
      <c r="AT28" s="3">
        <v>826.16298240000003</v>
      </c>
      <c r="AU28" s="3">
        <v>844.59756960000004</v>
      </c>
      <c r="AV28" s="3">
        <v>301.8951624</v>
      </c>
      <c r="AW28" s="3">
        <v>1390.41137</v>
      </c>
      <c r="AX28" s="3">
        <v>740.19152340000005</v>
      </c>
      <c r="AY28" s="3">
        <v>578.43236879999995</v>
      </c>
      <c r="AZ28" s="3">
        <v>644.83579680000003</v>
      </c>
      <c r="BA28" s="3">
        <v>315.4057608</v>
      </c>
      <c r="BB28" s="3">
        <v>423.5687178</v>
      </c>
      <c r="BC28" s="3">
        <v>148.450986</v>
      </c>
      <c r="BD28" s="3">
        <v>750.7754592</v>
      </c>
      <c r="BE28" s="48" t="s">
        <v>315</v>
      </c>
      <c r="BF28" s="49" t="s">
        <v>330</v>
      </c>
      <c r="BG28" s="3">
        <v>0</v>
      </c>
      <c r="BH28" s="3">
        <v>0.314</v>
      </c>
      <c r="BI28" s="3">
        <v>0.85750000000000004</v>
      </c>
      <c r="BJ28" s="3">
        <v>0</v>
      </c>
      <c r="BK28" s="3">
        <v>0.34200000000000003</v>
      </c>
      <c r="BL28" s="3">
        <v>0.80449999999999999</v>
      </c>
      <c r="BM28" s="3">
        <v>0</v>
      </c>
      <c r="BN28" s="3">
        <v>0.46300000000000002</v>
      </c>
      <c r="BO28" s="3">
        <v>0.78500000000000003</v>
      </c>
      <c r="BP28" s="3">
        <v>0</v>
      </c>
      <c r="BQ28" s="3">
        <v>0.27</v>
      </c>
      <c r="BR28" s="3">
        <v>0.81499999999999995</v>
      </c>
      <c r="BS28" s="3">
        <v>0</v>
      </c>
      <c r="BT28" s="3">
        <v>0.70199999999999996</v>
      </c>
      <c r="BU28" s="3">
        <v>0.79691666699999997</v>
      </c>
      <c r="BV28" s="3">
        <v>0</v>
      </c>
      <c r="BW28" s="3">
        <v>0.79600000000000004</v>
      </c>
      <c r="BX28" s="3">
        <v>0.86</v>
      </c>
      <c r="BY28" s="3">
        <v>0</v>
      </c>
      <c r="BZ28" s="3">
        <v>0.79600000000000004</v>
      </c>
      <c r="CA28" s="3">
        <v>0.78149999999999997</v>
      </c>
      <c r="CB28" s="3">
        <v>0</v>
      </c>
      <c r="CC28" s="3">
        <v>0.36699999999999999</v>
      </c>
      <c r="CD28" s="3">
        <v>0.73633333300000003</v>
      </c>
      <c r="CE28" s="3">
        <v>0</v>
      </c>
      <c r="CF28" s="3">
        <v>0.371</v>
      </c>
      <c r="CG28" s="3">
        <v>0.81299999999999994</v>
      </c>
      <c r="CH28" s="3">
        <v>0</v>
      </c>
      <c r="CI28" s="3">
        <v>0.58799999999999997</v>
      </c>
      <c r="CJ28" s="3">
        <v>0.84833333300000002</v>
      </c>
      <c r="CK28" s="3">
        <v>0</v>
      </c>
      <c r="CL28" s="3">
        <v>0.40500000000000003</v>
      </c>
      <c r="CM28" s="3">
        <v>0.01</v>
      </c>
      <c r="CN28" s="3">
        <v>0</v>
      </c>
      <c r="CO28" s="3">
        <v>0.67900000000000005</v>
      </c>
      <c r="CP28" s="3">
        <v>0.81</v>
      </c>
      <c r="CQ28" s="3">
        <v>0</v>
      </c>
      <c r="CR28" s="3">
        <v>0.65100000000000002</v>
      </c>
      <c r="CS28" s="3">
        <v>0.89300000000000002</v>
      </c>
      <c r="CT28" s="48" t="s">
        <v>315</v>
      </c>
      <c r="CU28" s="49" t="s">
        <v>330</v>
      </c>
      <c r="CV28" s="3">
        <v>-0.59399999999999997</v>
      </c>
      <c r="CW28" s="3">
        <v>-0.39700000000000002</v>
      </c>
      <c r="CX28" s="3">
        <v>-0.182</v>
      </c>
      <c r="CY28" s="3">
        <v>0.50600000000000001</v>
      </c>
      <c r="CZ28" s="3">
        <v>-1.1830000000000001</v>
      </c>
      <c r="DA28" s="3">
        <v>3.5649999999999999</v>
      </c>
      <c r="DB28" s="3">
        <v>1.6839999999999999</v>
      </c>
      <c r="DC28" s="3">
        <v>-2.7E-2</v>
      </c>
      <c r="DD28" s="3">
        <v>0.41599999999999998</v>
      </c>
      <c r="DE28" s="3">
        <v>2.2130000000000001</v>
      </c>
      <c r="DF28" s="3">
        <v>-0.58699999999999997</v>
      </c>
      <c r="DG28" s="3">
        <v>1.98</v>
      </c>
      <c r="DH28" s="3">
        <v>0.13700000000000001</v>
      </c>
    </row>
    <row r="29" spans="1:112" x14ac:dyDescent="0.3">
      <c r="A29" s="48" t="s">
        <v>315</v>
      </c>
      <c r="B29" s="49" t="s">
        <v>331</v>
      </c>
      <c r="C29" s="3">
        <v>30.447136799999999</v>
      </c>
      <c r="D29" s="3">
        <v>71.034804899999997</v>
      </c>
      <c r="E29" s="3">
        <v>32.286225600000002</v>
      </c>
      <c r="F29" s="3">
        <v>23.192953200000002</v>
      </c>
      <c r="G29" s="3">
        <v>23.192953200000002</v>
      </c>
      <c r="H29" s="3">
        <v>66.309368399999997</v>
      </c>
      <c r="I29" s="48" t="s">
        <v>315</v>
      </c>
      <c r="J29" s="49" t="s">
        <v>331</v>
      </c>
      <c r="K29" s="3">
        <v>32264</v>
      </c>
      <c r="L29" s="48" t="s">
        <v>315</v>
      </c>
      <c r="M29" s="49" t="s">
        <v>331</v>
      </c>
      <c r="N29" s="3">
        <v>2610.7892069999998</v>
      </c>
      <c r="O29" s="3">
        <v>3392.085853</v>
      </c>
      <c r="P29" s="3">
        <v>1278.301099</v>
      </c>
      <c r="Q29" s="3">
        <v>1476.5674710000001</v>
      </c>
      <c r="R29" s="3">
        <v>3735.9132439999998</v>
      </c>
      <c r="S29" s="3">
        <v>3252.798542</v>
      </c>
      <c r="T29" s="3">
        <v>986.60289769999997</v>
      </c>
      <c r="U29" s="3">
        <v>2404.3032130000001</v>
      </c>
      <c r="V29" s="3">
        <v>2019.2685019999999</v>
      </c>
      <c r="W29" s="3">
        <v>821.78680139999994</v>
      </c>
      <c r="X29" s="3">
        <v>2295.0909390000002</v>
      </c>
      <c r="Y29" s="3">
        <v>186.29450069999999</v>
      </c>
      <c r="Z29" s="3">
        <v>784.2409791</v>
      </c>
      <c r="AA29" s="48" t="s">
        <v>315</v>
      </c>
      <c r="AB29" s="49" t="s">
        <v>331</v>
      </c>
      <c r="AC29" s="3">
        <v>1282.0892739999999</v>
      </c>
      <c r="AD29" s="3">
        <v>1250.1242</v>
      </c>
      <c r="AE29" s="3">
        <v>763.39700449999998</v>
      </c>
      <c r="AF29" s="3">
        <v>230.3225253</v>
      </c>
      <c r="AG29" s="3">
        <v>2138.833615</v>
      </c>
      <c r="AH29" s="3">
        <v>1719.7284569999999</v>
      </c>
      <c r="AI29" s="3">
        <v>1544.9512299999999</v>
      </c>
      <c r="AJ29" s="3">
        <v>1587.966752</v>
      </c>
      <c r="AK29" s="3">
        <v>667.96366999999998</v>
      </c>
      <c r="AL29" s="3">
        <v>988.58331269999996</v>
      </c>
      <c r="AM29" s="3">
        <v>1784.5538489999999</v>
      </c>
      <c r="AN29" s="3">
        <v>207.01592629999999</v>
      </c>
      <c r="AO29" s="3">
        <v>647.36093619999997</v>
      </c>
      <c r="AP29" s="48" t="s">
        <v>315</v>
      </c>
      <c r="AQ29" s="49" t="s">
        <v>331</v>
      </c>
      <c r="AR29" s="3">
        <v>718.82544359999997</v>
      </c>
      <c r="AS29" s="3">
        <v>1123.122228</v>
      </c>
      <c r="AT29" s="3">
        <v>844.34896000000003</v>
      </c>
      <c r="AU29" s="3">
        <v>863.18934000000002</v>
      </c>
      <c r="AV29" s="3">
        <v>310.60367669999999</v>
      </c>
      <c r="AW29" s="3">
        <v>1421.01791</v>
      </c>
      <c r="AX29" s="3">
        <v>756.48504749999995</v>
      </c>
      <c r="AY29" s="3">
        <v>595.11791789999995</v>
      </c>
      <c r="AZ29" s="3">
        <v>663.43682939999997</v>
      </c>
      <c r="BA29" s="3">
        <v>324.50400389999999</v>
      </c>
      <c r="BB29" s="3">
        <v>432.89255750000001</v>
      </c>
      <c r="BC29" s="3">
        <v>151.71877499999999</v>
      </c>
      <c r="BD29" s="3">
        <v>772.43244360000006</v>
      </c>
      <c r="BE29" s="48" t="s">
        <v>315</v>
      </c>
      <c r="BF29" s="49" t="s">
        <v>331</v>
      </c>
      <c r="BG29" s="3">
        <v>0</v>
      </c>
      <c r="BH29" s="3">
        <v>0.33300000000000002</v>
      </c>
      <c r="BI29" s="3">
        <v>0.83350000000000002</v>
      </c>
      <c r="BJ29" s="3">
        <v>0</v>
      </c>
      <c r="BK29" s="3">
        <v>0.34899999999999998</v>
      </c>
      <c r="BL29" s="3">
        <v>0.82499999999999996</v>
      </c>
      <c r="BM29" s="3">
        <v>0</v>
      </c>
      <c r="BN29" s="3">
        <v>0.45800000000000002</v>
      </c>
      <c r="BO29" s="3">
        <v>0.70650000000000002</v>
      </c>
      <c r="BP29" s="3">
        <v>0</v>
      </c>
      <c r="BQ29" s="3">
        <v>0.28899999999999998</v>
      </c>
      <c r="BR29" s="3">
        <v>0.75466666699999996</v>
      </c>
      <c r="BS29" s="3">
        <v>0</v>
      </c>
      <c r="BT29" s="3">
        <v>0.69599999999999995</v>
      </c>
      <c r="BU29" s="3">
        <v>0.78658333400000002</v>
      </c>
      <c r="BV29" s="3">
        <v>0</v>
      </c>
      <c r="BW29" s="3">
        <v>0.77900000000000003</v>
      </c>
      <c r="BX29" s="3">
        <v>0.83099999999999996</v>
      </c>
      <c r="BY29" s="3">
        <v>0</v>
      </c>
      <c r="BZ29" s="3">
        <v>0.77900000000000003</v>
      </c>
      <c r="CA29" s="3">
        <v>0.80600000000000005</v>
      </c>
      <c r="CB29" s="3">
        <v>0</v>
      </c>
      <c r="CC29" s="3">
        <v>0.39700000000000002</v>
      </c>
      <c r="CD29" s="3">
        <v>0.73966666700000006</v>
      </c>
      <c r="CE29" s="3">
        <v>0</v>
      </c>
      <c r="CF29" s="3">
        <v>0.40899999999999997</v>
      </c>
      <c r="CG29" s="3">
        <v>0.82899999999999996</v>
      </c>
      <c r="CH29" s="3">
        <v>0</v>
      </c>
      <c r="CI29" s="3">
        <v>0.61599999999999999</v>
      </c>
      <c r="CJ29" s="3">
        <v>0.875</v>
      </c>
      <c r="CK29" s="3">
        <v>0</v>
      </c>
      <c r="CL29" s="3">
        <v>0.41299999999999998</v>
      </c>
      <c r="CM29" s="3">
        <v>0.01</v>
      </c>
      <c r="CN29" s="3">
        <v>0</v>
      </c>
      <c r="CO29" s="3">
        <v>0.69699999999999995</v>
      </c>
      <c r="CP29" s="3">
        <v>0.77233333299999996</v>
      </c>
      <c r="CQ29" s="3">
        <v>0</v>
      </c>
      <c r="CR29" s="3">
        <v>0.65500000000000003</v>
      </c>
      <c r="CS29" s="3">
        <v>0.89800000000000002</v>
      </c>
      <c r="CT29" s="48" t="s">
        <v>315</v>
      </c>
      <c r="CU29" s="49" t="s">
        <v>331</v>
      </c>
      <c r="CV29" s="3">
        <v>-0.68600000000000005</v>
      </c>
      <c r="CW29" s="3">
        <v>-0.61499999999999999</v>
      </c>
      <c r="CX29" s="3">
        <v>-0.41099999999999998</v>
      </c>
      <c r="CY29" s="3">
        <v>5.3999999999999999E-2</v>
      </c>
      <c r="CZ29" s="3">
        <v>-1.3759999999999999</v>
      </c>
      <c r="DA29" s="3">
        <v>3.5390000000000001</v>
      </c>
      <c r="DB29" s="3">
        <v>1.3720000000000001</v>
      </c>
      <c r="DC29" s="3">
        <v>-0.376</v>
      </c>
      <c r="DD29" s="3">
        <v>0.215</v>
      </c>
      <c r="DE29" s="3">
        <v>1.9730000000000001</v>
      </c>
      <c r="DF29" s="3">
        <v>-0.86099999999999999</v>
      </c>
      <c r="DG29" s="3">
        <v>1.966</v>
      </c>
      <c r="DH29" s="3">
        <v>-0.246</v>
      </c>
    </row>
    <row r="30" spans="1:112" x14ac:dyDescent="0.3">
      <c r="A30" s="48" t="s">
        <v>315</v>
      </c>
      <c r="B30" s="49" t="s">
        <v>332</v>
      </c>
      <c r="C30" s="3">
        <v>30.404565300000002</v>
      </c>
      <c r="D30" s="3">
        <v>68.999887200000003</v>
      </c>
      <c r="E30" s="3">
        <v>32.771540700000003</v>
      </c>
      <c r="F30" s="3">
        <v>23.380267799999999</v>
      </c>
      <c r="G30" s="3">
        <v>23.380267799999999</v>
      </c>
      <c r="H30" s="3">
        <v>64.5554226</v>
      </c>
      <c r="I30" s="48" t="s">
        <v>315</v>
      </c>
      <c r="J30" s="49" t="s">
        <v>332</v>
      </c>
      <c r="K30" s="3">
        <v>31558.5</v>
      </c>
      <c r="L30" s="48" t="s">
        <v>315</v>
      </c>
      <c r="M30" s="49" t="s">
        <v>332</v>
      </c>
      <c r="N30" s="3">
        <v>2329.028828</v>
      </c>
      <c r="O30" s="3">
        <v>3270.007333</v>
      </c>
      <c r="P30" s="3">
        <v>1188.4227550000001</v>
      </c>
      <c r="Q30" s="3">
        <v>1485.426708</v>
      </c>
      <c r="R30" s="3">
        <v>3200.9756750000001</v>
      </c>
      <c r="S30" s="3">
        <v>2915.132396</v>
      </c>
      <c r="T30" s="3">
        <v>881.28814650000004</v>
      </c>
      <c r="U30" s="3">
        <v>2275.0958009999999</v>
      </c>
      <c r="V30" s="3">
        <v>1974.6434690000001</v>
      </c>
      <c r="W30" s="3">
        <v>696.56167240000002</v>
      </c>
      <c r="X30" s="3">
        <v>1894.317528</v>
      </c>
      <c r="Y30" s="3">
        <v>67.341697319999994</v>
      </c>
      <c r="Z30" s="3">
        <v>721.65392139999994</v>
      </c>
      <c r="AA30" s="48" t="s">
        <v>315</v>
      </c>
      <c r="AB30" s="49" t="s">
        <v>332</v>
      </c>
      <c r="AC30" s="3">
        <v>1463.517002</v>
      </c>
      <c r="AD30" s="3">
        <v>1452.847043</v>
      </c>
      <c r="AE30" s="3">
        <v>887.19111329999998</v>
      </c>
      <c r="AF30" s="3">
        <v>267.672124</v>
      </c>
      <c r="AG30" s="3">
        <v>2441.4987489999999</v>
      </c>
      <c r="AH30" s="3">
        <v>1998.6033420000001</v>
      </c>
      <c r="AI30" s="3">
        <v>1795.483862</v>
      </c>
      <c r="AJ30" s="3">
        <v>1812.679028</v>
      </c>
      <c r="AK30" s="3">
        <v>762.48683089999997</v>
      </c>
      <c r="AL30" s="3">
        <v>1128.4771780000001</v>
      </c>
      <c r="AM30" s="3">
        <v>2073.9409599999999</v>
      </c>
      <c r="AN30" s="3">
        <v>240.58607649999999</v>
      </c>
      <c r="AO30" s="3">
        <v>738.96861590000003</v>
      </c>
      <c r="AP30" s="48" t="s">
        <v>315</v>
      </c>
      <c r="AQ30" s="49" t="s">
        <v>332</v>
      </c>
      <c r="AR30" s="3">
        <v>781.52672840000002</v>
      </c>
      <c r="AS30" s="3">
        <v>1192.2374420000001</v>
      </c>
      <c r="AT30" s="3">
        <v>896.308896</v>
      </c>
      <c r="AU30" s="3">
        <v>916.30868399999997</v>
      </c>
      <c r="AV30" s="3">
        <v>337.69683229999998</v>
      </c>
      <c r="AW30" s="3">
        <v>1508.465166</v>
      </c>
      <c r="AX30" s="3">
        <v>803.03797350000002</v>
      </c>
      <c r="AY30" s="3">
        <v>647.02851510000005</v>
      </c>
      <c r="AZ30" s="3">
        <v>721.30670859999998</v>
      </c>
      <c r="BA30" s="3">
        <v>352.8096491</v>
      </c>
      <c r="BB30" s="3">
        <v>459.53209950000002</v>
      </c>
      <c r="BC30" s="3">
        <v>161.05531500000001</v>
      </c>
      <c r="BD30" s="3">
        <v>839.80972840000004</v>
      </c>
      <c r="BE30" s="48" t="s">
        <v>315</v>
      </c>
      <c r="BF30" s="49" t="s">
        <v>332</v>
      </c>
      <c r="BG30" s="3">
        <v>0</v>
      </c>
      <c r="BH30" s="3">
        <v>0.35099999999999998</v>
      </c>
      <c r="BI30" s="3">
        <v>0.82350000000000001</v>
      </c>
      <c r="BJ30" s="3">
        <v>0</v>
      </c>
      <c r="BK30" s="3">
        <v>0.33300000000000002</v>
      </c>
      <c r="BL30" s="3">
        <v>0.85599999999999998</v>
      </c>
      <c r="BM30" s="3">
        <v>0</v>
      </c>
      <c r="BN30" s="3">
        <v>0.46</v>
      </c>
      <c r="BO30" s="3">
        <v>0.69099999999999995</v>
      </c>
      <c r="BP30" s="3">
        <v>0</v>
      </c>
      <c r="BQ30" s="3">
        <v>0.313</v>
      </c>
      <c r="BR30" s="3">
        <v>0.755</v>
      </c>
      <c r="BS30" s="3">
        <v>0</v>
      </c>
      <c r="BT30" s="3">
        <v>0.70199999999999996</v>
      </c>
      <c r="BU30" s="3">
        <v>0.79325000000000001</v>
      </c>
      <c r="BV30" s="3">
        <v>0</v>
      </c>
      <c r="BW30" s="3">
        <v>0.75</v>
      </c>
      <c r="BX30" s="3">
        <v>0.80300000000000005</v>
      </c>
      <c r="BY30" s="3">
        <v>0</v>
      </c>
      <c r="BZ30" s="3">
        <v>0.75</v>
      </c>
      <c r="CA30" s="3">
        <v>0.82099999999999995</v>
      </c>
      <c r="CB30" s="3">
        <v>0</v>
      </c>
      <c r="CC30" s="3">
        <v>0.42299999999999999</v>
      </c>
      <c r="CD30" s="3">
        <v>0.76300000000000001</v>
      </c>
      <c r="CE30" s="3">
        <v>0</v>
      </c>
      <c r="CF30" s="3">
        <v>0.436</v>
      </c>
      <c r="CG30" s="3">
        <v>0.84550000000000003</v>
      </c>
      <c r="CH30" s="3">
        <v>0</v>
      </c>
      <c r="CI30" s="3">
        <v>0.61299999999999999</v>
      </c>
      <c r="CJ30" s="3">
        <v>0.90233333299999996</v>
      </c>
      <c r="CK30" s="3">
        <v>0</v>
      </c>
      <c r="CL30" s="3">
        <v>0.41599999999999998</v>
      </c>
      <c r="CM30" s="3">
        <v>0.01</v>
      </c>
      <c r="CN30" s="3">
        <v>0</v>
      </c>
      <c r="CO30" s="3">
        <v>0.72099999999999997</v>
      </c>
      <c r="CP30" s="3">
        <v>0.74466666699999995</v>
      </c>
      <c r="CQ30" s="3">
        <v>0</v>
      </c>
      <c r="CR30" s="3">
        <v>0.65800000000000003</v>
      </c>
      <c r="CS30" s="3">
        <v>0.86199999999999999</v>
      </c>
      <c r="CT30" s="48" t="s">
        <v>315</v>
      </c>
      <c r="CU30" s="49" t="s">
        <v>332</v>
      </c>
      <c r="CV30" s="3">
        <v>-0.79500000000000004</v>
      </c>
      <c r="CW30" s="3">
        <v>-0.85199999999999998</v>
      </c>
      <c r="CX30" s="3">
        <v>-0.63700000000000001</v>
      </c>
      <c r="CY30" s="3">
        <v>-0.54</v>
      </c>
      <c r="CZ30" s="3">
        <v>-1.577</v>
      </c>
      <c r="DA30" s="3">
        <v>3.629</v>
      </c>
      <c r="DB30" s="3">
        <v>1.042</v>
      </c>
      <c r="DC30" s="3">
        <v>-0.75600000000000001</v>
      </c>
      <c r="DD30" s="3">
        <v>-5.0000000000000001E-3</v>
      </c>
      <c r="DE30" s="3">
        <v>1.6739999999999999</v>
      </c>
      <c r="DF30" s="3">
        <v>-1.0760000000000001</v>
      </c>
      <c r="DG30" s="3">
        <v>1.8260000000000001</v>
      </c>
      <c r="DH30" s="3">
        <v>-0.48599999999999999</v>
      </c>
    </row>
    <row r="31" spans="1:112" x14ac:dyDescent="0.3">
      <c r="A31" s="48" t="s">
        <v>315</v>
      </c>
      <c r="B31" s="49" t="s">
        <v>333</v>
      </c>
      <c r="C31" s="3">
        <v>30.404565300000002</v>
      </c>
      <c r="D31" s="3">
        <v>75.751727099999997</v>
      </c>
      <c r="E31" s="3">
        <v>35.257716299999998</v>
      </c>
      <c r="F31" s="3">
        <v>24.138040499999999</v>
      </c>
      <c r="G31" s="3">
        <v>24.138040499999999</v>
      </c>
      <c r="H31" s="3">
        <v>72.0820638</v>
      </c>
      <c r="I31" s="48" t="s">
        <v>315</v>
      </c>
      <c r="J31" s="49" t="s">
        <v>333</v>
      </c>
      <c r="K31" s="3">
        <v>31102</v>
      </c>
      <c r="L31" s="48" t="s">
        <v>315</v>
      </c>
      <c r="M31" s="49" t="s">
        <v>333</v>
      </c>
      <c r="N31" s="3">
        <v>2382.6218880000001</v>
      </c>
      <c r="O31" s="3">
        <v>3347.8932460000001</v>
      </c>
      <c r="P31" s="3">
        <v>1215.8019959999999</v>
      </c>
      <c r="Q31" s="3">
        <v>1600.094758</v>
      </c>
      <c r="R31" s="3">
        <v>3147.5651779999998</v>
      </c>
      <c r="S31" s="3">
        <v>3026.8668290000001</v>
      </c>
      <c r="T31" s="3">
        <v>651.71768699999996</v>
      </c>
      <c r="U31" s="3">
        <v>2384.8146919999999</v>
      </c>
      <c r="V31" s="3">
        <v>1990.5102199999999</v>
      </c>
      <c r="W31" s="3">
        <v>568.50596250000001</v>
      </c>
      <c r="X31" s="3">
        <v>1679.270767</v>
      </c>
      <c r="Y31" s="3">
        <v>65.462001659999999</v>
      </c>
      <c r="Z31" s="3">
        <v>576.20280979999995</v>
      </c>
      <c r="AA31" s="48" t="s">
        <v>315</v>
      </c>
      <c r="AB31" s="49" t="s">
        <v>333</v>
      </c>
      <c r="AC31" s="3">
        <v>1858.6262750000001</v>
      </c>
      <c r="AD31" s="3">
        <v>1719.3900410000001</v>
      </c>
      <c r="AE31" s="3">
        <v>1049.9574419999999</v>
      </c>
      <c r="AF31" s="3">
        <v>316.77992970000003</v>
      </c>
      <c r="AG31" s="3">
        <v>3100.636152</v>
      </c>
      <c r="AH31" s="3">
        <v>2365.272172</v>
      </c>
      <c r="AI31" s="3">
        <v>2124.887878</v>
      </c>
      <c r="AJ31" s="3">
        <v>2302.0524300000002</v>
      </c>
      <c r="AK31" s="3">
        <v>968.33727009999996</v>
      </c>
      <c r="AL31" s="3">
        <v>1433.1349279999999</v>
      </c>
      <c r="AM31" s="3">
        <v>2454.4314199999999</v>
      </c>
      <c r="AN31" s="3">
        <v>284.7246073</v>
      </c>
      <c r="AO31" s="3">
        <v>938.46978490000004</v>
      </c>
      <c r="AP31" s="48" t="s">
        <v>315</v>
      </c>
      <c r="AQ31" s="49" t="s">
        <v>333</v>
      </c>
      <c r="AR31" s="3">
        <v>853.18533960000002</v>
      </c>
      <c r="AS31" s="3">
        <v>1264.8084160000001</v>
      </c>
      <c r="AT31" s="3">
        <v>950.86682880000001</v>
      </c>
      <c r="AU31" s="3">
        <v>972.0839952</v>
      </c>
      <c r="AV31" s="3">
        <v>368.66043869999999</v>
      </c>
      <c r="AW31" s="3">
        <v>1600.2847850000001</v>
      </c>
      <c r="AX31" s="3">
        <v>851.91854579999995</v>
      </c>
      <c r="AY31" s="3">
        <v>706.35491190000005</v>
      </c>
      <c r="AZ31" s="3">
        <v>787.44371339999998</v>
      </c>
      <c r="BA31" s="3">
        <v>385.15895790000002</v>
      </c>
      <c r="BB31" s="3">
        <v>487.50361859999998</v>
      </c>
      <c r="BC31" s="3">
        <v>170.85868199999999</v>
      </c>
      <c r="BD31" s="3">
        <v>916.81233959999997</v>
      </c>
      <c r="BE31" s="48" t="s">
        <v>315</v>
      </c>
      <c r="BF31" s="49" t="s">
        <v>333</v>
      </c>
      <c r="BG31" s="3">
        <v>0</v>
      </c>
      <c r="BH31" s="3">
        <v>0.38</v>
      </c>
      <c r="BI31" s="3">
        <v>0.84850000000000003</v>
      </c>
      <c r="BJ31" s="3">
        <v>0</v>
      </c>
      <c r="BK31" s="3">
        <v>0.32100000000000001</v>
      </c>
      <c r="BL31" s="3">
        <v>0.86050000000000004</v>
      </c>
      <c r="BM31" s="3">
        <v>0</v>
      </c>
      <c r="BN31" s="3">
        <v>0.45500000000000002</v>
      </c>
      <c r="BO31" s="3">
        <v>0.72950000000000004</v>
      </c>
      <c r="BP31" s="3">
        <v>0</v>
      </c>
      <c r="BQ31" s="3">
        <v>0.33800000000000002</v>
      </c>
      <c r="BR31" s="3">
        <v>0.79033333299999997</v>
      </c>
      <c r="BS31" s="3">
        <v>0</v>
      </c>
      <c r="BT31" s="3">
        <v>0.73799999999999999</v>
      </c>
      <c r="BU31" s="3">
        <v>0.83574999999999999</v>
      </c>
      <c r="BV31" s="3">
        <v>0</v>
      </c>
      <c r="BW31" s="3">
        <v>0.70399999999999996</v>
      </c>
      <c r="BX31" s="3">
        <v>0.83599999999999997</v>
      </c>
      <c r="BY31" s="3">
        <v>0</v>
      </c>
      <c r="BZ31" s="3">
        <v>0.70399999999999996</v>
      </c>
      <c r="CA31" s="3">
        <v>0.82299999999999995</v>
      </c>
      <c r="CB31" s="3">
        <v>0</v>
      </c>
      <c r="CC31" s="3">
        <v>0.44900000000000001</v>
      </c>
      <c r="CD31" s="3">
        <v>0.82299999999999995</v>
      </c>
      <c r="CE31" s="3">
        <v>0</v>
      </c>
      <c r="CF31" s="3">
        <v>0.45700000000000002</v>
      </c>
      <c r="CG31" s="3">
        <v>0.86550000000000005</v>
      </c>
      <c r="CH31" s="3">
        <v>0</v>
      </c>
      <c r="CI31" s="3">
        <v>0.63200000000000001</v>
      </c>
      <c r="CJ31" s="3">
        <v>0.91833333299999997</v>
      </c>
      <c r="CK31" s="3">
        <v>0</v>
      </c>
      <c r="CL31" s="3">
        <v>0.40300000000000002</v>
      </c>
      <c r="CM31" s="3">
        <v>0.01</v>
      </c>
      <c r="CN31" s="3">
        <v>0</v>
      </c>
      <c r="CO31" s="3">
        <v>0.748</v>
      </c>
      <c r="CP31" s="3">
        <v>0.77700000000000002</v>
      </c>
      <c r="CQ31" s="3">
        <v>0</v>
      </c>
      <c r="CR31" s="3">
        <v>0.65200000000000002</v>
      </c>
      <c r="CS31" s="3">
        <v>0.83199999999999996</v>
      </c>
      <c r="CT31" s="48" t="s">
        <v>315</v>
      </c>
      <c r="CU31" s="49" t="s">
        <v>333</v>
      </c>
      <c r="CV31" s="3">
        <v>-0.94299999999999995</v>
      </c>
      <c r="CW31" s="3">
        <v>-0.98199999999999998</v>
      </c>
      <c r="CX31" s="3">
        <v>-0.77800000000000002</v>
      </c>
      <c r="CY31" s="3">
        <v>-0.84799999999999998</v>
      </c>
      <c r="CZ31" s="3">
        <v>-1.7789999999999999</v>
      </c>
      <c r="DA31" s="3">
        <v>3.7749999999999999</v>
      </c>
      <c r="DB31" s="3">
        <v>0.55400000000000005</v>
      </c>
      <c r="DC31" s="3">
        <v>-1.06</v>
      </c>
      <c r="DD31" s="3">
        <v>-0.23</v>
      </c>
      <c r="DE31" s="3">
        <v>1.3440000000000001</v>
      </c>
      <c r="DF31" s="3">
        <v>-1.262</v>
      </c>
      <c r="DG31" s="3">
        <v>1.64</v>
      </c>
      <c r="DH31" s="3">
        <v>-0.61499999999999999</v>
      </c>
    </row>
    <row r="32" spans="1:112" x14ac:dyDescent="0.3">
      <c r="A32" s="48" t="s">
        <v>315</v>
      </c>
      <c r="B32" s="49" t="s">
        <v>334</v>
      </c>
      <c r="C32" s="3">
        <v>30.4130796</v>
      </c>
      <c r="D32" s="3">
        <v>92.124725999999995</v>
      </c>
      <c r="E32" s="3">
        <v>38.0674353</v>
      </c>
      <c r="F32" s="3">
        <v>24.904327500000001</v>
      </c>
      <c r="G32" s="3">
        <v>24.904327500000001</v>
      </c>
      <c r="H32" s="3">
        <v>85.543172100000007</v>
      </c>
      <c r="I32" s="48" t="s">
        <v>315</v>
      </c>
      <c r="J32" s="49" t="s">
        <v>334</v>
      </c>
      <c r="K32" s="3">
        <v>32000.5</v>
      </c>
      <c r="L32" s="48" t="s">
        <v>315</v>
      </c>
      <c r="M32" s="49" t="s">
        <v>334</v>
      </c>
      <c r="N32" s="3">
        <v>3155.1254949999998</v>
      </c>
      <c r="O32" s="3">
        <v>4277.0539930000004</v>
      </c>
      <c r="P32" s="3">
        <v>1736.2212340000001</v>
      </c>
      <c r="Q32" s="3">
        <v>1952.6837270000001</v>
      </c>
      <c r="R32" s="3">
        <v>3847.64311</v>
      </c>
      <c r="S32" s="3">
        <v>3690.5437230000002</v>
      </c>
      <c r="T32" s="3">
        <v>1288.802459</v>
      </c>
      <c r="U32" s="3">
        <v>3431.8907690000001</v>
      </c>
      <c r="V32" s="3">
        <v>2709.61978</v>
      </c>
      <c r="W32" s="3">
        <v>1058.5443230000001</v>
      </c>
      <c r="X32" s="3">
        <v>2473.8060449999998</v>
      </c>
      <c r="Y32" s="3">
        <v>135.0585169</v>
      </c>
      <c r="Z32" s="3">
        <v>697.27353860000005</v>
      </c>
      <c r="AA32" s="48" t="s">
        <v>315</v>
      </c>
      <c r="AB32" s="49" t="s">
        <v>334</v>
      </c>
      <c r="AC32" s="3">
        <v>2019.895366</v>
      </c>
      <c r="AD32" s="3">
        <v>1726.8982940000001</v>
      </c>
      <c r="AE32" s="3">
        <v>1054.5424089999999</v>
      </c>
      <c r="AF32" s="3">
        <v>318.16324809999998</v>
      </c>
      <c r="AG32" s="3">
        <v>3369.6718270000001</v>
      </c>
      <c r="AH32" s="3">
        <v>2375.600872</v>
      </c>
      <c r="AI32" s="3">
        <v>2134.1668639999998</v>
      </c>
      <c r="AJ32" s="3">
        <v>2501.7966750000001</v>
      </c>
      <c r="AK32" s="3">
        <v>1052.357857</v>
      </c>
      <c r="AL32" s="3">
        <v>1557.4850300000001</v>
      </c>
      <c r="AM32" s="3">
        <v>2465.149461</v>
      </c>
      <c r="AN32" s="3">
        <v>285.96794619999997</v>
      </c>
      <c r="AO32" s="3">
        <v>1019.898834</v>
      </c>
      <c r="AP32" s="48" t="s">
        <v>315</v>
      </c>
      <c r="AQ32" s="49" t="s">
        <v>334</v>
      </c>
      <c r="AR32" s="3">
        <v>1034.571199</v>
      </c>
      <c r="AS32" s="3">
        <v>1558.548076</v>
      </c>
      <c r="AT32" s="3">
        <v>1171.696557</v>
      </c>
      <c r="AU32" s="3">
        <v>1197.8412069999999</v>
      </c>
      <c r="AV32" s="3">
        <v>447.03706740000001</v>
      </c>
      <c r="AW32" s="3">
        <v>1971.9356230000001</v>
      </c>
      <c r="AX32" s="3">
        <v>1049.7684810000001</v>
      </c>
      <c r="AY32" s="3">
        <v>856.52485379999996</v>
      </c>
      <c r="AZ32" s="3">
        <v>954.8530068</v>
      </c>
      <c r="BA32" s="3">
        <v>467.04314579999999</v>
      </c>
      <c r="BB32" s="3">
        <v>600.72167209999998</v>
      </c>
      <c r="BC32" s="3">
        <v>210.53897699999999</v>
      </c>
      <c r="BD32" s="3">
        <v>1111.725199</v>
      </c>
      <c r="BE32" s="48" t="s">
        <v>315</v>
      </c>
      <c r="BF32" s="49" t="s">
        <v>334</v>
      </c>
      <c r="BG32" s="3">
        <v>0</v>
      </c>
      <c r="BH32" s="3">
        <v>0.41799999999999998</v>
      </c>
      <c r="BI32" s="3">
        <v>0.87</v>
      </c>
      <c r="BJ32" s="3">
        <v>0</v>
      </c>
      <c r="BK32" s="3">
        <v>0.34100000000000003</v>
      </c>
      <c r="BL32" s="3">
        <v>0.86399999999999999</v>
      </c>
      <c r="BM32" s="3">
        <v>0</v>
      </c>
      <c r="BN32" s="3">
        <v>0.45400000000000001</v>
      </c>
      <c r="BO32" s="3">
        <v>0.76449999999999996</v>
      </c>
      <c r="BP32" s="3">
        <v>0</v>
      </c>
      <c r="BQ32" s="3">
        <v>0.36099999999999999</v>
      </c>
      <c r="BR32" s="3">
        <v>0.79566666699999999</v>
      </c>
      <c r="BS32" s="3">
        <v>0</v>
      </c>
      <c r="BT32" s="3">
        <v>0.77800000000000002</v>
      </c>
      <c r="BU32" s="3">
        <v>0.85750000000000004</v>
      </c>
      <c r="BV32" s="3">
        <v>0</v>
      </c>
      <c r="BW32" s="3">
        <v>0.65700000000000003</v>
      </c>
      <c r="BX32" s="3">
        <v>0.84599999999999997</v>
      </c>
      <c r="BY32" s="3">
        <v>0</v>
      </c>
      <c r="BZ32" s="3">
        <v>0.65700000000000003</v>
      </c>
      <c r="CA32" s="3">
        <v>0.87450000000000006</v>
      </c>
      <c r="CB32" s="3">
        <v>0</v>
      </c>
      <c r="CC32" s="3">
        <v>0.46600000000000003</v>
      </c>
      <c r="CD32" s="3">
        <v>0.84499999999999997</v>
      </c>
      <c r="CE32" s="3">
        <v>0</v>
      </c>
      <c r="CF32" s="3">
        <v>0.47</v>
      </c>
      <c r="CG32" s="3">
        <v>0.87</v>
      </c>
      <c r="CH32" s="3">
        <v>0</v>
      </c>
      <c r="CI32" s="3">
        <v>0.66500000000000004</v>
      </c>
      <c r="CJ32" s="3">
        <v>0.924666667</v>
      </c>
      <c r="CK32" s="3">
        <v>0</v>
      </c>
      <c r="CL32" s="3">
        <v>0.41599999999999998</v>
      </c>
      <c r="CM32" s="3">
        <v>0.01</v>
      </c>
      <c r="CN32" s="3">
        <v>0</v>
      </c>
      <c r="CO32" s="3">
        <v>0.755</v>
      </c>
      <c r="CP32" s="3">
        <v>0.80300000000000005</v>
      </c>
      <c r="CQ32" s="3">
        <v>0</v>
      </c>
      <c r="CR32" s="3">
        <v>0.65</v>
      </c>
      <c r="CS32" s="3">
        <v>0.83699999999999997</v>
      </c>
      <c r="CT32" s="48" t="s">
        <v>315</v>
      </c>
      <c r="CU32" s="49" t="s">
        <v>334</v>
      </c>
      <c r="CV32" s="3">
        <v>-1.119</v>
      </c>
      <c r="CW32" s="3">
        <v>-1.026</v>
      </c>
      <c r="CX32" s="3">
        <v>-0.83599999999999997</v>
      </c>
      <c r="CY32" s="3">
        <v>-1.4059999999999999</v>
      </c>
      <c r="CZ32" s="3">
        <v>-1.9890000000000001</v>
      </c>
      <c r="DA32" s="3">
        <v>3.8530000000000002</v>
      </c>
      <c r="DB32" s="3">
        <v>-4.7E-2</v>
      </c>
      <c r="DC32" s="3">
        <v>-1.294</v>
      </c>
      <c r="DD32" s="3">
        <v>-0.48199999999999998</v>
      </c>
      <c r="DE32" s="3">
        <v>1.1479999999999999</v>
      </c>
      <c r="DF32" s="3">
        <v>-1.4279999999999999</v>
      </c>
      <c r="DG32" s="3">
        <v>1.389</v>
      </c>
      <c r="DH32" s="3">
        <v>-0.68200000000000005</v>
      </c>
    </row>
    <row r="33" spans="1:112" x14ac:dyDescent="0.3">
      <c r="A33" s="48" t="s">
        <v>315</v>
      </c>
      <c r="B33" s="49" t="s">
        <v>335</v>
      </c>
      <c r="C33" s="3">
        <v>25.3044996</v>
      </c>
      <c r="D33" s="3">
        <v>127.7145</v>
      </c>
      <c r="E33" s="3">
        <v>50.259912900000003</v>
      </c>
      <c r="F33" s="3">
        <v>26.513530200000002</v>
      </c>
      <c r="G33" s="3">
        <v>26.513530200000002</v>
      </c>
      <c r="H33" s="3">
        <v>114.6705924</v>
      </c>
      <c r="I33" s="48" t="s">
        <v>315</v>
      </c>
      <c r="J33" s="49" t="s">
        <v>335</v>
      </c>
      <c r="K33" s="3">
        <v>36740</v>
      </c>
      <c r="L33" s="48" t="s">
        <v>315</v>
      </c>
      <c r="M33" s="49" t="s">
        <v>335</v>
      </c>
      <c r="N33" s="3">
        <v>5067.1490100000001</v>
      </c>
      <c r="O33" s="3">
        <v>6042.9469209999997</v>
      </c>
      <c r="P33" s="3">
        <v>3254.6791760000001</v>
      </c>
      <c r="Q33" s="3">
        <v>3146.3824920000002</v>
      </c>
      <c r="R33" s="3">
        <v>6053.0342979999996</v>
      </c>
      <c r="S33" s="3">
        <v>5082.5480269999998</v>
      </c>
      <c r="T33" s="3">
        <v>3010.4226800000001</v>
      </c>
      <c r="U33" s="3">
        <v>6934.6746590000002</v>
      </c>
      <c r="V33" s="3">
        <v>5303.4945950000001</v>
      </c>
      <c r="W33" s="3">
        <v>2568.8629099999998</v>
      </c>
      <c r="X33" s="3">
        <v>3557.22786</v>
      </c>
      <c r="Y33" s="3">
        <v>301.26770909999999</v>
      </c>
      <c r="Z33" s="3">
        <v>1003.275393</v>
      </c>
      <c r="AA33" s="48" t="s">
        <v>315</v>
      </c>
      <c r="AB33" s="49" t="s">
        <v>335</v>
      </c>
      <c r="AC33" s="3">
        <v>2495.6391840000001</v>
      </c>
      <c r="AD33" s="3">
        <v>2038.4908129999999</v>
      </c>
      <c r="AE33" s="3">
        <v>1244.8185390000001</v>
      </c>
      <c r="AF33" s="3">
        <v>375.57096469999999</v>
      </c>
      <c r="AG33" s="3">
        <v>4163.3270679999996</v>
      </c>
      <c r="AH33" s="3">
        <v>2804.2418990000001</v>
      </c>
      <c r="AI33" s="3">
        <v>2519.2447990000001</v>
      </c>
      <c r="AJ33" s="3">
        <v>3091.0421999999999</v>
      </c>
      <c r="AK33" s="3">
        <v>1300.2185899999999</v>
      </c>
      <c r="AL33" s="3">
        <v>1924.317832</v>
      </c>
      <c r="AM33" s="3">
        <v>2909.9481679999999</v>
      </c>
      <c r="AN33" s="3">
        <v>337.56651040000003</v>
      </c>
      <c r="AO33" s="3">
        <v>1260.114527</v>
      </c>
      <c r="AP33" s="48" t="s">
        <v>315</v>
      </c>
      <c r="AQ33" s="49" t="s">
        <v>335</v>
      </c>
      <c r="AR33" s="3">
        <v>1182.3670850000001</v>
      </c>
      <c r="AS33" s="3">
        <v>1793.5398029999999</v>
      </c>
      <c r="AT33" s="3">
        <v>1348.3603390000001</v>
      </c>
      <c r="AU33" s="3">
        <v>1378.4469770000001</v>
      </c>
      <c r="AV33" s="3">
        <v>510.8995056</v>
      </c>
      <c r="AW33" s="3">
        <v>2269.2562929999999</v>
      </c>
      <c r="AX33" s="3">
        <v>1208.0484300000001</v>
      </c>
      <c r="AY33" s="3">
        <v>978.88554720000002</v>
      </c>
      <c r="AZ33" s="3">
        <v>1091.260579</v>
      </c>
      <c r="BA33" s="3">
        <v>533.76359520000005</v>
      </c>
      <c r="BB33" s="3">
        <v>691.29611490000002</v>
      </c>
      <c r="BC33" s="3">
        <v>242.28321299999999</v>
      </c>
      <c r="BD33" s="3">
        <v>1270.543085</v>
      </c>
      <c r="BE33" s="48" t="s">
        <v>315</v>
      </c>
      <c r="BF33" s="49" t="s">
        <v>335</v>
      </c>
      <c r="BG33" s="3">
        <v>0</v>
      </c>
      <c r="BH33" s="3">
        <v>0.44500000000000001</v>
      </c>
      <c r="BI33" s="3">
        <v>0.88400000000000001</v>
      </c>
      <c r="BJ33" s="3">
        <v>0</v>
      </c>
      <c r="BK33" s="3">
        <v>0.374</v>
      </c>
      <c r="BL33" s="3">
        <v>0.872</v>
      </c>
      <c r="BM33" s="3">
        <v>0</v>
      </c>
      <c r="BN33" s="3">
        <v>0.46899999999999997</v>
      </c>
      <c r="BO33" s="3">
        <v>0.76249999999999996</v>
      </c>
      <c r="BP33" s="3">
        <v>0</v>
      </c>
      <c r="BQ33" s="3">
        <v>0.37</v>
      </c>
      <c r="BR33" s="3">
        <v>0.80433333299999998</v>
      </c>
      <c r="BS33" s="3">
        <v>0</v>
      </c>
      <c r="BT33" s="3">
        <v>0.80500000000000005</v>
      </c>
      <c r="BU33" s="3">
        <v>0.87583333399999996</v>
      </c>
      <c r="BV33" s="3">
        <v>0</v>
      </c>
      <c r="BW33" s="3">
        <v>0.61199999999999999</v>
      </c>
      <c r="BX33" s="3">
        <v>0.83899999999999997</v>
      </c>
      <c r="BY33" s="3">
        <v>0</v>
      </c>
      <c r="BZ33" s="3">
        <v>0.61199999999999999</v>
      </c>
      <c r="CA33" s="3">
        <v>0.9345</v>
      </c>
      <c r="CB33" s="3">
        <v>0</v>
      </c>
      <c r="CC33" s="3">
        <v>0.47799999999999998</v>
      </c>
      <c r="CD33" s="3">
        <v>0.86766666699999995</v>
      </c>
      <c r="CE33" s="3">
        <v>0</v>
      </c>
      <c r="CF33" s="3">
        <v>0.47599999999999998</v>
      </c>
      <c r="CG33" s="3">
        <v>0.86050000000000004</v>
      </c>
      <c r="CH33" s="3">
        <v>0</v>
      </c>
      <c r="CI33" s="3">
        <v>0.68400000000000005</v>
      </c>
      <c r="CJ33" s="3">
        <v>0.90766666699999998</v>
      </c>
      <c r="CK33" s="3">
        <v>0</v>
      </c>
      <c r="CL33" s="3">
        <v>0.45800000000000002</v>
      </c>
      <c r="CM33" s="3">
        <v>0.01</v>
      </c>
      <c r="CN33" s="3">
        <v>0</v>
      </c>
      <c r="CO33" s="3">
        <v>0.75</v>
      </c>
      <c r="CP33" s="3">
        <v>0.82699999999999996</v>
      </c>
      <c r="CQ33" s="3">
        <v>0</v>
      </c>
      <c r="CR33" s="3">
        <v>0.66900000000000004</v>
      </c>
      <c r="CS33" s="3">
        <v>0.86499999999999999</v>
      </c>
      <c r="CT33" s="48" t="s">
        <v>315</v>
      </c>
      <c r="CU33" s="49" t="s">
        <v>335</v>
      </c>
      <c r="CV33" s="3">
        <v>-1.3149999999999999</v>
      </c>
      <c r="CW33" s="3">
        <v>-1.008</v>
      </c>
      <c r="CX33" s="3">
        <v>-0.79800000000000004</v>
      </c>
      <c r="CY33" s="3">
        <v>-1.571</v>
      </c>
      <c r="CZ33" s="3">
        <v>-2.1840000000000002</v>
      </c>
      <c r="DA33" s="3">
        <v>3.7989999999999999</v>
      </c>
      <c r="DB33" s="3">
        <v>-0.72699999999999998</v>
      </c>
      <c r="DC33" s="3">
        <v>-1.4590000000000001</v>
      </c>
      <c r="DD33" s="3">
        <v>-0.65800000000000003</v>
      </c>
      <c r="DE33" s="3">
        <v>0.88</v>
      </c>
      <c r="DF33" s="3">
        <v>-1.5469999999999999</v>
      </c>
      <c r="DG33" s="3">
        <v>1.056</v>
      </c>
      <c r="DH33" s="3">
        <v>-0.755</v>
      </c>
    </row>
    <row r="34" spans="1:112" x14ac:dyDescent="0.3">
      <c r="A34" s="48" t="s">
        <v>315</v>
      </c>
      <c r="B34" s="49" t="s">
        <v>336</v>
      </c>
      <c r="C34" s="3">
        <v>33.699599399999997</v>
      </c>
      <c r="D34" s="3">
        <v>140.41783559999999</v>
      </c>
      <c r="E34" s="3">
        <v>51.477457800000003</v>
      </c>
      <c r="F34" s="3">
        <v>26.785987800000001</v>
      </c>
      <c r="G34" s="3">
        <v>26.785987800000001</v>
      </c>
      <c r="H34" s="3">
        <v>140.41783559999999</v>
      </c>
      <c r="I34" s="48" t="s">
        <v>315</v>
      </c>
      <c r="J34" s="49" t="s">
        <v>336</v>
      </c>
      <c r="K34" s="3">
        <v>43796.5</v>
      </c>
      <c r="L34" s="48" t="s">
        <v>315</v>
      </c>
      <c r="M34" s="49" t="s">
        <v>336</v>
      </c>
      <c r="N34" s="3">
        <v>10283.49437</v>
      </c>
      <c r="O34" s="3">
        <v>12062.84274</v>
      </c>
      <c r="P34" s="3">
        <v>6821.0110649999997</v>
      </c>
      <c r="Q34" s="3">
        <v>5804.2254720000001</v>
      </c>
      <c r="R34" s="3">
        <v>11208.474539999999</v>
      </c>
      <c r="S34" s="3">
        <v>11017.01187</v>
      </c>
      <c r="T34" s="3">
        <v>7104.627547</v>
      </c>
      <c r="U34" s="3">
        <v>14110.05552</v>
      </c>
      <c r="V34" s="3">
        <v>10485.59901</v>
      </c>
      <c r="W34" s="3">
        <v>6709.6142620000001</v>
      </c>
      <c r="X34" s="3">
        <v>8501.8575340000007</v>
      </c>
      <c r="Y34" s="3">
        <v>863.04464499999995</v>
      </c>
      <c r="Z34" s="3">
        <v>1970.0760069999999</v>
      </c>
      <c r="AA34" s="48" t="s">
        <v>315</v>
      </c>
      <c r="AB34" s="49" t="s">
        <v>336</v>
      </c>
      <c r="AC34" s="3">
        <v>2463.385366</v>
      </c>
      <c r="AD34" s="3">
        <v>2098.5568400000002</v>
      </c>
      <c r="AE34" s="3">
        <v>1281.4982749999999</v>
      </c>
      <c r="AF34" s="3">
        <v>386.63751239999999</v>
      </c>
      <c r="AG34" s="3">
        <v>4109.5199329999996</v>
      </c>
      <c r="AH34" s="3">
        <v>2886.871494</v>
      </c>
      <c r="AI34" s="3">
        <v>2593.47669</v>
      </c>
      <c r="AJ34" s="3">
        <v>3051.093351</v>
      </c>
      <c r="AK34" s="3">
        <v>1283.414473</v>
      </c>
      <c r="AL34" s="3">
        <v>1899.447811</v>
      </c>
      <c r="AM34" s="3">
        <v>2995.6924979999999</v>
      </c>
      <c r="AN34" s="3">
        <v>347.51322160000001</v>
      </c>
      <c r="AO34" s="3">
        <v>1243.8287170000001</v>
      </c>
      <c r="AP34" s="48" t="s">
        <v>315</v>
      </c>
      <c r="AQ34" s="49" t="s">
        <v>336</v>
      </c>
      <c r="AR34" s="3">
        <v>1218.1963900000001</v>
      </c>
      <c r="AS34" s="3">
        <v>1886.8453420000001</v>
      </c>
      <c r="AT34" s="3">
        <v>1418.506253</v>
      </c>
      <c r="AU34" s="3">
        <v>1450.158091</v>
      </c>
      <c r="AV34" s="3">
        <v>526.38130880000006</v>
      </c>
      <c r="AW34" s="3">
        <v>2387.3100890000001</v>
      </c>
      <c r="AX34" s="3">
        <v>1270.8948800000001</v>
      </c>
      <c r="AY34" s="3">
        <v>1008.5487460000001</v>
      </c>
      <c r="AZ34" s="3">
        <v>1124.329082</v>
      </c>
      <c r="BA34" s="3">
        <v>549.93824959999995</v>
      </c>
      <c r="BB34" s="3">
        <v>727.25949660000003</v>
      </c>
      <c r="BC34" s="3">
        <v>254.887542</v>
      </c>
      <c r="BD34" s="3">
        <v>1309.04439</v>
      </c>
      <c r="BE34" s="48" t="s">
        <v>315</v>
      </c>
      <c r="BF34" s="49" t="s">
        <v>336</v>
      </c>
      <c r="BG34" s="3">
        <v>0</v>
      </c>
      <c r="BH34" s="3">
        <v>0.44700000000000001</v>
      </c>
      <c r="BI34" s="3">
        <v>0.87450000000000006</v>
      </c>
      <c r="BJ34" s="3">
        <v>0</v>
      </c>
      <c r="BK34" s="3">
        <v>0.4</v>
      </c>
      <c r="BL34" s="3">
        <v>0.89</v>
      </c>
      <c r="BM34" s="3">
        <v>0</v>
      </c>
      <c r="BN34" s="3">
        <v>0.47699999999999998</v>
      </c>
      <c r="BO34" s="3">
        <v>0.77749999999999997</v>
      </c>
      <c r="BP34" s="3">
        <v>0</v>
      </c>
      <c r="BQ34" s="3">
        <v>0.35499999999999998</v>
      </c>
      <c r="BR34" s="3">
        <v>0.83766666700000003</v>
      </c>
      <c r="BS34" s="3">
        <v>0</v>
      </c>
      <c r="BT34" s="3">
        <v>0.82</v>
      </c>
      <c r="BU34" s="3">
        <v>0.87275000000000003</v>
      </c>
      <c r="BV34" s="3">
        <v>0</v>
      </c>
      <c r="BW34" s="3">
        <v>0.59299999999999997</v>
      </c>
      <c r="BX34" s="3">
        <v>0.84599999999999997</v>
      </c>
      <c r="BY34" s="3">
        <v>0</v>
      </c>
      <c r="BZ34" s="3">
        <v>0.59299999999999997</v>
      </c>
      <c r="CA34" s="3">
        <v>0.96099999999999997</v>
      </c>
      <c r="CB34" s="3">
        <v>0</v>
      </c>
      <c r="CC34" s="3">
        <v>0.47199999999999998</v>
      </c>
      <c r="CD34" s="3">
        <v>0.871</v>
      </c>
      <c r="CE34" s="3">
        <v>0</v>
      </c>
      <c r="CF34" s="3">
        <v>0.47299999999999998</v>
      </c>
      <c r="CG34" s="3">
        <v>0.85450000000000004</v>
      </c>
      <c r="CH34" s="3">
        <v>0</v>
      </c>
      <c r="CI34" s="3">
        <v>0.7</v>
      </c>
      <c r="CJ34" s="3">
        <v>0.87133333300000004</v>
      </c>
      <c r="CK34" s="3">
        <v>0</v>
      </c>
      <c r="CL34" s="3">
        <v>0.47899999999999998</v>
      </c>
      <c r="CM34" s="3">
        <v>0.01</v>
      </c>
      <c r="CN34" s="3">
        <v>0</v>
      </c>
      <c r="CO34" s="3">
        <v>0.755</v>
      </c>
      <c r="CP34" s="3">
        <v>0.82666666700000002</v>
      </c>
      <c r="CQ34" s="3">
        <v>0</v>
      </c>
      <c r="CR34" s="3">
        <v>0.68300000000000005</v>
      </c>
      <c r="CS34" s="3">
        <v>0.85599999999999998</v>
      </c>
      <c r="CT34" s="48" t="s">
        <v>315</v>
      </c>
      <c r="CU34" s="49" t="s">
        <v>336</v>
      </c>
      <c r="CV34" s="3">
        <v>-1.5580000000000001</v>
      </c>
      <c r="CW34" s="3">
        <v>-1.05</v>
      </c>
      <c r="CX34" s="3">
        <v>-0.754</v>
      </c>
      <c r="CY34" s="3">
        <v>-1.798</v>
      </c>
      <c r="CZ34" s="3">
        <v>-2.2389999999999999</v>
      </c>
      <c r="DA34" s="3">
        <v>3.5779999999999998</v>
      </c>
      <c r="DB34" s="3">
        <v>-1.5389999999999999</v>
      </c>
      <c r="DC34" s="3">
        <v>-1.452</v>
      </c>
      <c r="DD34" s="3">
        <v>-0.72499999999999998</v>
      </c>
      <c r="DE34" s="3">
        <v>0.63700000000000001</v>
      </c>
      <c r="DF34" s="3">
        <v>-1.716</v>
      </c>
      <c r="DG34" s="3">
        <v>0.79900000000000004</v>
      </c>
      <c r="DH34" s="3">
        <v>-0.92500000000000004</v>
      </c>
    </row>
    <row r="35" spans="1:112" x14ac:dyDescent="0.3">
      <c r="A35" s="48" t="s">
        <v>315</v>
      </c>
      <c r="B35" s="49" t="s">
        <v>337</v>
      </c>
      <c r="C35" s="3">
        <v>52.184144699999997</v>
      </c>
      <c r="D35" s="3">
        <v>127.7145</v>
      </c>
      <c r="E35" s="3">
        <v>58.271869199999998</v>
      </c>
      <c r="F35" s="3">
        <v>26.683816199999999</v>
      </c>
      <c r="G35" s="3">
        <v>26.683816199999999</v>
      </c>
      <c r="H35" s="3">
        <v>110.4474996</v>
      </c>
      <c r="I35" s="48" t="s">
        <v>315</v>
      </c>
      <c r="J35" s="49" t="s">
        <v>337</v>
      </c>
      <c r="K35" s="3">
        <v>45913</v>
      </c>
      <c r="L35" s="48" t="s">
        <v>315</v>
      </c>
      <c r="M35" s="49" t="s">
        <v>337</v>
      </c>
      <c r="N35" s="3">
        <v>12199.570949999999</v>
      </c>
      <c r="O35" s="3">
        <v>14659.04795</v>
      </c>
      <c r="P35" s="3">
        <v>8468.7594520000002</v>
      </c>
      <c r="Q35" s="3">
        <v>7254.200801</v>
      </c>
      <c r="R35" s="3">
        <v>13306.25668</v>
      </c>
      <c r="S35" s="3">
        <v>14330.943579999999</v>
      </c>
      <c r="T35" s="3">
        <v>9186.3719600000004</v>
      </c>
      <c r="U35" s="3">
        <v>16015.137360000001</v>
      </c>
      <c r="V35" s="3">
        <v>12178.303449999999</v>
      </c>
      <c r="W35" s="3">
        <v>8602.7416030000004</v>
      </c>
      <c r="X35" s="3">
        <v>11142.62112</v>
      </c>
      <c r="Y35" s="3">
        <v>1257.517059</v>
      </c>
      <c r="Z35" s="3">
        <v>3172.318323</v>
      </c>
      <c r="AA35" s="48" t="s">
        <v>315</v>
      </c>
      <c r="AB35" s="49" t="s">
        <v>337</v>
      </c>
      <c r="AC35" s="3">
        <v>2374.6873660000001</v>
      </c>
      <c r="AD35" s="3">
        <v>2023.4743060000001</v>
      </c>
      <c r="AE35" s="3">
        <v>1235.6486050000001</v>
      </c>
      <c r="AF35" s="3">
        <v>372.80432769999999</v>
      </c>
      <c r="AG35" s="3">
        <v>3961.5503119999998</v>
      </c>
      <c r="AH35" s="3">
        <v>2783.5844999999999</v>
      </c>
      <c r="AI35" s="3">
        <v>2500.6868260000001</v>
      </c>
      <c r="AJ35" s="3">
        <v>2941.2340159999999</v>
      </c>
      <c r="AK35" s="3">
        <v>1237.2031500000001</v>
      </c>
      <c r="AL35" s="3">
        <v>1831.055255</v>
      </c>
      <c r="AM35" s="3">
        <v>2888.5120860000002</v>
      </c>
      <c r="AN35" s="3">
        <v>335.07983259999997</v>
      </c>
      <c r="AO35" s="3">
        <v>1199.0427400000001</v>
      </c>
      <c r="AP35" s="48" t="s">
        <v>315</v>
      </c>
      <c r="AQ35" s="49" t="s">
        <v>337</v>
      </c>
      <c r="AR35" s="3">
        <v>1191.3244110000001</v>
      </c>
      <c r="AS35" s="3">
        <v>1859.199257</v>
      </c>
      <c r="AT35" s="3">
        <v>1397.722278</v>
      </c>
      <c r="AU35" s="3">
        <v>1428.9103540000001</v>
      </c>
      <c r="AV35" s="3">
        <v>514.76995639999996</v>
      </c>
      <c r="AW35" s="3">
        <v>2352.3311859999999</v>
      </c>
      <c r="AX35" s="3">
        <v>1252.2737090000001</v>
      </c>
      <c r="AY35" s="3">
        <v>986.30134680000003</v>
      </c>
      <c r="AZ35" s="3">
        <v>1099.527705</v>
      </c>
      <c r="BA35" s="3">
        <v>537.8072588</v>
      </c>
      <c r="BB35" s="3">
        <v>716.60367980000001</v>
      </c>
      <c r="BC35" s="3">
        <v>251.15292600000001</v>
      </c>
      <c r="BD35" s="3">
        <v>1280.1684110000001</v>
      </c>
      <c r="BE35" s="48" t="s">
        <v>315</v>
      </c>
      <c r="BF35" s="49" t="s">
        <v>337</v>
      </c>
      <c r="BG35" s="3">
        <v>6.0000000000000001E-3</v>
      </c>
      <c r="BH35" s="3">
        <v>0.432</v>
      </c>
      <c r="BI35" s="3">
        <v>0.87450000000000006</v>
      </c>
      <c r="BJ35" s="3">
        <v>6.6000000000000003E-2</v>
      </c>
      <c r="BK35" s="3">
        <v>0.40799999999999997</v>
      </c>
      <c r="BL35" s="3">
        <v>0.878</v>
      </c>
      <c r="BM35" s="3">
        <v>7.9000000000000001E-2</v>
      </c>
      <c r="BN35" s="3">
        <v>0.48499999999999999</v>
      </c>
      <c r="BO35" s="3">
        <v>0.78849999999999998</v>
      </c>
      <c r="BP35" s="3">
        <v>6.0000000000000001E-3</v>
      </c>
      <c r="BQ35" s="3">
        <v>0.35499999999999998</v>
      </c>
      <c r="BR35" s="3">
        <v>0.85733333300000003</v>
      </c>
      <c r="BS35" s="3">
        <v>5.0000000000000001E-3</v>
      </c>
      <c r="BT35" s="3">
        <v>0.82799999999999996</v>
      </c>
      <c r="BU35" s="3">
        <v>0.85824999999999996</v>
      </c>
      <c r="BV35" s="3">
        <v>4.8000000000000001E-2</v>
      </c>
      <c r="BW35" s="3">
        <v>0.59</v>
      </c>
      <c r="BX35" s="3">
        <v>0.85099999999999998</v>
      </c>
      <c r="BY35" s="3">
        <v>0</v>
      </c>
      <c r="BZ35" s="3">
        <v>0.59</v>
      </c>
      <c r="CA35" s="3">
        <v>0.96899999999999997</v>
      </c>
      <c r="CB35" s="3">
        <v>7.0000000000000001E-3</v>
      </c>
      <c r="CC35" s="3">
        <v>0.46400000000000002</v>
      </c>
      <c r="CD35" s="3">
        <v>0.84199999999999997</v>
      </c>
      <c r="CE35" s="3">
        <v>8.0000000000000002E-3</v>
      </c>
      <c r="CF35" s="3">
        <v>0.46300000000000002</v>
      </c>
      <c r="CG35" s="3">
        <v>0.83550000000000002</v>
      </c>
      <c r="CH35" s="3">
        <v>8.9999999999999993E-3</v>
      </c>
      <c r="CI35" s="3">
        <v>0.70399999999999996</v>
      </c>
      <c r="CJ35" s="3">
        <v>0.89300000000000002</v>
      </c>
      <c r="CK35" s="3">
        <v>2.3E-2</v>
      </c>
      <c r="CL35" s="3">
        <v>0.47399999999999998</v>
      </c>
      <c r="CM35" s="3">
        <v>0.01</v>
      </c>
      <c r="CN35" s="3">
        <v>0.04</v>
      </c>
      <c r="CO35" s="3">
        <v>0.78200000000000003</v>
      </c>
      <c r="CP35" s="3">
        <v>0.80866666700000001</v>
      </c>
      <c r="CQ35" s="3">
        <v>0.04</v>
      </c>
      <c r="CR35" s="3">
        <v>0.73099999999999998</v>
      </c>
      <c r="CS35" s="3">
        <v>0.82599999999999996</v>
      </c>
      <c r="CT35" s="48" t="s">
        <v>315</v>
      </c>
      <c r="CU35" s="49" t="s">
        <v>337</v>
      </c>
      <c r="CV35" s="3">
        <v>-1.4450000000000001</v>
      </c>
      <c r="CW35" s="3">
        <v>-0.93</v>
      </c>
      <c r="CX35" s="3">
        <v>-0.70699999999999996</v>
      </c>
      <c r="CY35" s="3">
        <v>-1.653</v>
      </c>
      <c r="CZ35" s="3">
        <v>-1.905</v>
      </c>
      <c r="DA35" s="3">
        <v>3.2669999999999999</v>
      </c>
      <c r="DB35" s="3">
        <v>-2.0230000000000001</v>
      </c>
      <c r="DC35" s="3">
        <v>-1.1779999999999999</v>
      </c>
      <c r="DD35" s="3">
        <v>-0.42399999999999999</v>
      </c>
      <c r="DE35" s="3">
        <v>0.79</v>
      </c>
      <c r="DF35" s="3">
        <v>-1.6160000000000001</v>
      </c>
      <c r="DG35" s="3">
        <v>0.68899999999999995</v>
      </c>
      <c r="DH35" s="3">
        <v>-0.94599999999999995</v>
      </c>
    </row>
    <row r="36" spans="1:112" x14ac:dyDescent="0.3">
      <c r="A36" s="48" t="s">
        <v>315</v>
      </c>
      <c r="B36" s="49" t="s">
        <v>338</v>
      </c>
      <c r="C36" s="3">
        <v>51.7924869</v>
      </c>
      <c r="D36" s="3">
        <v>107.3568087</v>
      </c>
      <c r="E36" s="3">
        <v>59.557528499999997</v>
      </c>
      <c r="F36" s="3">
        <v>26.666787599999999</v>
      </c>
      <c r="G36" s="3">
        <v>26.666787599999999</v>
      </c>
      <c r="H36" s="3">
        <v>141.91635239999999</v>
      </c>
      <c r="I36" s="48" t="s">
        <v>315</v>
      </c>
      <c r="J36" s="49" t="s">
        <v>338</v>
      </c>
      <c r="K36" s="3">
        <v>47380</v>
      </c>
      <c r="L36" s="48" t="s">
        <v>315</v>
      </c>
      <c r="M36" s="49" t="s">
        <v>338</v>
      </c>
      <c r="N36" s="3">
        <v>10286.25215</v>
      </c>
      <c r="O36" s="3">
        <v>12993.151830000001</v>
      </c>
      <c r="P36" s="3">
        <v>7560.5589819999996</v>
      </c>
      <c r="Q36" s="3">
        <v>6667.9538759999996</v>
      </c>
      <c r="R36" s="3">
        <v>11743.00359</v>
      </c>
      <c r="S36" s="3">
        <v>13130.784019999999</v>
      </c>
      <c r="T36" s="3">
        <v>8195.6592619999992</v>
      </c>
      <c r="U36" s="3">
        <v>13132.69836</v>
      </c>
      <c r="V36" s="3">
        <v>10139.145039999999</v>
      </c>
      <c r="W36" s="3">
        <v>7024.6638000000003</v>
      </c>
      <c r="X36" s="3">
        <v>9894.5593640000006</v>
      </c>
      <c r="Y36" s="3">
        <v>1148.0820289999999</v>
      </c>
      <c r="Z36" s="3">
        <v>3602.975974</v>
      </c>
      <c r="AA36" s="48" t="s">
        <v>315</v>
      </c>
      <c r="AB36" s="49" t="s">
        <v>338</v>
      </c>
      <c r="AC36" s="3">
        <v>2148.9106390000002</v>
      </c>
      <c r="AD36" s="3">
        <v>1933.375264</v>
      </c>
      <c r="AE36" s="3">
        <v>1180.629001</v>
      </c>
      <c r="AF36" s="3">
        <v>356.2045061</v>
      </c>
      <c r="AG36" s="3">
        <v>3584.9003670000002</v>
      </c>
      <c r="AH36" s="3">
        <v>2659.6401070000002</v>
      </c>
      <c r="AI36" s="3">
        <v>2389.3389889999999</v>
      </c>
      <c r="AJ36" s="3">
        <v>2661.5920719999999</v>
      </c>
      <c r="AK36" s="3">
        <v>1119.574327</v>
      </c>
      <c r="AL36" s="3">
        <v>1656.9651120000001</v>
      </c>
      <c r="AM36" s="3">
        <v>2759.8955930000002</v>
      </c>
      <c r="AN36" s="3">
        <v>320.1597658</v>
      </c>
      <c r="AO36" s="3">
        <v>1085.042072</v>
      </c>
      <c r="AP36" s="48" t="s">
        <v>315</v>
      </c>
      <c r="AQ36" s="49" t="s">
        <v>338</v>
      </c>
      <c r="AR36" s="3">
        <v>1142.0591159999999</v>
      </c>
      <c r="AS36" s="3">
        <v>1793.5398029999999</v>
      </c>
      <c r="AT36" s="3">
        <v>1348.3603390000001</v>
      </c>
      <c r="AU36" s="3">
        <v>1378.4469770000001</v>
      </c>
      <c r="AV36" s="3">
        <v>493.48247700000002</v>
      </c>
      <c r="AW36" s="3">
        <v>2269.2562929999999</v>
      </c>
      <c r="AX36" s="3">
        <v>1208.0484300000001</v>
      </c>
      <c r="AY36" s="3">
        <v>945.51444900000001</v>
      </c>
      <c r="AZ36" s="3">
        <v>1054.0585140000001</v>
      </c>
      <c r="BA36" s="3">
        <v>515.56710899999996</v>
      </c>
      <c r="BB36" s="3">
        <v>691.29611490000002</v>
      </c>
      <c r="BC36" s="3">
        <v>242.28321299999999</v>
      </c>
      <c r="BD36" s="3">
        <v>1227.229116</v>
      </c>
      <c r="BE36" s="48" t="s">
        <v>315</v>
      </c>
      <c r="BF36" s="49" t="s">
        <v>338</v>
      </c>
      <c r="BG36" s="3">
        <v>0.13600000000000001</v>
      </c>
      <c r="BH36" s="3">
        <v>0.46</v>
      </c>
      <c r="BI36" s="3">
        <v>0.88049999999999995</v>
      </c>
      <c r="BJ36" s="3">
        <v>0.26900000000000002</v>
      </c>
      <c r="BK36" s="3">
        <v>0.433</v>
      </c>
      <c r="BL36" s="3">
        <v>0.80649999999999999</v>
      </c>
      <c r="BM36" s="3">
        <v>0.24</v>
      </c>
      <c r="BN36" s="3">
        <v>0.54500000000000004</v>
      </c>
      <c r="BO36" s="3">
        <v>0.80449999999999999</v>
      </c>
      <c r="BP36" s="3">
        <v>3.9E-2</v>
      </c>
      <c r="BQ36" s="3">
        <v>0.38700000000000001</v>
      </c>
      <c r="BR36" s="3">
        <v>0.87833333300000005</v>
      </c>
      <c r="BS36" s="3">
        <v>6.5000000000000002E-2</v>
      </c>
      <c r="BT36" s="3">
        <v>0.83299999999999996</v>
      </c>
      <c r="BU36" s="3">
        <v>0.82725000000000004</v>
      </c>
      <c r="BV36" s="3">
        <v>0.13200000000000001</v>
      </c>
      <c r="BW36" s="3">
        <v>0.58599999999999997</v>
      </c>
      <c r="BX36" s="3">
        <v>0.85799999999999998</v>
      </c>
      <c r="BY36" s="3">
        <v>3.2000000000000001E-2</v>
      </c>
      <c r="BZ36" s="3">
        <v>0.58599999999999997</v>
      </c>
      <c r="CA36" s="3">
        <v>0.96499999999999997</v>
      </c>
      <c r="CB36" s="3">
        <v>2.5999999999999999E-2</v>
      </c>
      <c r="CC36" s="3">
        <v>0.44800000000000001</v>
      </c>
      <c r="CD36" s="3">
        <v>0.77400000000000002</v>
      </c>
      <c r="CE36" s="3">
        <v>9.1999999999999998E-2</v>
      </c>
      <c r="CF36" s="3">
        <v>0.45700000000000002</v>
      </c>
      <c r="CG36" s="3">
        <v>0.79649999999999999</v>
      </c>
      <c r="CH36" s="3">
        <v>9.2999999999999999E-2</v>
      </c>
      <c r="CI36" s="3">
        <v>0.70399999999999996</v>
      </c>
      <c r="CJ36" s="3">
        <v>0.92533333299999998</v>
      </c>
      <c r="CK36" s="3">
        <v>0.125</v>
      </c>
      <c r="CL36" s="3">
        <v>0.54600000000000004</v>
      </c>
      <c r="CM36" s="3">
        <v>0.01</v>
      </c>
      <c r="CN36" s="3">
        <v>0.217</v>
      </c>
      <c r="CO36" s="3">
        <v>0.80300000000000005</v>
      </c>
      <c r="CP36" s="3">
        <v>0.81299999999999994</v>
      </c>
      <c r="CQ36" s="3">
        <v>0.14599999999999999</v>
      </c>
      <c r="CR36" s="3">
        <v>0.76300000000000001</v>
      </c>
      <c r="CS36" s="3">
        <v>0.751</v>
      </c>
      <c r="CT36" s="48" t="s">
        <v>315</v>
      </c>
      <c r="CU36" s="49" t="s">
        <v>338</v>
      </c>
      <c r="CV36" s="3">
        <v>-1.224</v>
      </c>
      <c r="CW36" s="3">
        <v>-0.64200000000000002</v>
      </c>
      <c r="CX36" s="3">
        <v>-0.28199999999999997</v>
      </c>
      <c r="CY36" s="3">
        <v>-1.0840000000000001</v>
      </c>
      <c r="CZ36" s="3">
        <v>-1.4219999999999999</v>
      </c>
      <c r="DA36" s="3">
        <v>3.0409999999999999</v>
      </c>
      <c r="DB36" s="3">
        <v>-1.3140000000000001</v>
      </c>
      <c r="DC36" s="3">
        <v>-0.80800000000000005</v>
      </c>
      <c r="DD36" s="3">
        <v>0.124</v>
      </c>
      <c r="DE36" s="3">
        <v>1.409</v>
      </c>
      <c r="DF36" s="3">
        <v>-1.1339999999999999</v>
      </c>
      <c r="DG36" s="3">
        <v>0.92700000000000005</v>
      </c>
      <c r="DH36" s="3">
        <v>-0.65300000000000002</v>
      </c>
    </row>
    <row r="37" spans="1:112" x14ac:dyDescent="0.3">
      <c r="A37" s="48" t="s">
        <v>315</v>
      </c>
      <c r="B37" s="49" t="s">
        <v>339</v>
      </c>
      <c r="C37" s="3">
        <v>48.795453299999998</v>
      </c>
      <c r="D37" s="3">
        <v>102.1716</v>
      </c>
      <c r="E37" s="3">
        <v>51.085799999999999</v>
      </c>
      <c r="F37" s="3">
        <v>26.564616000000001</v>
      </c>
      <c r="G37" s="3">
        <v>26.564616000000001</v>
      </c>
      <c r="H37" s="3">
        <v>102.1716</v>
      </c>
      <c r="I37" s="48" t="s">
        <v>315</v>
      </c>
      <c r="J37" s="49" t="s">
        <v>339</v>
      </c>
      <c r="K37" s="3">
        <v>47637.5</v>
      </c>
      <c r="L37" s="48" t="s">
        <v>315</v>
      </c>
      <c r="M37" s="49" t="s">
        <v>339</v>
      </c>
      <c r="N37" s="3">
        <v>8401.8167300000005</v>
      </c>
      <c r="O37" s="3">
        <v>11180.99662</v>
      </c>
      <c r="P37" s="3">
        <v>6490.4022999999997</v>
      </c>
      <c r="Q37" s="3">
        <v>5923.3049950000004</v>
      </c>
      <c r="R37" s="3">
        <v>9527.2131530000006</v>
      </c>
      <c r="S37" s="3">
        <v>11017.11384</v>
      </c>
      <c r="T37" s="3">
        <v>6456.1169060000002</v>
      </c>
      <c r="U37" s="3">
        <v>10878.319890000001</v>
      </c>
      <c r="V37" s="3">
        <v>8245.2735209999992</v>
      </c>
      <c r="W37" s="3">
        <v>5663.7628640000003</v>
      </c>
      <c r="X37" s="3">
        <v>8428.6358529999998</v>
      </c>
      <c r="Y37" s="3">
        <v>919.36364470000001</v>
      </c>
      <c r="Z37" s="3">
        <v>3270.4554659999999</v>
      </c>
      <c r="AA37" s="48" t="s">
        <v>315</v>
      </c>
      <c r="AB37" s="49" t="s">
        <v>339</v>
      </c>
      <c r="AC37" s="3">
        <v>2190.8406020000002</v>
      </c>
      <c r="AD37" s="3">
        <v>1990.437991</v>
      </c>
      <c r="AE37" s="3">
        <v>1215.4747500000001</v>
      </c>
      <c r="AF37" s="3">
        <v>366.7177264</v>
      </c>
      <c r="AG37" s="3">
        <v>3654.849643</v>
      </c>
      <c r="AH37" s="3">
        <v>2738.138222</v>
      </c>
      <c r="AI37" s="3">
        <v>2459.8592859999999</v>
      </c>
      <c r="AJ37" s="3">
        <v>2713.525576</v>
      </c>
      <c r="AK37" s="3">
        <v>1141.41968</v>
      </c>
      <c r="AL37" s="3">
        <v>1689.296139</v>
      </c>
      <c r="AM37" s="3">
        <v>2841.3527049999998</v>
      </c>
      <c r="AN37" s="3">
        <v>329.60914150000002</v>
      </c>
      <c r="AO37" s="3">
        <v>1106.2136250000001</v>
      </c>
      <c r="AP37" s="48" t="s">
        <v>315</v>
      </c>
      <c r="AQ37" s="49" t="s">
        <v>339</v>
      </c>
      <c r="AR37" s="3">
        <v>1090.5544890000001</v>
      </c>
      <c r="AS37" s="3">
        <v>1686.411222</v>
      </c>
      <c r="AT37" s="3">
        <v>1267.8224379999999</v>
      </c>
      <c r="AU37" s="3">
        <v>1296.1119940000001</v>
      </c>
      <c r="AV37" s="3">
        <v>471.2273849</v>
      </c>
      <c r="AW37" s="3">
        <v>2133.7130459999998</v>
      </c>
      <c r="AX37" s="3">
        <v>1135.891394</v>
      </c>
      <c r="AY37" s="3">
        <v>902.87360130000002</v>
      </c>
      <c r="AZ37" s="3">
        <v>1006.522542</v>
      </c>
      <c r="BA37" s="3">
        <v>492.31604329999999</v>
      </c>
      <c r="BB37" s="3">
        <v>650.00482480000005</v>
      </c>
      <c r="BC37" s="3">
        <v>227.811576</v>
      </c>
      <c r="BD37" s="3">
        <v>1171.8834890000001</v>
      </c>
      <c r="BE37" s="48" t="s">
        <v>315</v>
      </c>
      <c r="BF37" s="49" t="s">
        <v>339</v>
      </c>
      <c r="BG37" s="3">
        <v>0.38600000000000001</v>
      </c>
      <c r="BH37" s="3">
        <v>0.46600000000000003</v>
      </c>
      <c r="BI37" s="3">
        <v>0.88200000000000001</v>
      </c>
      <c r="BJ37" s="3">
        <v>0.33500000000000002</v>
      </c>
      <c r="BK37" s="3">
        <v>0.46300000000000002</v>
      </c>
      <c r="BL37" s="3">
        <v>0.82950000000000002</v>
      </c>
      <c r="BM37" s="3">
        <v>0.249</v>
      </c>
      <c r="BN37" s="3">
        <v>0.57199999999999995</v>
      </c>
      <c r="BO37" s="3">
        <v>0.87450000000000006</v>
      </c>
      <c r="BP37" s="3">
        <v>9.7000000000000003E-2</v>
      </c>
      <c r="BQ37" s="3">
        <v>0.38400000000000001</v>
      </c>
      <c r="BR37" s="3">
        <v>0.89800000000000002</v>
      </c>
      <c r="BS37" s="3">
        <v>0.18</v>
      </c>
      <c r="BT37" s="3">
        <v>0.83299999999999996</v>
      </c>
      <c r="BU37" s="3">
        <v>0.83033333399999998</v>
      </c>
      <c r="BV37" s="3">
        <v>0.19900000000000001</v>
      </c>
      <c r="BW37" s="3">
        <v>0.629</v>
      </c>
      <c r="BX37" s="3">
        <v>0.86</v>
      </c>
      <c r="BY37" s="3">
        <v>7.0000000000000007E-2</v>
      </c>
      <c r="BZ37" s="3">
        <v>0.629</v>
      </c>
      <c r="CA37" s="3">
        <v>0.96150000000000002</v>
      </c>
      <c r="CB37" s="3">
        <v>0.105</v>
      </c>
      <c r="CC37" s="3">
        <v>0.42099999999999999</v>
      </c>
      <c r="CD37" s="3">
        <v>0.77866666699999998</v>
      </c>
      <c r="CE37" s="3">
        <v>0.17</v>
      </c>
      <c r="CF37" s="3">
        <v>0.443</v>
      </c>
      <c r="CG37" s="3">
        <v>0.82299999999999995</v>
      </c>
      <c r="CH37" s="3">
        <v>0.17199999999999999</v>
      </c>
      <c r="CI37" s="3">
        <v>0.72099999999999997</v>
      </c>
      <c r="CJ37" s="3">
        <v>0.91466666699999999</v>
      </c>
      <c r="CK37" s="3">
        <v>0.24399999999999999</v>
      </c>
      <c r="CL37" s="3">
        <v>0.57099999999999995</v>
      </c>
      <c r="CM37" s="3">
        <v>0.01</v>
      </c>
      <c r="CN37" s="3">
        <v>0.26400000000000001</v>
      </c>
      <c r="CO37" s="3">
        <v>0.8</v>
      </c>
      <c r="CP37" s="3">
        <v>0.822333333</v>
      </c>
      <c r="CQ37" s="3">
        <v>0.28499999999999998</v>
      </c>
      <c r="CR37" s="3">
        <v>0.76</v>
      </c>
      <c r="CS37" s="3">
        <v>0.76100000000000001</v>
      </c>
      <c r="CT37" s="48" t="s">
        <v>315</v>
      </c>
      <c r="CU37" s="49" t="s">
        <v>339</v>
      </c>
      <c r="CV37" s="3">
        <v>-0.96299999999999997</v>
      </c>
      <c r="CW37" s="3">
        <v>-0.314</v>
      </c>
      <c r="CX37" s="3">
        <v>0.158</v>
      </c>
      <c r="CY37" s="3">
        <v>-0.33200000000000002</v>
      </c>
      <c r="CZ37" s="3">
        <v>-0.83799999999999997</v>
      </c>
      <c r="DA37" s="3">
        <v>2.927</v>
      </c>
      <c r="DB37" s="3">
        <v>-0.439</v>
      </c>
      <c r="DC37" s="3">
        <v>-0.39400000000000002</v>
      </c>
      <c r="DD37" s="3">
        <v>0.78500000000000003</v>
      </c>
      <c r="DE37" s="3">
        <v>2.2810000000000001</v>
      </c>
      <c r="DF37" s="3">
        <v>-0.63700000000000001</v>
      </c>
      <c r="DG37" s="3">
        <v>1.3779999999999999</v>
      </c>
      <c r="DH37" s="3">
        <v>-0.16</v>
      </c>
    </row>
    <row r="38" spans="1:112" x14ac:dyDescent="0.3">
      <c r="A38" s="48" t="s">
        <v>315</v>
      </c>
      <c r="B38" s="49" t="s">
        <v>340</v>
      </c>
      <c r="C38" s="3">
        <v>46.7009355</v>
      </c>
      <c r="D38" s="3">
        <v>86.232830399999997</v>
      </c>
      <c r="E38" s="3">
        <v>46.062362999999998</v>
      </c>
      <c r="F38" s="3">
        <v>26.479472999999999</v>
      </c>
      <c r="G38" s="3">
        <v>26.479472999999999</v>
      </c>
      <c r="H38" s="3">
        <v>86.232830399999997</v>
      </c>
      <c r="I38" s="48" t="s">
        <v>315</v>
      </c>
      <c r="J38" s="49" t="s">
        <v>340</v>
      </c>
      <c r="K38" s="3">
        <v>47960</v>
      </c>
      <c r="L38" s="48" t="s">
        <v>315</v>
      </c>
      <c r="M38" s="49" t="s">
        <v>340</v>
      </c>
      <c r="N38" s="3">
        <v>7896.4507450000001</v>
      </c>
      <c r="O38" s="3">
        <v>10685.43706</v>
      </c>
      <c r="P38" s="3">
        <v>6169.3648080000003</v>
      </c>
      <c r="Q38" s="3">
        <v>5605.8497500000003</v>
      </c>
      <c r="R38" s="3">
        <v>9167.3768170000003</v>
      </c>
      <c r="S38" s="3">
        <v>10325.860070000001</v>
      </c>
      <c r="T38" s="3">
        <v>5377.6369510000004</v>
      </c>
      <c r="U38" s="3">
        <v>10543.125969999999</v>
      </c>
      <c r="V38" s="3">
        <v>7768.6154420000003</v>
      </c>
      <c r="W38" s="3">
        <v>4987.0180019999998</v>
      </c>
      <c r="X38" s="3">
        <v>7786.1313899999996</v>
      </c>
      <c r="Y38" s="3">
        <v>802.40105800000003</v>
      </c>
      <c r="Z38" s="3">
        <v>2733.3466389999999</v>
      </c>
      <c r="AA38" s="48" t="s">
        <v>315</v>
      </c>
      <c r="AB38" s="49" t="s">
        <v>340</v>
      </c>
      <c r="AC38" s="3">
        <v>2278.2081320000002</v>
      </c>
      <c r="AD38" s="3">
        <v>2116.8018959999999</v>
      </c>
      <c r="AE38" s="3">
        <v>1292.6397449999999</v>
      </c>
      <c r="AF38" s="3">
        <v>389.99897629999998</v>
      </c>
      <c r="AG38" s="3">
        <v>3800.5997189999998</v>
      </c>
      <c r="AH38" s="3">
        <v>2911.9702339999999</v>
      </c>
      <c r="AI38" s="3">
        <v>2616.0246259999999</v>
      </c>
      <c r="AJ38" s="3">
        <v>2821.7370209999999</v>
      </c>
      <c r="AK38" s="3">
        <v>1186.937833</v>
      </c>
      <c r="AL38" s="3">
        <v>1756.6628069999999</v>
      </c>
      <c r="AM38" s="3">
        <v>3021.737337</v>
      </c>
      <c r="AN38" s="3">
        <v>350.53453510000003</v>
      </c>
      <c r="AO38" s="3">
        <v>1150.327812</v>
      </c>
      <c r="AP38" s="48" t="s">
        <v>315</v>
      </c>
      <c r="AQ38" s="49" t="s">
        <v>340</v>
      </c>
      <c r="AR38" s="3">
        <v>1027.853204</v>
      </c>
      <c r="AS38" s="3">
        <v>1600.017204</v>
      </c>
      <c r="AT38" s="3">
        <v>1202.8725179999999</v>
      </c>
      <c r="AU38" s="3">
        <v>1229.712814</v>
      </c>
      <c r="AV38" s="3">
        <v>444.13422930000002</v>
      </c>
      <c r="AW38" s="3">
        <v>2024.4039760000001</v>
      </c>
      <c r="AX38" s="3">
        <v>1077.700237</v>
      </c>
      <c r="AY38" s="3">
        <v>850.96300410000003</v>
      </c>
      <c r="AZ38" s="3">
        <v>948.65266259999999</v>
      </c>
      <c r="BA38" s="3">
        <v>464.01039809999997</v>
      </c>
      <c r="BB38" s="3">
        <v>616.70539729999996</v>
      </c>
      <c r="BC38" s="3">
        <v>216.14090100000001</v>
      </c>
      <c r="BD38" s="3">
        <v>1104.506204</v>
      </c>
      <c r="BE38" s="48" t="s">
        <v>315</v>
      </c>
      <c r="BF38" s="49" t="s">
        <v>340</v>
      </c>
      <c r="BG38" s="3">
        <v>0.40899999999999997</v>
      </c>
      <c r="BH38" s="3">
        <v>0.46600000000000003</v>
      </c>
      <c r="BI38" s="3">
        <v>0.90600000000000003</v>
      </c>
      <c r="BJ38" s="3">
        <v>0.28899999999999998</v>
      </c>
      <c r="BK38" s="3">
        <v>0.48199999999999998</v>
      </c>
      <c r="BL38" s="3">
        <v>0.89900000000000002</v>
      </c>
      <c r="BM38" s="3">
        <v>0.24299999999999999</v>
      </c>
      <c r="BN38" s="3">
        <v>0.6</v>
      </c>
      <c r="BO38" s="3">
        <v>0.91100000000000003</v>
      </c>
      <c r="BP38" s="3">
        <v>0.11700000000000001</v>
      </c>
      <c r="BQ38" s="3">
        <v>0.377</v>
      </c>
      <c r="BR38" s="3">
        <v>0.92200000000000004</v>
      </c>
      <c r="BS38" s="3">
        <v>0.33600000000000002</v>
      </c>
      <c r="BT38" s="3">
        <v>0.83099999999999996</v>
      </c>
      <c r="BU38" s="3">
        <v>0.89216666700000002</v>
      </c>
      <c r="BV38" s="3">
        <v>0.23400000000000001</v>
      </c>
      <c r="BW38" s="3">
        <v>0.66100000000000003</v>
      </c>
      <c r="BX38" s="3">
        <v>0.90900000000000003</v>
      </c>
      <c r="BY38" s="3">
        <v>0.11899999999999999</v>
      </c>
      <c r="BZ38" s="3">
        <v>0.66100000000000003</v>
      </c>
      <c r="CA38" s="3">
        <v>0.96099999999999997</v>
      </c>
      <c r="CB38" s="3">
        <v>0.23</v>
      </c>
      <c r="CC38" s="3">
        <v>0.38200000000000001</v>
      </c>
      <c r="CD38" s="3">
        <v>0.87833333300000005</v>
      </c>
      <c r="CE38" s="3">
        <v>0.28299999999999997</v>
      </c>
      <c r="CF38" s="3">
        <v>0.42599999999999999</v>
      </c>
      <c r="CG38" s="3">
        <v>0.85350000000000004</v>
      </c>
      <c r="CH38" s="3">
        <v>0.28599999999999998</v>
      </c>
      <c r="CI38" s="3">
        <v>0.71</v>
      </c>
      <c r="CJ38" s="3">
        <v>0.90333333299999996</v>
      </c>
      <c r="CK38" s="3">
        <v>0.39600000000000002</v>
      </c>
      <c r="CL38" s="3">
        <v>0.58099999999999996</v>
      </c>
      <c r="CM38" s="3">
        <v>0.01</v>
      </c>
      <c r="CN38" s="3">
        <v>0.30399999999999999</v>
      </c>
      <c r="CO38" s="3">
        <v>0.79</v>
      </c>
      <c r="CP38" s="3">
        <v>0.82966666700000002</v>
      </c>
      <c r="CQ38" s="3">
        <v>0.42799999999999999</v>
      </c>
      <c r="CR38" s="3">
        <v>0.75</v>
      </c>
      <c r="CS38" s="3">
        <v>0.79300000000000004</v>
      </c>
      <c r="CT38" s="48" t="s">
        <v>315</v>
      </c>
      <c r="CU38" s="49" t="s">
        <v>340</v>
      </c>
      <c r="CV38" s="3">
        <v>-0.61499999999999999</v>
      </c>
      <c r="CW38" s="3">
        <v>1.6E-2</v>
      </c>
      <c r="CX38" s="3">
        <v>0.56599999999999995</v>
      </c>
      <c r="CY38" s="3">
        <v>0.40600000000000003</v>
      </c>
      <c r="CZ38" s="3">
        <v>-7.0000000000000007E-2</v>
      </c>
      <c r="DA38" s="3">
        <v>2.84</v>
      </c>
      <c r="DB38" s="3">
        <v>0.48799999999999999</v>
      </c>
      <c r="DC38" s="3">
        <v>0.13500000000000001</v>
      </c>
      <c r="DD38" s="3">
        <v>1.45</v>
      </c>
      <c r="DE38" s="3">
        <v>3.22</v>
      </c>
      <c r="DF38" s="3">
        <v>-6.3E-2</v>
      </c>
      <c r="DG38" s="3">
        <v>2.129</v>
      </c>
      <c r="DH38" s="3">
        <v>0.45400000000000001</v>
      </c>
    </row>
    <row r="39" spans="1:112" x14ac:dyDescent="0.3">
      <c r="A39" s="48" t="s">
        <v>315</v>
      </c>
      <c r="B39" s="49" t="s">
        <v>341</v>
      </c>
      <c r="C39" s="3">
        <v>45.977220000000003</v>
      </c>
      <c r="D39" s="3">
        <v>75.606983999999997</v>
      </c>
      <c r="E39" s="3">
        <v>45.219447299999999</v>
      </c>
      <c r="F39" s="3">
        <v>26.419872900000001</v>
      </c>
      <c r="G39" s="3">
        <v>26.419872900000001</v>
      </c>
      <c r="H39" s="3">
        <v>75.606983999999997</v>
      </c>
      <c r="I39" s="48" t="s">
        <v>315</v>
      </c>
      <c r="J39" s="49" t="s">
        <v>341</v>
      </c>
      <c r="K39" s="3">
        <v>48233</v>
      </c>
      <c r="L39" s="48" t="s">
        <v>315</v>
      </c>
      <c r="M39" s="49" t="s">
        <v>341</v>
      </c>
      <c r="N39" s="3">
        <v>8066.6355640000002</v>
      </c>
      <c r="O39" s="3">
        <v>10785.45397</v>
      </c>
      <c r="P39" s="3">
        <v>6222.8345559999998</v>
      </c>
      <c r="Q39" s="3">
        <v>5496.5741619999999</v>
      </c>
      <c r="R39" s="3">
        <v>9341.8327079999999</v>
      </c>
      <c r="S39" s="3">
        <v>10486.71315</v>
      </c>
      <c r="T39" s="3">
        <v>5046.5082259999999</v>
      </c>
      <c r="U39" s="3">
        <v>10323.45493</v>
      </c>
      <c r="V39" s="3">
        <v>7897.8435170000002</v>
      </c>
      <c r="W39" s="3">
        <v>5090.8353189999998</v>
      </c>
      <c r="X39" s="3">
        <v>8065.9160700000002</v>
      </c>
      <c r="Y39" s="3">
        <v>747.22467949999998</v>
      </c>
      <c r="Z39" s="3">
        <v>2332.4456909999999</v>
      </c>
      <c r="AA39" s="48" t="s">
        <v>315</v>
      </c>
      <c r="AB39" s="49" t="s">
        <v>341</v>
      </c>
      <c r="AC39" s="3">
        <v>2161.1267720000001</v>
      </c>
      <c r="AD39" s="3">
        <v>2016.867043</v>
      </c>
      <c r="AE39" s="3">
        <v>1231.613834</v>
      </c>
      <c r="AF39" s="3">
        <v>371.58700750000003</v>
      </c>
      <c r="AG39" s="3">
        <v>3605.2798200000002</v>
      </c>
      <c r="AH39" s="3">
        <v>2774.4952440000002</v>
      </c>
      <c r="AI39" s="3">
        <v>2492.5213180000001</v>
      </c>
      <c r="AJ39" s="3">
        <v>2676.722698</v>
      </c>
      <c r="AK39" s="3">
        <v>1125.938887</v>
      </c>
      <c r="AL39" s="3">
        <v>1666.384632</v>
      </c>
      <c r="AM39" s="3">
        <v>2879.0802100000001</v>
      </c>
      <c r="AN39" s="3">
        <v>333.9856944</v>
      </c>
      <c r="AO39" s="3">
        <v>1091.210323</v>
      </c>
      <c r="AP39" s="48" t="s">
        <v>315</v>
      </c>
      <c r="AQ39" s="49" t="s">
        <v>341</v>
      </c>
      <c r="AR39" s="3">
        <v>971.86991439999997</v>
      </c>
      <c r="AS39" s="3">
        <v>1548.1807940000001</v>
      </c>
      <c r="AT39" s="3">
        <v>1163.902566</v>
      </c>
      <c r="AU39" s="3">
        <v>1189.873306</v>
      </c>
      <c r="AV39" s="3">
        <v>419.94391180000002</v>
      </c>
      <c r="AW39" s="3">
        <v>1958.818534</v>
      </c>
      <c r="AX39" s="3">
        <v>1042.7855420000001</v>
      </c>
      <c r="AY39" s="3">
        <v>804.61425659999998</v>
      </c>
      <c r="AZ39" s="3">
        <v>896.98312759999999</v>
      </c>
      <c r="BA39" s="3">
        <v>438.73750059999998</v>
      </c>
      <c r="BB39" s="3">
        <v>596.72574080000004</v>
      </c>
      <c r="BC39" s="3">
        <v>209.138496</v>
      </c>
      <c r="BD39" s="3">
        <v>1044.3479139999999</v>
      </c>
      <c r="BE39" s="48" t="s">
        <v>315</v>
      </c>
      <c r="BF39" s="49" t="s">
        <v>341</v>
      </c>
      <c r="BG39" s="3">
        <v>0.29599999999999999</v>
      </c>
      <c r="BH39" s="3">
        <v>0.433</v>
      </c>
      <c r="BI39" s="3">
        <v>0.91849999999999998</v>
      </c>
      <c r="BJ39" s="3">
        <v>0.17499999999999999</v>
      </c>
      <c r="BK39" s="3">
        <v>0.48299999999999998</v>
      </c>
      <c r="BL39" s="3">
        <v>0.92549999999999999</v>
      </c>
      <c r="BM39" s="3">
        <v>0.13300000000000001</v>
      </c>
      <c r="BN39" s="3">
        <v>0.61699999999999999</v>
      </c>
      <c r="BO39" s="3">
        <v>0.92749999999999999</v>
      </c>
      <c r="BP39" s="3">
        <v>7.0999999999999994E-2</v>
      </c>
      <c r="BQ39" s="3">
        <v>0.35199999999999998</v>
      </c>
      <c r="BR39" s="3">
        <v>0.928666667</v>
      </c>
      <c r="BS39" s="3">
        <v>0.33500000000000002</v>
      </c>
      <c r="BT39" s="3">
        <v>0.82599999999999996</v>
      </c>
      <c r="BU39" s="3">
        <v>0.88241666699999999</v>
      </c>
      <c r="BV39" s="3">
        <v>9.0999999999999998E-2</v>
      </c>
      <c r="BW39" s="3">
        <v>0.66900000000000004</v>
      </c>
      <c r="BX39" s="3">
        <v>0.92</v>
      </c>
      <c r="BY39" s="3">
        <v>9.5000000000000001E-2</v>
      </c>
      <c r="BZ39" s="3">
        <v>0.66900000000000004</v>
      </c>
      <c r="CA39" s="3">
        <v>0.95550000000000002</v>
      </c>
      <c r="CB39" s="3">
        <v>0.34100000000000003</v>
      </c>
      <c r="CC39" s="3">
        <v>0.33800000000000002</v>
      </c>
      <c r="CD39" s="3">
        <v>0.84633333300000002</v>
      </c>
      <c r="CE39" s="3">
        <v>0.34100000000000003</v>
      </c>
      <c r="CF39" s="3">
        <v>0.40600000000000003</v>
      </c>
      <c r="CG39" s="3">
        <v>0.82399999999999995</v>
      </c>
      <c r="CH39" s="3">
        <v>0.34100000000000003</v>
      </c>
      <c r="CI39" s="3">
        <v>0.71499999999999997</v>
      </c>
      <c r="CJ39" s="3">
        <v>0.87366666699999995</v>
      </c>
      <c r="CK39" s="3">
        <v>0.34499999999999997</v>
      </c>
      <c r="CL39" s="3">
        <v>0.57699999999999996</v>
      </c>
      <c r="CM39" s="3">
        <v>0.01</v>
      </c>
      <c r="CN39" s="3">
        <v>0.17599999999999999</v>
      </c>
      <c r="CO39" s="3">
        <v>0.78600000000000003</v>
      </c>
      <c r="CP39" s="3">
        <v>0.83066666700000003</v>
      </c>
      <c r="CQ39" s="3">
        <v>0.24399999999999999</v>
      </c>
      <c r="CR39" s="3">
        <v>0.73299999999999998</v>
      </c>
      <c r="CS39" s="3">
        <v>0.78300000000000003</v>
      </c>
      <c r="CT39" s="48" t="s">
        <v>315</v>
      </c>
      <c r="CU39" s="49" t="s">
        <v>341</v>
      </c>
      <c r="CV39" s="3">
        <v>-0.26900000000000002</v>
      </c>
      <c r="CW39" s="3">
        <v>0.40899999999999997</v>
      </c>
      <c r="CX39" s="3">
        <v>0.77100000000000002</v>
      </c>
      <c r="CY39" s="3">
        <v>0.89800000000000002</v>
      </c>
      <c r="CZ39" s="3">
        <v>0.68400000000000005</v>
      </c>
      <c r="DA39" s="3">
        <v>2.7650000000000001</v>
      </c>
      <c r="DB39" s="3">
        <v>1.1910000000000001</v>
      </c>
      <c r="DC39" s="3">
        <v>0.77800000000000002</v>
      </c>
      <c r="DD39" s="3">
        <v>1.9750000000000001</v>
      </c>
      <c r="DE39" s="3">
        <v>3.7109999999999999</v>
      </c>
      <c r="DF39" s="3">
        <v>0.63600000000000001</v>
      </c>
      <c r="DG39" s="3">
        <v>2.8879999999999999</v>
      </c>
      <c r="DH39" s="3">
        <v>0.995</v>
      </c>
    </row>
    <row r="40" spans="1:112" x14ac:dyDescent="0.3">
      <c r="A40" s="48" t="s">
        <v>315</v>
      </c>
      <c r="B40" s="49" t="s">
        <v>342</v>
      </c>
      <c r="C40" s="3">
        <v>44.529789000000001</v>
      </c>
      <c r="D40" s="3">
        <v>81.796880099999996</v>
      </c>
      <c r="E40" s="3">
        <v>44.359502999999997</v>
      </c>
      <c r="F40" s="3">
        <v>26.4113586</v>
      </c>
      <c r="G40" s="3">
        <v>26.4113586</v>
      </c>
      <c r="H40" s="3">
        <v>81.796880099999996</v>
      </c>
      <c r="I40" s="48" t="s">
        <v>315</v>
      </c>
      <c r="J40" s="49" t="s">
        <v>342</v>
      </c>
      <c r="K40" s="3">
        <v>48128.5</v>
      </c>
      <c r="L40" s="48" t="s">
        <v>315</v>
      </c>
      <c r="M40" s="49" t="s">
        <v>342</v>
      </c>
      <c r="N40" s="3">
        <v>8579.5639809999993</v>
      </c>
      <c r="O40" s="3">
        <v>11146.45124</v>
      </c>
      <c r="P40" s="3">
        <v>6540.7788399999999</v>
      </c>
      <c r="Q40" s="3">
        <v>5537.611148</v>
      </c>
      <c r="R40" s="3">
        <v>9749.6114500000003</v>
      </c>
      <c r="S40" s="3">
        <v>11052.438969999999</v>
      </c>
      <c r="T40" s="3">
        <v>4869.8922140000004</v>
      </c>
      <c r="U40" s="3">
        <v>10839.56941</v>
      </c>
      <c r="V40" s="3">
        <v>8031.6199569999999</v>
      </c>
      <c r="W40" s="3">
        <v>5282.6211789999998</v>
      </c>
      <c r="X40" s="3">
        <v>8357.6909300000007</v>
      </c>
      <c r="Y40" s="3">
        <v>805.81723360000001</v>
      </c>
      <c r="Z40" s="3">
        <v>2106.056474</v>
      </c>
      <c r="AA40" s="48" t="s">
        <v>315</v>
      </c>
      <c r="AB40" s="49" t="s">
        <v>342</v>
      </c>
      <c r="AC40" s="3">
        <v>2087.950922</v>
      </c>
      <c r="AD40" s="3">
        <v>2016.867043</v>
      </c>
      <c r="AE40" s="3">
        <v>1231.613834</v>
      </c>
      <c r="AF40" s="3">
        <v>371.58700750000003</v>
      </c>
      <c r="AG40" s="3">
        <v>3483.204882</v>
      </c>
      <c r="AH40" s="3">
        <v>2774.4952440000002</v>
      </c>
      <c r="AI40" s="3">
        <v>2492.5213180000001</v>
      </c>
      <c r="AJ40" s="3">
        <v>2586.0887469999998</v>
      </c>
      <c r="AK40" s="3">
        <v>1087.814545</v>
      </c>
      <c r="AL40" s="3">
        <v>1609.9607739999999</v>
      </c>
      <c r="AM40" s="3">
        <v>2879.0802100000001</v>
      </c>
      <c r="AN40" s="3">
        <v>333.9856944</v>
      </c>
      <c r="AO40" s="3">
        <v>1054.261892</v>
      </c>
      <c r="AP40" s="48" t="s">
        <v>315</v>
      </c>
      <c r="AQ40" s="49" t="s">
        <v>342</v>
      </c>
      <c r="AR40" s="3">
        <v>956.19459319999999</v>
      </c>
      <c r="AS40" s="3">
        <v>1503.255905</v>
      </c>
      <c r="AT40" s="3">
        <v>1130.128608</v>
      </c>
      <c r="AU40" s="3">
        <v>1155.345732</v>
      </c>
      <c r="AV40" s="3">
        <v>413.17062290000001</v>
      </c>
      <c r="AW40" s="3">
        <v>1901.9778180000001</v>
      </c>
      <c r="AX40" s="3">
        <v>1012.5261410000001</v>
      </c>
      <c r="AY40" s="3">
        <v>791.63660730000004</v>
      </c>
      <c r="AZ40" s="3">
        <v>882.51565779999999</v>
      </c>
      <c r="BA40" s="3">
        <v>431.66108930000001</v>
      </c>
      <c r="BB40" s="3">
        <v>579.41003850000004</v>
      </c>
      <c r="BC40" s="3">
        <v>203.06974500000001</v>
      </c>
      <c r="BD40" s="3">
        <v>1027.5035929999999</v>
      </c>
      <c r="BE40" s="48" t="s">
        <v>315</v>
      </c>
      <c r="BF40" s="49" t="s">
        <v>342</v>
      </c>
      <c r="BG40" s="3">
        <v>0.129</v>
      </c>
      <c r="BH40" s="3">
        <v>0.39400000000000002</v>
      </c>
      <c r="BI40" s="3">
        <v>0.92400000000000004</v>
      </c>
      <c r="BJ40" s="3">
        <v>6.3E-2</v>
      </c>
      <c r="BK40" s="3">
        <v>0.45500000000000002</v>
      </c>
      <c r="BL40" s="3">
        <v>0.9395</v>
      </c>
      <c r="BM40" s="3">
        <v>5.8000000000000003E-2</v>
      </c>
      <c r="BN40" s="3">
        <v>0.60599999999999998</v>
      </c>
      <c r="BO40" s="3">
        <v>0.93049999999999999</v>
      </c>
      <c r="BP40" s="3">
        <v>5.2999999999999999E-2</v>
      </c>
      <c r="BQ40" s="3">
        <v>0.32800000000000001</v>
      </c>
      <c r="BR40" s="3">
        <v>0.92333333299999998</v>
      </c>
      <c r="BS40" s="3">
        <v>0.154</v>
      </c>
      <c r="BT40" s="3">
        <v>0.81899999999999995</v>
      </c>
      <c r="BU40" s="3">
        <v>0.87683333399999996</v>
      </c>
      <c r="BV40" s="3">
        <v>5.5E-2</v>
      </c>
      <c r="BW40" s="3">
        <v>0.66900000000000004</v>
      </c>
      <c r="BX40" s="3">
        <v>0.91300000000000003</v>
      </c>
      <c r="BY40" s="3">
        <v>0.108</v>
      </c>
      <c r="BZ40" s="3">
        <v>0.66900000000000004</v>
      </c>
      <c r="CA40" s="3">
        <v>0.94950000000000001</v>
      </c>
      <c r="CB40" s="3">
        <v>0.23</v>
      </c>
      <c r="CC40" s="3">
        <v>0.311</v>
      </c>
      <c r="CD40" s="3">
        <v>0.82966666700000002</v>
      </c>
      <c r="CE40" s="3">
        <v>0.159</v>
      </c>
      <c r="CF40" s="3">
        <v>0.38400000000000001</v>
      </c>
      <c r="CG40" s="3">
        <v>0.77700000000000002</v>
      </c>
      <c r="CH40" s="3">
        <v>0.158</v>
      </c>
      <c r="CI40" s="3">
        <v>0.72399999999999998</v>
      </c>
      <c r="CJ40" s="3">
        <v>0.82599999999999996</v>
      </c>
      <c r="CK40" s="3">
        <v>0.183</v>
      </c>
      <c r="CL40" s="3">
        <v>0.54900000000000004</v>
      </c>
      <c r="CM40" s="3">
        <v>0.01</v>
      </c>
      <c r="CN40" s="3">
        <v>6.8000000000000005E-2</v>
      </c>
      <c r="CO40" s="3">
        <v>0.78400000000000003</v>
      </c>
      <c r="CP40" s="3">
        <v>0.83799999999999997</v>
      </c>
      <c r="CQ40" s="3">
        <v>0.17199999999999999</v>
      </c>
      <c r="CR40" s="3">
        <v>0.70299999999999996</v>
      </c>
      <c r="CS40" s="3">
        <v>0.80500000000000005</v>
      </c>
      <c r="CT40" s="48" t="s">
        <v>315</v>
      </c>
      <c r="CU40" s="49" t="s">
        <v>342</v>
      </c>
      <c r="CV40" s="3">
        <v>-5.2999999999999999E-2</v>
      </c>
      <c r="CW40" s="3">
        <v>0.68100000000000005</v>
      </c>
      <c r="CX40" s="3">
        <v>0.79600000000000004</v>
      </c>
      <c r="CY40" s="3">
        <v>1.036</v>
      </c>
      <c r="CZ40" s="3">
        <v>1.1830000000000001</v>
      </c>
      <c r="DA40" s="3">
        <v>2.6760000000000002</v>
      </c>
      <c r="DB40" s="3">
        <v>1.4770000000000001</v>
      </c>
      <c r="DC40" s="3">
        <v>1.391</v>
      </c>
      <c r="DD40" s="3">
        <v>2.3210000000000002</v>
      </c>
      <c r="DE40" s="3">
        <v>3.8340000000000001</v>
      </c>
      <c r="DF40" s="3">
        <v>1.131</v>
      </c>
      <c r="DG40" s="3">
        <v>3.306</v>
      </c>
      <c r="DH40" s="3">
        <v>1.347</v>
      </c>
    </row>
    <row r="41" spans="1:112" x14ac:dyDescent="0.3">
      <c r="A41" s="48" t="s">
        <v>315</v>
      </c>
      <c r="B41" s="49" t="s">
        <v>343</v>
      </c>
      <c r="C41" s="3">
        <v>43.678359</v>
      </c>
      <c r="D41" s="3">
        <v>95.896560899999997</v>
      </c>
      <c r="E41" s="3">
        <v>47.194764900000003</v>
      </c>
      <c r="F41" s="3">
        <v>26.470958700000001</v>
      </c>
      <c r="G41" s="3">
        <v>26.470958700000001</v>
      </c>
      <c r="H41" s="3">
        <v>95.896560899999997</v>
      </c>
      <c r="I41" s="48" t="s">
        <v>315</v>
      </c>
      <c r="J41" s="49" t="s">
        <v>343</v>
      </c>
      <c r="K41" s="3">
        <v>47648</v>
      </c>
      <c r="L41" s="48" t="s">
        <v>315</v>
      </c>
      <c r="M41" s="49" t="s">
        <v>343</v>
      </c>
      <c r="N41" s="3">
        <v>8569.3557650000002</v>
      </c>
      <c r="O41" s="3">
        <v>11474.765160000001</v>
      </c>
      <c r="P41" s="3">
        <v>6676.5274129999998</v>
      </c>
      <c r="Q41" s="3">
        <v>5533.7354859999996</v>
      </c>
      <c r="R41" s="3">
        <v>9759.6082330000008</v>
      </c>
      <c r="S41" s="3">
        <v>11359.044159999999</v>
      </c>
      <c r="T41" s="3">
        <v>4716.902118</v>
      </c>
      <c r="U41" s="3">
        <v>10816.85771</v>
      </c>
      <c r="V41" s="3">
        <v>8002.5752259999999</v>
      </c>
      <c r="W41" s="3">
        <v>5395.0258489999997</v>
      </c>
      <c r="X41" s="3">
        <v>8583.5669959999996</v>
      </c>
      <c r="Y41" s="3">
        <v>805.33711640000001</v>
      </c>
      <c r="Z41" s="3">
        <v>2055.4428659999999</v>
      </c>
      <c r="AA41" s="48" t="s">
        <v>315</v>
      </c>
      <c r="AB41" s="49" t="s">
        <v>343</v>
      </c>
      <c r="AC41" s="3">
        <v>1955.7465529999999</v>
      </c>
      <c r="AD41" s="3">
        <v>1943.857837</v>
      </c>
      <c r="AE41" s="3">
        <v>1187.0302569999999</v>
      </c>
      <c r="AF41" s="3">
        <v>358.1358123</v>
      </c>
      <c r="AG41" s="3">
        <v>3262.6561620000002</v>
      </c>
      <c r="AH41" s="3">
        <v>2674.0604170000001</v>
      </c>
      <c r="AI41" s="3">
        <v>2402.2937529999999</v>
      </c>
      <c r="AJ41" s="3">
        <v>2422.3434080000002</v>
      </c>
      <c r="AK41" s="3">
        <v>1018.936568</v>
      </c>
      <c r="AL41" s="3">
        <v>1508.0216680000001</v>
      </c>
      <c r="AM41" s="3">
        <v>2774.8594779999999</v>
      </c>
      <c r="AN41" s="3">
        <v>321.89564100000001</v>
      </c>
      <c r="AO41" s="3">
        <v>987.50839370000006</v>
      </c>
      <c r="AP41" s="48" t="s">
        <v>315</v>
      </c>
      <c r="AQ41" s="49" t="s">
        <v>343</v>
      </c>
      <c r="AR41" s="3">
        <v>940.519272</v>
      </c>
      <c r="AS41" s="3">
        <v>1454.8752549999999</v>
      </c>
      <c r="AT41" s="3">
        <v>1093.7566529999999</v>
      </c>
      <c r="AU41" s="3">
        <v>1118.1621909999999</v>
      </c>
      <c r="AV41" s="3">
        <v>406.397334</v>
      </c>
      <c r="AW41" s="3">
        <v>1840.764739</v>
      </c>
      <c r="AX41" s="3">
        <v>979.93909229999997</v>
      </c>
      <c r="AY41" s="3">
        <v>778.65895799999998</v>
      </c>
      <c r="AZ41" s="3">
        <v>868.04818799999998</v>
      </c>
      <c r="BA41" s="3">
        <v>424.584678</v>
      </c>
      <c r="BB41" s="3">
        <v>560.76235910000003</v>
      </c>
      <c r="BC41" s="3">
        <v>196.534167</v>
      </c>
      <c r="BD41" s="3">
        <v>1010.659272</v>
      </c>
      <c r="BE41" s="48" t="s">
        <v>315</v>
      </c>
      <c r="BF41" s="49" t="s">
        <v>343</v>
      </c>
      <c r="BG41" s="3">
        <v>4.1000000000000002E-2</v>
      </c>
      <c r="BH41" s="3">
        <v>0.36899999999999999</v>
      </c>
      <c r="BI41" s="3">
        <v>0.92149999999999999</v>
      </c>
      <c r="BJ41" s="3">
        <v>2.8000000000000001E-2</v>
      </c>
      <c r="BK41" s="3">
        <v>0.41699999999999998</v>
      </c>
      <c r="BL41" s="3">
        <v>0.9405</v>
      </c>
      <c r="BM41" s="3">
        <v>3.3000000000000002E-2</v>
      </c>
      <c r="BN41" s="3">
        <v>0.56799999999999995</v>
      </c>
      <c r="BO41" s="3">
        <v>0.92349999999999999</v>
      </c>
      <c r="BP41" s="3">
        <v>4.2999999999999997E-2</v>
      </c>
      <c r="BQ41" s="3">
        <v>0.309</v>
      </c>
      <c r="BR41" s="3">
        <v>0.90766666699999998</v>
      </c>
      <c r="BS41" s="3">
        <v>5.3999999999999999E-2</v>
      </c>
      <c r="BT41" s="3">
        <v>0.82899999999999996</v>
      </c>
      <c r="BU41" s="3">
        <v>0.87675000000000003</v>
      </c>
      <c r="BV41" s="3">
        <v>4.1000000000000002E-2</v>
      </c>
      <c r="BW41" s="3">
        <v>0.60499999999999998</v>
      </c>
      <c r="BX41" s="3">
        <v>0.89800000000000002</v>
      </c>
      <c r="BY41" s="3">
        <v>9.8000000000000004E-2</v>
      </c>
      <c r="BZ41" s="3">
        <v>0.60499999999999998</v>
      </c>
      <c r="CA41" s="3">
        <v>0.95099999999999996</v>
      </c>
      <c r="CB41" s="3">
        <v>8.1000000000000003E-2</v>
      </c>
      <c r="CC41" s="3">
        <v>0.28799999999999998</v>
      </c>
      <c r="CD41" s="3">
        <v>0.83199999999999996</v>
      </c>
      <c r="CE41" s="3">
        <v>5.3999999999999999E-2</v>
      </c>
      <c r="CF41" s="3">
        <v>0.37</v>
      </c>
      <c r="CG41" s="3">
        <v>0.74950000000000006</v>
      </c>
      <c r="CH41" s="3">
        <v>5.3999999999999999E-2</v>
      </c>
      <c r="CI41" s="3">
        <v>0.70199999999999996</v>
      </c>
      <c r="CJ41" s="3">
        <v>0.80700000000000005</v>
      </c>
      <c r="CK41" s="3">
        <v>9.0999999999999998E-2</v>
      </c>
      <c r="CL41" s="3">
        <v>0.53300000000000003</v>
      </c>
      <c r="CM41" s="3">
        <v>0.01</v>
      </c>
      <c r="CN41" s="3">
        <v>4.3999999999999997E-2</v>
      </c>
      <c r="CO41" s="3">
        <v>0.78600000000000003</v>
      </c>
      <c r="CP41" s="3">
        <v>0.83966666700000003</v>
      </c>
      <c r="CQ41" s="3">
        <v>8.7999999999999995E-2</v>
      </c>
      <c r="CR41" s="3">
        <v>0.65800000000000003</v>
      </c>
      <c r="CS41" s="3">
        <v>0.81799999999999995</v>
      </c>
      <c r="CT41" s="48" t="s">
        <v>315</v>
      </c>
      <c r="CU41" s="49" t="s">
        <v>343</v>
      </c>
      <c r="CV41" s="3">
        <v>-0.157</v>
      </c>
      <c r="CW41" s="3">
        <v>0.49099999999999999</v>
      </c>
      <c r="CX41" s="3">
        <v>0.61299999999999999</v>
      </c>
      <c r="CY41" s="3">
        <v>0.70399999999999996</v>
      </c>
      <c r="CZ41" s="3">
        <v>1.1679999999999999</v>
      </c>
      <c r="DA41" s="3">
        <v>2.7069999999999999</v>
      </c>
      <c r="DB41" s="3">
        <v>1.2010000000000001</v>
      </c>
      <c r="DC41" s="3">
        <v>1.7709999999999999</v>
      </c>
      <c r="DD41" s="3">
        <v>2.4159999999999999</v>
      </c>
      <c r="DE41" s="3">
        <v>3.6579999999999999</v>
      </c>
      <c r="DF41" s="3">
        <v>1.1839999999999999</v>
      </c>
      <c r="DG41" s="3">
        <v>3.21</v>
      </c>
      <c r="DH41" s="3">
        <v>1.3979999999999999</v>
      </c>
    </row>
    <row r="42" spans="1:112" x14ac:dyDescent="0.3">
      <c r="A42" s="48" t="s">
        <v>315</v>
      </c>
      <c r="B42" s="49" t="s">
        <v>344</v>
      </c>
      <c r="C42" s="3">
        <v>45.951677099999998</v>
      </c>
      <c r="D42" s="3">
        <v>104.72589000000001</v>
      </c>
      <c r="E42" s="3">
        <v>49.638368999999997</v>
      </c>
      <c r="F42" s="3">
        <v>26.6327304</v>
      </c>
      <c r="G42" s="3">
        <v>26.6327304</v>
      </c>
      <c r="H42" s="3">
        <v>94.2873582</v>
      </c>
      <c r="I42" s="48" t="s">
        <v>315</v>
      </c>
      <c r="J42" s="49" t="s">
        <v>344</v>
      </c>
      <c r="K42" s="3">
        <v>47762</v>
      </c>
      <c r="L42" s="48" t="s">
        <v>315</v>
      </c>
      <c r="M42" s="49" t="s">
        <v>344</v>
      </c>
      <c r="N42" s="3">
        <v>8619.1945510000005</v>
      </c>
      <c r="O42" s="3">
        <v>11872.35079</v>
      </c>
      <c r="P42" s="3">
        <v>6854.6047360000002</v>
      </c>
      <c r="Q42" s="3">
        <v>5927.046147</v>
      </c>
      <c r="R42" s="3">
        <v>9736.9581209999997</v>
      </c>
      <c r="S42" s="3">
        <v>11897.729660000001</v>
      </c>
      <c r="T42" s="3">
        <v>4924.8396279999997</v>
      </c>
      <c r="U42" s="3">
        <v>10729.14062</v>
      </c>
      <c r="V42" s="3">
        <v>8072.1822519999996</v>
      </c>
      <c r="W42" s="3">
        <v>5486.9386009999998</v>
      </c>
      <c r="X42" s="3">
        <v>8884.6953599999997</v>
      </c>
      <c r="Y42" s="3">
        <v>819.45794420000004</v>
      </c>
      <c r="Z42" s="3">
        <v>2277.787433</v>
      </c>
      <c r="AA42" s="48" t="s">
        <v>315</v>
      </c>
      <c r="AB42" s="49" t="s">
        <v>344</v>
      </c>
      <c r="AC42" s="3">
        <v>1965.991172</v>
      </c>
      <c r="AD42" s="3">
        <v>1916.9321890000001</v>
      </c>
      <c r="AE42" s="3">
        <v>1170.587923</v>
      </c>
      <c r="AF42" s="3">
        <v>353.17503859999999</v>
      </c>
      <c r="AG42" s="3">
        <v>3279.7466530000002</v>
      </c>
      <c r="AH42" s="3">
        <v>2637.0202549999999</v>
      </c>
      <c r="AI42" s="3">
        <v>2369.0180089999999</v>
      </c>
      <c r="AJ42" s="3">
        <v>2435.0321610000001</v>
      </c>
      <c r="AK42" s="3">
        <v>1024.2739759999999</v>
      </c>
      <c r="AL42" s="3">
        <v>1515.9210089999999</v>
      </c>
      <c r="AM42" s="3">
        <v>2736.4230819999998</v>
      </c>
      <c r="AN42" s="3">
        <v>317.43685369999997</v>
      </c>
      <c r="AO42" s="3">
        <v>992.68117400000006</v>
      </c>
      <c r="AP42" s="48" t="s">
        <v>315</v>
      </c>
      <c r="AQ42" s="49" t="s">
        <v>344</v>
      </c>
      <c r="AR42" s="3">
        <v>944.99793520000003</v>
      </c>
      <c r="AS42" s="3">
        <v>1434.1406910000001</v>
      </c>
      <c r="AT42" s="3">
        <v>1078.168672</v>
      </c>
      <c r="AU42" s="3">
        <v>1102.226388</v>
      </c>
      <c r="AV42" s="3">
        <v>408.33255939999998</v>
      </c>
      <c r="AW42" s="3">
        <v>1814.5305619999999</v>
      </c>
      <c r="AX42" s="3">
        <v>965.97321450000004</v>
      </c>
      <c r="AY42" s="3">
        <v>782.36685780000005</v>
      </c>
      <c r="AZ42" s="3">
        <v>872.18175080000003</v>
      </c>
      <c r="BA42" s="3">
        <v>426.60650980000003</v>
      </c>
      <c r="BB42" s="3">
        <v>552.77049650000004</v>
      </c>
      <c r="BC42" s="3">
        <v>193.733205</v>
      </c>
      <c r="BD42" s="3">
        <v>1015.471935</v>
      </c>
      <c r="BE42" s="48" t="s">
        <v>315</v>
      </c>
      <c r="BF42" s="49" t="s">
        <v>344</v>
      </c>
      <c r="BG42" s="3">
        <v>8.0000000000000002E-3</v>
      </c>
      <c r="BH42" s="3">
        <v>0.309</v>
      </c>
      <c r="BI42" s="3">
        <v>0.91600000000000004</v>
      </c>
      <c r="BJ42" s="3">
        <v>8.0000000000000002E-3</v>
      </c>
      <c r="BK42" s="3">
        <v>0.374</v>
      </c>
      <c r="BL42" s="3">
        <v>0.93149999999999999</v>
      </c>
      <c r="BM42" s="3">
        <v>1.2999999999999999E-2</v>
      </c>
      <c r="BN42" s="3">
        <v>0.53300000000000003</v>
      </c>
      <c r="BO42" s="3">
        <v>0.90649999999999997</v>
      </c>
      <c r="BP42" s="3">
        <v>2.9000000000000001E-2</v>
      </c>
      <c r="BQ42" s="3">
        <v>0.28100000000000003</v>
      </c>
      <c r="BR42" s="3">
        <v>0.89800000000000002</v>
      </c>
      <c r="BS42" s="3">
        <v>1.2999999999999999E-2</v>
      </c>
      <c r="BT42" s="3">
        <v>0.83899999999999997</v>
      </c>
      <c r="BU42" s="3">
        <v>0.87533333400000002</v>
      </c>
      <c r="BV42" s="3">
        <v>1.4999999999999999E-2</v>
      </c>
      <c r="BW42" s="3">
        <v>0.58199999999999996</v>
      </c>
      <c r="BX42" s="3">
        <v>0.88400000000000001</v>
      </c>
      <c r="BY42" s="3">
        <v>2.1000000000000001E-2</v>
      </c>
      <c r="BZ42" s="3">
        <v>0.58199999999999996</v>
      </c>
      <c r="CA42" s="3">
        <v>0.93</v>
      </c>
      <c r="CB42" s="3">
        <v>1.6E-2</v>
      </c>
      <c r="CC42" s="3">
        <v>0.30599999999999999</v>
      </c>
      <c r="CD42" s="3">
        <v>0.83466666700000003</v>
      </c>
      <c r="CE42" s="3">
        <v>0.02</v>
      </c>
      <c r="CF42" s="3">
        <v>0.38100000000000001</v>
      </c>
      <c r="CG42" s="3">
        <v>0.76049999999999995</v>
      </c>
      <c r="CH42" s="3">
        <v>0.02</v>
      </c>
      <c r="CI42" s="3">
        <v>0.625</v>
      </c>
      <c r="CJ42" s="3">
        <v>0.81866666700000001</v>
      </c>
      <c r="CK42" s="3">
        <v>3.2000000000000001E-2</v>
      </c>
      <c r="CL42" s="3">
        <v>0.499</v>
      </c>
      <c r="CM42" s="3">
        <v>0.01</v>
      </c>
      <c r="CN42" s="3">
        <v>1.7000000000000001E-2</v>
      </c>
      <c r="CO42" s="3">
        <v>0.77100000000000002</v>
      </c>
      <c r="CP42" s="3">
        <v>0.83133333300000001</v>
      </c>
      <c r="CQ42" s="3">
        <v>4.1000000000000002E-2</v>
      </c>
      <c r="CR42" s="3">
        <v>0.621</v>
      </c>
      <c r="CS42" s="3">
        <v>0.81200000000000006</v>
      </c>
      <c r="CT42" s="48" t="s">
        <v>315</v>
      </c>
      <c r="CU42" s="49" t="s">
        <v>344</v>
      </c>
      <c r="CV42" s="3">
        <v>-0.80500000000000005</v>
      </c>
      <c r="CW42" s="3">
        <v>-0.36699999999999999</v>
      </c>
      <c r="CX42" s="3">
        <v>-8.4000000000000005E-2</v>
      </c>
      <c r="CY42" s="3">
        <v>-0.20799999999999999</v>
      </c>
      <c r="CZ42" s="3">
        <v>0.01</v>
      </c>
      <c r="DA42" s="3">
        <v>2.7629999999999999</v>
      </c>
      <c r="DB42" s="3">
        <v>7.9000000000000001E-2</v>
      </c>
      <c r="DC42" s="3">
        <v>1.494</v>
      </c>
      <c r="DD42" s="3">
        <v>1.7470000000000001</v>
      </c>
      <c r="DE42" s="3">
        <v>2.9769999999999999</v>
      </c>
      <c r="DF42" s="3">
        <v>0.68100000000000005</v>
      </c>
      <c r="DG42" s="3">
        <v>2.5939999999999999</v>
      </c>
      <c r="DH42" s="3">
        <v>0.83299999999999996</v>
      </c>
    </row>
    <row r="43" spans="1:112" x14ac:dyDescent="0.3">
      <c r="A43" s="48" t="s">
        <v>315</v>
      </c>
      <c r="B43" s="49" t="s">
        <v>345</v>
      </c>
      <c r="C43" s="3">
        <v>52.1586018</v>
      </c>
      <c r="D43" s="3">
        <v>114.347049</v>
      </c>
      <c r="E43" s="3">
        <v>60.809130600000003</v>
      </c>
      <c r="F43" s="3">
        <v>26.922216599999999</v>
      </c>
      <c r="G43" s="3">
        <v>26.922216599999999</v>
      </c>
      <c r="H43" s="3">
        <v>149.00024999999999</v>
      </c>
      <c r="I43" s="48" t="s">
        <v>315</v>
      </c>
      <c r="J43" s="49" t="s">
        <v>345</v>
      </c>
      <c r="K43" s="3">
        <v>49187</v>
      </c>
      <c r="L43" s="48" t="s">
        <v>315</v>
      </c>
      <c r="M43" s="49" t="s">
        <v>345</v>
      </c>
      <c r="N43" s="3">
        <v>10351.51953</v>
      </c>
      <c r="O43" s="3">
        <v>13831.559450000001</v>
      </c>
      <c r="P43" s="3">
        <v>8289.8556649999991</v>
      </c>
      <c r="Q43" s="3">
        <v>7039.8388169999998</v>
      </c>
      <c r="R43" s="3">
        <v>11564.97781</v>
      </c>
      <c r="S43" s="3">
        <v>14349.830980000001</v>
      </c>
      <c r="T43" s="3">
        <v>6790.2947709999999</v>
      </c>
      <c r="U43" s="3">
        <v>13031.256240000001</v>
      </c>
      <c r="V43" s="3">
        <v>9320.1537690000005</v>
      </c>
      <c r="W43" s="3">
        <v>6529.7363150000001</v>
      </c>
      <c r="X43" s="3">
        <v>10894.61031</v>
      </c>
      <c r="Y43" s="3">
        <v>1101.3883310000001</v>
      </c>
      <c r="Z43" s="3">
        <v>2449.4852310000001</v>
      </c>
      <c r="AA43" s="48" t="s">
        <v>315</v>
      </c>
      <c r="AB43" s="49" t="s">
        <v>345</v>
      </c>
      <c r="AC43" s="3">
        <v>1552.2150019999999</v>
      </c>
      <c r="AD43" s="3">
        <v>1490.3883109999999</v>
      </c>
      <c r="AE43" s="3">
        <v>910.11594830000001</v>
      </c>
      <c r="AF43" s="3">
        <v>274.58871629999999</v>
      </c>
      <c r="AG43" s="3">
        <v>2589.46837</v>
      </c>
      <c r="AH43" s="3">
        <v>2050.2468389999999</v>
      </c>
      <c r="AI43" s="3">
        <v>1841.878794</v>
      </c>
      <c r="AJ43" s="3">
        <v>1922.5383629999999</v>
      </c>
      <c r="AK43" s="3">
        <v>808.69815400000005</v>
      </c>
      <c r="AL43" s="3">
        <v>1196.8697340000001</v>
      </c>
      <c r="AM43" s="3">
        <v>2127.5311649999999</v>
      </c>
      <c r="AN43" s="3">
        <v>246.80277100000001</v>
      </c>
      <c r="AO43" s="3">
        <v>783.75459260000002</v>
      </c>
      <c r="AP43" s="48" t="s">
        <v>315</v>
      </c>
      <c r="AQ43" s="49" t="s">
        <v>345</v>
      </c>
      <c r="AR43" s="3">
        <v>947.23726680000004</v>
      </c>
      <c r="AS43" s="3">
        <v>1430.6849299999999</v>
      </c>
      <c r="AT43" s="3">
        <v>1075.5706749999999</v>
      </c>
      <c r="AU43" s="3">
        <v>1099.5704209999999</v>
      </c>
      <c r="AV43" s="3">
        <v>409.3001721</v>
      </c>
      <c r="AW43" s="3">
        <v>1810.158199</v>
      </c>
      <c r="AX43" s="3">
        <v>963.64556819999996</v>
      </c>
      <c r="AY43" s="3">
        <v>784.22080770000002</v>
      </c>
      <c r="AZ43" s="3">
        <v>874.2485322</v>
      </c>
      <c r="BA43" s="3">
        <v>427.61742570000001</v>
      </c>
      <c r="BB43" s="3">
        <v>551.43851940000002</v>
      </c>
      <c r="BC43" s="3">
        <v>193.266378</v>
      </c>
      <c r="BD43" s="3">
        <v>1017.8782670000001</v>
      </c>
      <c r="BE43" s="48" t="s">
        <v>315</v>
      </c>
      <c r="BF43" s="49" t="s">
        <v>345</v>
      </c>
      <c r="BG43" s="3">
        <v>0</v>
      </c>
      <c r="BH43" s="3">
        <v>0.315</v>
      </c>
      <c r="BI43" s="3">
        <v>0.90700000000000003</v>
      </c>
      <c r="BJ43" s="3">
        <v>0</v>
      </c>
      <c r="BK43" s="3">
        <v>0.36299999999999999</v>
      </c>
      <c r="BL43" s="3">
        <v>0.91800000000000004</v>
      </c>
      <c r="BM43" s="3">
        <v>0</v>
      </c>
      <c r="BN43" s="3">
        <v>0.53300000000000003</v>
      </c>
      <c r="BO43" s="3">
        <v>0.88649999999999995</v>
      </c>
      <c r="BP43" s="3">
        <v>0</v>
      </c>
      <c r="BQ43" s="3">
        <v>0.373</v>
      </c>
      <c r="BR43" s="3">
        <v>0.87033333300000004</v>
      </c>
      <c r="BS43" s="3">
        <v>0</v>
      </c>
      <c r="BT43" s="3">
        <v>0.83399999999999996</v>
      </c>
      <c r="BU43" s="3">
        <v>0.87966666699999996</v>
      </c>
      <c r="BV43" s="3">
        <v>0</v>
      </c>
      <c r="BW43" s="3">
        <v>0.628</v>
      </c>
      <c r="BX43" s="3">
        <v>0.86299999999999999</v>
      </c>
      <c r="BY43" s="3">
        <v>0</v>
      </c>
      <c r="BZ43" s="3">
        <v>0.628</v>
      </c>
      <c r="CA43" s="3">
        <v>0.92249999999999999</v>
      </c>
      <c r="CB43" s="3">
        <v>0</v>
      </c>
      <c r="CC43" s="3">
        <v>0.41599999999999998</v>
      </c>
      <c r="CD43" s="3">
        <v>0.85233333300000003</v>
      </c>
      <c r="CE43" s="3">
        <v>0</v>
      </c>
      <c r="CF43" s="3">
        <v>0.49199999999999999</v>
      </c>
      <c r="CG43" s="3">
        <v>0.77700000000000002</v>
      </c>
      <c r="CH43" s="3">
        <v>0</v>
      </c>
      <c r="CI43" s="3">
        <v>0.625</v>
      </c>
      <c r="CJ43" s="3">
        <v>0.825333333</v>
      </c>
      <c r="CK43" s="3">
        <v>1E-3</v>
      </c>
      <c r="CL43" s="3">
        <v>0.49399999999999999</v>
      </c>
      <c r="CM43" s="3">
        <v>0.01</v>
      </c>
      <c r="CN43" s="3">
        <v>0</v>
      </c>
      <c r="CO43" s="3">
        <v>0.76500000000000001</v>
      </c>
      <c r="CP43" s="3">
        <v>0.82799999999999996</v>
      </c>
      <c r="CQ43" s="3">
        <v>1E-3</v>
      </c>
      <c r="CR43" s="3">
        <v>0.66200000000000003</v>
      </c>
      <c r="CS43" s="3">
        <v>0.78600000000000003</v>
      </c>
      <c r="CT43" s="48" t="s">
        <v>315</v>
      </c>
      <c r="CU43" s="49" t="s">
        <v>345</v>
      </c>
      <c r="CV43" s="3">
        <v>-2.5859999999999999</v>
      </c>
      <c r="CW43" s="3">
        <v>-1.909</v>
      </c>
      <c r="CX43" s="3">
        <v>-1.0469999999999999</v>
      </c>
      <c r="CY43" s="3">
        <v>-1.37</v>
      </c>
      <c r="CZ43" s="3">
        <v>-2.242</v>
      </c>
      <c r="DA43" s="3">
        <v>2.863</v>
      </c>
      <c r="DB43" s="3">
        <v>-1.474</v>
      </c>
      <c r="DC43" s="3">
        <v>0.89900000000000002</v>
      </c>
      <c r="DD43" s="3">
        <v>0.438</v>
      </c>
      <c r="DE43" s="3">
        <v>1.5940000000000001</v>
      </c>
      <c r="DF43" s="3">
        <v>-0.66600000000000004</v>
      </c>
      <c r="DG43" s="3">
        <v>1.5409999999999999</v>
      </c>
      <c r="DH43" s="3">
        <v>-6.9000000000000006E-2</v>
      </c>
    </row>
    <row r="44" spans="1:112" x14ac:dyDescent="0.3">
      <c r="A44" s="48" t="s">
        <v>315</v>
      </c>
      <c r="B44" s="49" t="s">
        <v>346</v>
      </c>
      <c r="C44" s="3">
        <v>54.329748299999999</v>
      </c>
      <c r="D44" s="3">
        <v>118.34877</v>
      </c>
      <c r="E44" s="3">
        <v>51.000656999999997</v>
      </c>
      <c r="F44" s="3">
        <v>26.7263877</v>
      </c>
      <c r="G44" s="3">
        <v>26.7263877</v>
      </c>
      <c r="H44" s="3">
        <v>118.34877</v>
      </c>
      <c r="I44" s="48" t="s">
        <v>315</v>
      </c>
      <c r="J44" s="49" t="s">
        <v>346</v>
      </c>
      <c r="K44" s="3">
        <v>51643.5</v>
      </c>
      <c r="L44" s="48" t="s">
        <v>315</v>
      </c>
      <c r="M44" s="49" t="s">
        <v>346</v>
      </c>
      <c r="N44" s="3">
        <v>12405.349050000001</v>
      </c>
      <c r="O44" s="3">
        <v>16409.020629999999</v>
      </c>
      <c r="P44" s="3">
        <v>9771.1220379999995</v>
      </c>
      <c r="Q44" s="3">
        <v>8355.5799449999995</v>
      </c>
      <c r="R44" s="3">
        <v>13588.228810000001</v>
      </c>
      <c r="S44" s="3">
        <v>17376.804929999998</v>
      </c>
      <c r="T44" s="3">
        <v>9522.1047170000002</v>
      </c>
      <c r="U44" s="3">
        <v>15624.713610000001</v>
      </c>
      <c r="V44" s="3">
        <v>11967.469090000001</v>
      </c>
      <c r="W44" s="3">
        <v>8835.3209330000009</v>
      </c>
      <c r="X44" s="3">
        <v>12647.963159999999</v>
      </c>
      <c r="Y44" s="3">
        <v>1442.0270049999999</v>
      </c>
      <c r="Z44" s="3">
        <v>3278.5707830000001</v>
      </c>
      <c r="AA44" s="48" t="s">
        <v>315</v>
      </c>
      <c r="AB44" s="49" t="s">
        <v>346</v>
      </c>
      <c r="AC44" s="3">
        <v>1560.278456</v>
      </c>
      <c r="AD44" s="3">
        <v>1501.6506910000001</v>
      </c>
      <c r="AE44" s="3">
        <v>916.99339880000002</v>
      </c>
      <c r="AF44" s="3">
        <v>276.66369400000002</v>
      </c>
      <c r="AG44" s="3">
        <v>2602.9201539999999</v>
      </c>
      <c r="AH44" s="3">
        <v>2065.7398889999999</v>
      </c>
      <c r="AI44" s="3">
        <v>1855.7972729999999</v>
      </c>
      <c r="AJ44" s="3">
        <v>1932.525576</v>
      </c>
      <c r="AK44" s="3">
        <v>812.8991833</v>
      </c>
      <c r="AL44" s="3">
        <v>1203.087239</v>
      </c>
      <c r="AM44" s="3">
        <v>2143.6082270000002</v>
      </c>
      <c r="AN44" s="3">
        <v>248.66777930000001</v>
      </c>
      <c r="AO44" s="3">
        <v>787.82604509999999</v>
      </c>
      <c r="AP44" s="48" t="s">
        <v>315</v>
      </c>
      <c r="AQ44" s="49" t="s">
        <v>346</v>
      </c>
      <c r="AR44" s="3">
        <v>965.15191960000004</v>
      </c>
      <c r="AS44" s="3">
        <v>1472.1540580000001</v>
      </c>
      <c r="AT44" s="3">
        <v>1106.746637</v>
      </c>
      <c r="AU44" s="3">
        <v>1131.4420270000001</v>
      </c>
      <c r="AV44" s="3">
        <v>417.04107370000003</v>
      </c>
      <c r="AW44" s="3">
        <v>1862.6265530000001</v>
      </c>
      <c r="AX44" s="3">
        <v>991.57732380000004</v>
      </c>
      <c r="AY44" s="3">
        <v>799.05240690000005</v>
      </c>
      <c r="AZ44" s="3">
        <v>890.78278339999997</v>
      </c>
      <c r="BA44" s="3">
        <v>435.70475290000002</v>
      </c>
      <c r="BB44" s="3">
        <v>567.4222446</v>
      </c>
      <c r="BC44" s="3">
        <v>198.868302</v>
      </c>
      <c r="BD44" s="3">
        <v>1037.1289200000001</v>
      </c>
      <c r="BE44" s="48" t="s">
        <v>315</v>
      </c>
      <c r="BF44" s="49" t="s">
        <v>346</v>
      </c>
      <c r="BG44" s="3">
        <v>0</v>
      </c>
      <c r="BH44" s="3">
        <v>0.37</v>
      </c>
      <c r="BI44" s="3">
        <v>0.88949999999999996</v>
      </c>
      <c r="BJ44" s="3">
        <v>0</v>
      </c>
      <c r="BK44" s="3">
        <v>0.39300000000000002</v>
      </c>
      <c r="BL44" s="3">
        <v>0.88249999999999995</v>
      </c>
      <c r="BM44" s="3">
        <v>0</v>
      </c>
      <c r="BN44" s="3">
        <v>0.497</v>
      </c>
      <c r="BO44" s="3">
        <v>0.83599999999999997</v>
      </c>
      <c r="BP44" s="3">
        <v>0</v>
      </c>
      <c r="BQ44" s="3">
        <v>0.45400000000000001</v>
      </c>
      <c r="BR44" s="3">
        <v>0.81433333299999999</v>
      </c>
      <c r="BS44" s="3">
        <v>0</v>
      </c>
      <c r="BT44" s="3">
        <v>0.81100000000000005</v>
      </c>
      <c r="BU44" s="3">
        <v>0.87541666699999998</v>
      </c>
      <c r="BV44" s="3">
        <v>0</v>
      </c>
      <c r="BW44" s="3">
        <v>0.63</v>
      </c>
      <c r="BX44" s="3">
        <v>0.82</v>
      </c>
      <c r="BY44" s="3">
        <v>0</v>
      </c>
      <c r="BZ44" s="3">
        <v>0.63</v>
      </c>
      <c r="CA44" s="3">
        <v>0.90649999999999997</v>
      </c>
      <c r="CB44" s="3">
        <v>0</v>
      </c>
      <c r="CC44" s="3">
        <v>0.53500000000000003</v>
      </c>
      <c r="CD44" s="3">
        <v>0.86133333300000003</v>
      </c>
      <c r="CE44" s="3">
        <v>0</v>
      </c>
      <c r="CF44" s="3">
        <v>0.58899999999999997</v>
      </c>
      <c r="CG44" s="3">
        <v>0.77449999999999997</v>
      </c>
      <c r="CH44" s="3">
        <v>0</v>
      </c>
      <c r="CI44" s="3">
        <v>0.66900000000000004</v>
      </c>
      <c r="CJ44" s="3">
        <v>0.823333333</v>
      </c>
      <c r="CK44" s="3">
        <v>0</v>
      </c>
      <c r="CL44" s="3">
        <v>0.47699999999999998</v>
      </c>
      <c r="CM44" s="3">
        <v>0.01</v>
      </c>
      <c r="CN44" s="3">
        <v>0</v>
      </c>
      <c r="CO44" s="3">
        <v>0.75600000000000001</v>
      </c>
      <c r="CP44" s="3">
        <v>0.82066666700000002</v>
      </c>
      <c r="CQ44" s="3">
        <v>0</v>
      </c>
      <c r="CR44" s="3">
        <v>0.68899999999999995</v>
      </c>
      <c r="CS44" s="3">
        <v>0.79</v>
      </c>
      <c r="CT44" s="48" t="s">
        <v>315</v>
      </c>
      <c r="CU44" s="49" t="s">
        <v>346</v>
      </c>
      <c r="CV44" s="3">
        <v>-2.7610000000000001</v>
      </c>
      <c r="CW44" s="3">
        <v>-2.42</v>
      </c>
      <c r="CX44" s="3">
        <v>-1.4690000000000001</v>
      </c>
      <c r="CY44" s="3">
        <v>-1.8160000000000001</v>
      </c>
      <c r="CZ44" s="3">
        <v>-2.2469999999999999</v>
      </c>
      <c r="DA44" s="3">
        <v>2.9910000000000001</v>
      </c>
      <c r="DB44" s="3">
        <v>-2.0419999999999998</v>
      </c>
      <c r="DC44" s="3">
        <v>1.175</v>
      </c>
      <c r="DD44" s="3">
        <v>0.79700000000000004</v>
      </c>
      <c r="DE44" s="3">
        <v>1.2609999999999999</v>
      </c>
      <c r="DF44" s="3">
        <v>-1.9670000000000001</v>
      </c>
      <c r="DG44" s="3">
        <v>0.88400000000000001</v>
      </c>
      <c r="DH44" s="3">
        <v>-0.66800000000000004</v>
      </c>
    </row>
    <row r="45" spans="1:112" x14ac:dyDescent="0.3">
      <c r="A45" s="48" t="s">
        <v>315</v>
      </c>
      <c r="B45" s="49" t="s">
        <v>347</v>
      </c>
      <c r="C45" s="3">
        <v>53.291003699999997</v>
      </c>
      <c r="D45" s="3">
        <v>103.278459</v>
      </c>
      <c r="E45" s="3">
        <v>38.229207000000002</v>
      </c>
      <c r="F45" s="3">
        <v>26.402844300000002</v>
      </c>
      <c r="G45" s="3">
        <v>26.402844300000002</v>
      </c>
      <c r="H45" s="3">
        <v>103.278459</v>
      </c>
      <c r="I45" s="48" t="s">
        <v>315</v>
      </c>
      <c r="J45" s="49" t="s">
        <v>347</v>
      </c>
      <c r="K45" s="3">
        <v>51329</v>
      </c>
      <c r="L45" s="48" t="s">
        <v>315</v>
      </c>
      <c r="M45" s="49" t="s">
        <v>347</v>
      </c>
      <c r="N45" s="3">
        <v>13588.30377</v>
      </c>
      <c r="O45" s="3">
        <v>17240.260630000001</v>
      </c>
      <c r="P45" s="3">
        <v>10374.84605</v>
      </c>
      <c r="Q45" s="3">
        <v>8804.6675950000008</v>
      </c>
      <c r="R45" s="3">
        <v>15017.00539</v>
      </c>
      <c r="S45" s="3">
        <v>18677.45016</v>
      </c>
      <c r="T45" s="3">
        <v>10858.477129999999</v>
      </c>
      <c r="U45" s="3">
        <v>17644.71125</v>
      </c>
      <c r="V45" s="3">
        <v>13214.952939999999</v>
      </c>
      <c r="W45" s="3">
        <v>10067.588250000001</v>
      </c>
      <c r="X45" s="3">
        <v>13644.36047</v>
      </c>
      <c r="Y45" s="3">
        <v>1660.38066</v>
      </c>
      <c r="Z45" s="3">
        <v>4293.9462249999997</v>
      </c>
      <c r="AA45" s="48" t="s">
        <v>315</v>
      </c>
      <c r="AB45" s="49" t="s">
        <v>347</v>
      </c>
      <c r="AC45" s="3">
        <v>1491.739092</v>
      </c>
      <c r="AD45" s="3">
        <v>1422.81403</v>
      </c>
      <c r="AE45" s="3">
        <v>868.85124529999996</v>
      </c>
      <c r="AF45" s="3">
        <v>262.13885010000001</v>
      </c>
      <c r="AG45" s="3">
        <v>2488.5799919999999</v>
      </c>
      <c r="AH45" s="3">
        <v>1957.288544</v>
      </c>
      <c r="AI45" s="3">
        <v>1758.367917</v>
      </c>
      <c r="AJ45" s="3">
        <v>1847.6342709999999</v>
      </c>
      <c r="AK45" s="3">
        <v>777.19043369999997</v>
      </c>
      <c r="AL45" s="3">
        <v>1150.2384460000001</v>
      </c>
      <c r="AM45" s="3">
        <v>2031.0687949999999</v>
      </c>
      <c r="AN45" s="3">
        <v>235.6127209</v>
      </c>
      <c r="AO45" s="3">
        <v>753.21869939999999</v>
      </c>
      <c r="AP45" s="48" t="s">
        <v>315</v>
      </c>
      <c r="AQ45" s="49" t="s">
        <v>347</v>
      </c>
      <c r="AR45" s="3">
        <v>956.19459319999999</v>
      </c>
      <c r="AS45" s="3">
        <v>1465.2425370000001</v>
      </c>
      <c r="AT45" s="3">
        <v>1101.550643</v>
      </c>
      <c r="AU45" s="3">
        <v>1126.130093</v>
      </c>
      <c r="AV45" s="3">
        <v>413.17062290000001</v>
      </c>
      <c r="AW45" s="3">
        <v>1853.8818269999999</v>
      </c>
      <c r="AX45" s="3">
        <v>986.92203119999999</v>
      </c>
      <c r="AY45" s="3">
        <v>791.63660730000004</v>
      </c>
      <c r="AZ45" s="3">
        <v>882.51565779999999</v>
      </c>
      <c r="BA45" s="3">
        <v>431.66108930000001</v>
      </c>
      <c r="BB45" s="3">
        <v>564.75829039999996</v>
      </c>
      <c r="BC45" s="3">
        <v>197.93464800000001</v>
      </c>
      <c r="BD45" s="3">
        <v>1027.5035929999999</v>
      </c>
      <c r="BE45" s="48" t="s">
        <v>315</v>
      </c>
      <c r="BF45" s="49" t="s">
        <v>347</v>
      </c>
      <c r="BG45" s="3">
        <v>0</v>
      </c>
      <c r="BH45" s="3">
        <v>0.40600000000000003</v>
      </c>
      <c r="BI45" s="3">
        <v>0.85450000000000004</v>
      </c>
      <c r="BJ45" s="3">
        <v>0</v>
      </c>
      <c r="BK45" s="3">
        <v>0.37</v>
      </c>
      <c r="BL45" s="3">
        <v>0.81699999999999995</v>
      </c>
      <c r="BM45" s="3">
        <v>0</v>
      </c>
      <c r="BN45" s="3">
        <v>0.496</v>
      </c>
      <c r="BO45" s="3">
        <v>0.81100000000000005</v>
      </c>
      <c r="BP45" s="3">
        <v>0</v>
      </c>
      <c r="BQ45" s="3">
        <v>0.47299999999999998</v>
      </c>
      <c r="BR45" s="3">
        <v>0.79900000000000004</v>
      </c>
      <c r="BS45" s="3">
        <v>0</v>
      </c>
      <c r="BT45" s="3">
        <v>0.77200000000000002</v>
      </c>
      <c r="BU45" s="3">
        <v>0.85824999999999996</v>
      </c>
      <c r="BV45" s="3">
        <v>0</v>
      </c>
      <c r="BW45" s="3">
        <v>0.60399999999999998</v>
      </c>
      <c r="BX45" s="3">
        <v>0.80100000000000005</v>
      </c>
      <c r="BY45" s="3">
        <v>0</v>
      </c>
      <c r="BZ45" s="3">
        <v>0.60399999999999998</v>
      </c>
      <c r="CA45" s="3">
        <v>0.879</v>
      </c>
      <c r="CB45" s="3">
        <v>0</v>
      </c>
      <c r="CC45" s="3">
        <v>0.59699999999999998</v>
      </c>
      <c r="CD45" s="3">
        <v>0.86199999999999999</v>
      </c>
      <c r="CE45" s="3">
        <v>0</v>
      </c>
      <c r="CF45" s="3">
        <v>0.63500000000000001</v>
      </c>
      <c r="CG45" s="3">
        <v>0.77900000000000003</v>
      </c>
      <c r="CH45" s="3">
        <v>0</v>
      </c>
      <c r="CI45" s="3">
        <v>0.69199999999999995</v>
      </c>
      <c r="CJ45" s="3">
        <v>0.83633333300000001</v>
      </c>
      <c r="CK45" s="3">
        <v>0</v>
      </c>
      <c r="CL45" s="3">
        <v>0.439</v>
      </c>
      <c r="CM45" s="3">
        <v>0.01</v>
      </c>
      <c r="CN45" s="3">
        <v>0</v>
      </c>
      <c r="CO45" s="3">
        <v>0.73899999999999999</v>
      </c>
      <c r="CP45" s="3">
        <v>0.806666667</v>
      </c>
      <c r="CQ45" s="3">
        <v>0</v>
      </c>
      <c r="CR45" s="3">
        <v>0.71199999999999997</v>
      </c>
      <c r="CS45" s="3">
        <v>0.8</v>
      </c>
      <c r="CT45" s="48" t="s">
        <v>315</v>
      </c>
      <c r="CU45" s="49" t="s">
        <v>347</v>
      </c>
      <c r="CV45" s="3">
        <v>-2.6419999999999999</v>
      </c>
      <c r="CW45" s="3">
        <v>-2.5619999999999998</v>
      </c>
      <c r="CX45" s="3">
        <v>-2.0110000000000001</v>
      </c>
      <c r="CY45" s="3">
        <v>-2.0190000000000001</v>
      </c>
      <c r="CZ45" s="3">
        <v>-2.0630000000000002</v>
      </c>
      <c r="DA45" s="3">
        <v>3.165</v>
      </c>
      <c r="DB45" s="3">
        <v>-2.4340000000000002</v>
      </c>
      <c r="DC45" s="3">
        <v>1.3939999999999999</v>
      </c>
      <c r="DD45" s="3">
        <v>1.268</v>
      </c>
      <c r="DE45" s="3">
        <v>1.331</v>
      </c>
      <c r="DF45" s="3">
        <v>-2.39</v>
      </c>
      <c r="DG45" s="3">
        <v>0.55900000000000005</v>
      </c>
      <c r="DH45" s="3">
        <v>-1.0509999999999999</v>
      </c>
    </row>
    <row r="46" spans="1:112" x14ac:dyDescent="0.3">
      <c r="A46" s="48" t="s">
        <v>315</v>
      </c>
      <c r="B46" s="49" t="s">
        <v>348</v>
      </c>
      <c r="C46" s="3">
        <v>53.291003699999997</v>
      </c>
      <c r="D46" s="3">
        <v>84.376712999999995</v>
      </c>
      <c r="E46" s="3">
        <v>39.055094099999998</v>
      </c>
      <c r="F46" s="3">
        <v>25.5088428</v>
      </c>
      <c r="G46" s="3">
        <v>25.5088428</v>
      </c>
      <c r="H46" s="3">
        <v>84.376712999999995</v>
      </c>
      <c r="I46" s="48" t="s">
        <v>315</v>
      </c>
      <c r="J46" s="49" t="s">
        <v>348</v>
      </c>
      <c r="K46" s="3">
        <v>50343</v>
      </c>
      <c r="L46" s="48" t="s">
        <v>315</v>
      </c>
      <c r="M46" s="49" t="s">
        <v>348</v>
      </c>
      <c r="N46" s="3">
        <v>14126.31415</v>
      </c>
      <c r="O46" s="3">
        <v>17741.613130000002</v>
      </c>
      <c r="P46" s="3">
        <v>10598.461209999999</v>
      </c>
      <c r="Q46" s="3">
        <v>8859.5758330000008</v>
      </c>
      <c r="R46" s="3">
        <v>16455.427390000001</v>
      </c>
      <c r="S46" s="3">
        <v>19500.359339999999</v>
      </c>
      <c r="T46" s="3">
        <v>11240.59086</v>
      </c>
      <c r="U46" s="3">
        <v>18939.812399999999</v>
      </c>
      <c r="V46" s="3">
        <v>13203.751899999999</v>
      </c>
      <c r="W46" s="3">
        <v>10518.735549999999</v>
      </c>
      <c r="X46" s="3">
        <v>14284.45205</v>
      </c>
      <c r="Y46" s="3">
        <v>1735.9982480000001</v>
      </c>
      <c r="Z46" s="3">
        <v>4860.707144</v>
      </c>
      <c r="AA46" s="48" t="s">
        <v>315</v>
      </c>
      <c r="AB46" s="49" t="s">
        <v>348</v>
      </c>
      <c r="AC46" s="3">
        <v>1015.995274</v>
      </c>
      <c r="AD46" s="3">
        <v>977.57459979999999</v>
      </c>
      <c r="AE46" s="3">
        <v>596.96270259999994</v>
      </c>
      <c r="AF46" s="3">
        <v>180.10806479999999</v>
      </c>
      <c r="AG46" s="3">
        <v>1694.924751</v>
      </c>
      <c r="AH46" s="3">
        <v>1344.7966670000001</v>
      </c>
      <c r="AI46" s="3">
        <v>1208.1240250000001</v>
      </c>
      <c r="AJ46" s="3">
        <v>1258.388747</v>
      </c>
      <c r="AK46" s="3">
        <v>529.32970079999996</v>
      </c>
      <c r="AL46" s="3">
        <v>783.40564400000005</v>
      </c>
      <c r="AM46" s="3">
        <v>1395.4889559999999</v>
      </c>
      <c r="AN46" s="3">
        <v>161.88272430000001</v>
      </c>
      <c r="AO46" s="3">
        <v>513.00300609999999</v>
      </c>
      <c r="AP46" s="48" t="s">
        <v>315</v>
      </c>
      <c r="AQ46" s="49" t="s">
        <v>348</v>
      </c>
      <c r="AR46" s="3">
        <v>936.04060879999997</v>
      </c>
      <c r="AS46" s="3">
        <v>1441.0522120000001</v>
      </c>
      <c r="AT46" s="3">
        <v>1083.3646659999999</v>
      </c>
      <c r="AU46" s="3">
        <v>1107.5383220000001</v>
      </c>
      <c r="AV46" s="3">
        <v>404.46210860000002</v>
      </c>
      <c r="AW46" s="3">
        <v>1823.275288</v>
      </c>
      <c r="AX46" s="3">
        <v>970.62850709999998</v>
      </c>
      <c r="AY46" s="3">
        <v>774.95105820000003</v>
      </c>
      <c r="AZ46" s="3">
        <v>863.91462520000005</v>
      </c>
      <c r="BA46" s="3">
        <v>422.56284620000002</v>
      </c>
      <c r="BB46" s="3">
        <v>555.43445069999996</v>
      </c>
      <c r="BC46" s="3">
        <v>194.66685899999999</v>
      </c>
      <c r="BD46" s="3">
        <v>1005.8466089999999</v>
      </c>
      <c r="BE46" s="48" t="s">
        <v>315</v>
      </c>
      <c r="BF46" s="49" t="s">
        <v>348</v>
      </c>
      <c r="BG46" s="3">
        <v>0</v>
      </c>
      <c r="BH46" s="3">
        <v>0.42899999999999999</v>
      </c>
      <c r="BI46" s="3">
        <v>0.81850000000000001</v>
      </c>
      <c r="BJ46" s="3">
        <v>0</v>
      </c>
      <c r="BK46" s="3">
        <v>0.35699999999999998</v>
      </c>
      <c r="BL46" s="3">
        <v>0.78249999999999997</v>
      </c>
      <c r="BM46" s="3">
        <v>0</v>
      </c>
      <c r="BN46" s="3">
        <v>0.49</v>
      </c>
      <c r="BO46" s="3">
        <v>0.79249999999999998</v>
      </c>
      <c r="BP46" s="3">
        <v>0</v>
      </c>
      <c r="BQ46" s="3">
        <v>0.47099999999999997</v>
      </c>
      <c r="BR46" s="3">
        <v>0.79</v>
      </c>
      <c r="BS46" s="3">
        <v>0</v>
      </c>
      <c r="BT46" s="3">
        <v>0.71799999999999997</v>
      </c>
      <c r="BU46" s="3">
        <v>0.82908333400000001</v>
      </c>
      <c r="BV46" s="3">
        <v>0</v>
      </c>
      <c r="BW46" s="3">
        <v>0.60399999999999998</v>
      </c>
      <c r="BX46" s="3">
        <v>0.77700000000000002</v>
      </c>
      <c r="BY46" s="3">
        <v>0</v>
      </c>
      <c r="BZ46" s="3">
        <v>0.60399999999999998</v>
      </c>
      <c r="CA46" s="3">
        <v>0.86550000000000005</v>
      </c>
      <c r="CB46" s="3">
        <v>0</v>
      </c>
      <c r="CC46" s="3">
        <v>0.60599999999999998</v>
      </c>
      <c r="CD46" s="3">
        <v>0.83966666700000003</v>
      </c>
      <c r="CE46" s="3">
        <v>0</v>
      </c>
      <c r="CF46" s="3">
        <v>0.64400000000000002</v>
      </c>
      <c r="CG46" s="3">
        <v>0.76049999999999995</v>
      </c>
      <c r="CH46" s="3">
        <v>0</v>
      </c>
      <c r="CI46" s="3">
        <v>0.71399999999999997</v>
      </c>
      <c r="CJ46" s="3">
        <v>0.84299999999999997</v>
      </c>
      <c r="CK46" s="3">
        <v>0</v>
      </c>
      <c r="CL46" s="3">
        <v>0.39600000000000002</v>
      </c>
      <c r="CM46" s="3">
        <v>0.01</v>
      </c>
      <c r="CN46" s="3">
        <v>0</v>
      </c>
      <c r="CO46" s="3">
        <v>0.71099999999999997</v>
      </c>
      <c r="CP46" s="3">
        <v>0.78566666699999999</v>
      </c>
      <c r="CQ46" s="3">
        <v>0</v>
      </c>
      <c r="CR46" s="3">
        <v>0.7</v>
      </c>
      <c r="CS46" s="3">
        <v>0.80100000000000005</v>
      </c>
      <c r="CT46" s="48" t="s">
        <v>315</v>
      </c>
      <c r="CU46" s="49" t="s">
        <v>348</v>
      </c>
      <c r="CV46" s="3">
        <v>-2.4239999999999999</v>
      </c>
      <c r="CW46" s="3">
        <v>-2.7709999999999999</v>
      </c>
      <c r="CX46" s="3">
        <v>-2.1539999999999999</v>
      </c>
      <c r="CY46" s="3">
        <v>-2.1190000000000002</v>
      </c>
      <c r="CZ46" s="3">
        <v>-1.8220000000000001</v>
      </c>
      <c r="DA46" s="3">
        <v>3.367</v>
      </c>
      <c r="DB46" s="3">
        <v>-2.6280000000000001</v>
      </c>
      <c r="DC46" s="3">
        <v>1.409</v>
      </c>
      <c r="DD46" s="3">
        <v>1.4510000000000001</v>
      </c>
      <c r="DE46" s="3">
        <v>1.4650000000000001</v>
      </c>
      <c r="DF46" s="3">
        <v>-2.6589999999999998</v>
      </c>
      <c r="DG46" s="3">
        <v>0.30199999999999999</v>
      </c>
      <c r="DH46" s="3">
        <v>-1.363</v>
      </c>
    </row>
    <row r="47" spans="1:112" x14ac:dyDescent="0.3">
      <c r="A47" s="48" t="s">
        <v>315</v>
      </c>
      <c r="B47" s="49" t="s">
        <v>349</v>
      </c>
      <c r="C47" s="3">
        <v>48.6932817</v>
      </c>
      <c r="D47" s="3">
        <v>76.798985999999999</v>
      </c>
      <c r="E47" s="3">
        <v>38.331378600000001</v>
      </c>
      <c r="F47" s="3">
        <v>25.3811283</v>
      </c>
      <c r="G47" s="3">
        <v>25.3811283</v>
      </c>
      <c r="H47" s="3">
        <v>72.2268069</v>
      </c>
      <c r="I47" s="48" t="s">
        <v>315</v>
      </c>
      <c r="J47" s="49" t="s">
        <v>349</v>
      </c>
      <c r="K47" s="3">
        <v>47564.5</v>
      </c>
      <c r="L47" s="48" t="s">
        <v>315</v>
      </c>
      <c r="M47" s="49" t="s">
        <v>349</v>
      </c>
      <c r="N47" s="3">
        <v>13225.831550000001</v>
      </c>
      <c r="O47" s="3">
        <v>16375.490390000001</v>
      </c>
      <c r="P47" s="3">
        <v>9890.1801720000003</v>
      </c>
      <c r="Q47" s="3">
        <v>8354.0669099999996</v>
      </c>
      <c r="R47" s="3">
        <v>16078.22063</v>
      </c>
      <c r="S47" s="3">
        <v>18567.09258</v>
      </c>
      <c r="T47" s="3">
        <v>10734.29753</v>
      </c>
      <c r="U47" s="3">
        <v>17776.189610000001</v>
      </c>
      <c r="V47" s="3">
        <v>12068.351409999999</v>
      </c>
      <c r="W47" s="3">
        <v>9542.8294609999994</v>
      </c>
      <c r="X47" s="3">
        <v>13472.052729999999</v>
      </c>
      <c r="Y47" s="3">
        <v>1610.240562</v>
      </c>
      <c r="Z47" s="3">
        <v>4496.9362140000003</v>
      </c>
      <c r="AA47" s="48" t="s">
        <v>315</v>
      </c>
      <c r="AB47" s="49" t="s">
        <v>349</v>
      </c>
      <c r="AC47" s="3">
        <v>990.59539189999998</v>
      </c>
      <c r="AD47" s="3">
        <v>961.80726749999997</v>
      </c>
      <c r="AE47" s="3">
        <v>587.33427189999998</v>
      </c>
      <c r="AF47" s="3">
        <v>177.20309599999999</v>
      </c>
      <c r="AG47" s="3">
        <v>1652.551633</v>
      </c>
      <c r="AH47" s="3">
        <v>1323.106399</v>
      </c>
      <c r="AI47" s="3">
        <v>1188.638154</v>
      </c>
      <c r="AJ47" s="3">
        <v>1226.929028</v>
      </c>
      <c r="AK47" s="3">
        <v>516.09645829999999</v>
      </c>
      <c r="AL47" s="3">
        <v>763.82050289999995</v>
      </c>
      <c r="AM47" s="3">
        <v>1372.98107</v>
      </c>
      <c r="AN47" s="3">
        <v>159.2717126</v>
      </c>
      <c r="AO47" s="3">
        <v>500.17793089999998</v>
      </c>
      <c r="AP47" s="48" t="s">
        <v>315</v>
      </c>
      <c r="AQ47" s="49" t="s">
        <v>349</v>
      </c>
      <c r="AR47" s="3">
        <v>893.49330840000005</v>
      </c>
      <c r="AS47" s="3">
        <v>1358.113955</v>
      </c>
      <c r="AT47" s="3">
        <v>1021.012742</v>
      </c>
      <c r="AU47" s="3">
        <v>1043.79511</v>
      </c>
      <c r="AV47" s="3">
        <v>386.07746730000002</v>
      </c>
      <c r="AW47" s="3">
        <v>1718.3385800000001</v>
      </c>
      <c r="AX47" s="3">
        <v>914.76499590000003</v>
      </c>
      <c r="AY47" s="3">
        <v>739.72601010000005</v>
      </c>
      <c r="AZ47" s="3">
        <v>824.64577859999997</v>
      </c>
      <c r="BA47" s="3">
        <v>403.3554441</v>
      </c>
      <c r="BB47" s="3">
        <v>523.4670003</v>
      </c>
      <c r="BC47" s="3">
        <v>183.46301099999999</v>
      </c>
      <c r="BD47" s="3">
        <v>960.12630839999997</v>
      </c>
      <c r="BE47" s="48" t="s">
        <v>315</v>
      </c>
      <c r="BF47" s="49" t="s">
        <v>349</v>
      </c>
      <c r="BG47" s="3">
        <v>0</v>
      </c>
      <c r="BH47" s="3">
        <v>0.45</v>
      </c>
      <c r="BI47" s="3">
        <v>0.78749999999999998</v>
      </c>
      <c r="BJ47" s="3">
        <v>0</v>
      </c>
      <c r="BK47" s="3">
        <v>0.34200000000000003</v>
      </c>
      <c r="BL47" s="3">
        <v>0.77349999999999997</v>
      </c>
      <c r="BM47" s="3">
        <v>0</v>
      </c>
      <c r="BN47" s="3">
        <v>0.48599999999999999</v>
      </c>
      <c r="BO47" s="3">
        <v>0.78049999999999997</v>
      </c>
      <c r="BP47" s="3">
        <v>0</v>
      </c>
      <c r="BQ47" s="3">
        <v>0.45900000000000002</v>
      </c>
      <c r="BR47" s="3">
        <v>0.78633333299999997</v>
      </c>
      <c r="BS47" s="3">
        <v>0</v>
      </c>
      <c r="BT47" s="3">
        <v>0.65800000000000003</v>
      </c>
      <c r="BU47" s="3">
        <v>0.81591666699999998</v>
      </c>
      <c r="BV47" s="3">
        <v>0</v>
      </c>
      <c r="BW47" s="3">
        <v>0.59699999999999998</v>
      </c>
      <c r="BX47" s="3">
        <v>0.76500000000000001</v>
      </c>
      <c r="BY47" s="3">
        <v>0</v>
      </c>
      <c r="BZ47" s="3">
        <v>0.59699999999999998</v>
      </c>
      <c r="CA47" s="3">
        <v>0.85950000000000004</v>
      </c>
      <c r="CB47" s="3">
        <v>0</v>
      </c>
      <c r="CC47" s="3">
        <v>0.58099999999999996</v>
      </c>
      <c r="CD47" s="3">
        <v>0.84433333300000002</v>
      </c>
      <c r="CE47" s="3">
        <v>0</v>
      </c>
      <c r="CF47" s="3">
        <v>0.629</v>
      </c>
      <c r="CG47" s="3">
        <v>0.77900000000000003</v>
      </c>
      <c r="CH47" s="3">
        <v>0</v>
      </c>
      <c r="CI47" s="3">
        <v>0.72099999999999997</v>
      </c>
      <c r="CJ47" s="3">
        <v>0.82799999999999996</v>
      </c>
      <c r="CK47" s="3">
        <v>0</v>
      </c>
      <c r="CL47" s="3">
        <v>0.35799999999999998</v>
      </c>
      <c r="CM47" s="3">
        <v>0.01</v>
      </c>
      <c r="CN47" s="3">
        <v>0</v>
      </c>
      <c r="CO47" s="3">
        <v>0.71199999999999997</v>
      </c>
      <c r="CP47" s="3">
        <v>0.74533333300000004</v>
      </c>
      <c r="CQ47" s="3">
        <v>0</v>
      </c>
      <c r="CR47" s="3">
        <v>0.65800000000000003</v>
      </c>
      <c r="CS47" s="3">
        <v>0.77300000000000002</v>
      </c>
      <c r="CT47" s="48" t="s">
        <v>315</v>
      </c>
      <c r="CU47" s="49" t="s">
        <v>349</v>
      </c>
      <c r="CV47" s="3">
        <v>-2.125</v>
      </c>
      <c r="CW47" s="3">
        <v>-2.746</v>
      </c>
      <c r="CX47" s="3">
        <v>-2.202</v>
      </c>
      <c r="CY47" s="3">
        <v>-2.3820000000000001</v>
      </c>
      <c r="CZ47" s="3">
        <v>-1.698</v>
      </c>
      <c r="DA47" s="3">
        <v>3.6190000000000002</v>
      </c>
      <c r="DB47" s="3">
        <v>-2.7410000000000001</v>
      </c>
      <c r="DC47" s="3">
        <v>1.3029999999999999</v>
      </c>
      <c r="DD47" s="3">
        <v>1.391</v>
      </c>
      <c r="DE47" s="3">
        <v>1.74</v>
      </c>
      <c r="DF47" s="3">
        <v>-2.843</v>
      </c>
      <c r="DG47" s="3">
        <v>0.29899999999999999</v>
      </c>
      <c r="DH47" s="3">
        <v>-1.651</v>
      </c>
    </row>
    <row r="48" spans="1:112" x14ac:dyDescent="0.3">
      <c r="A48" s="48" t="s">
        <v>315</v>
      </c>
      <c r="B48" s="49" t="s">
        <v>350</v>
      </c>
      <c r="C48" s="3">
        <v>45.270533100000002</v>
      </c>
      <c r="D48" s="3">
        <v>75.010982999999996</v>
      </c>
      <c r="E48" s="3">
        <v>38.399493</v>
      </c>
      <c r="F48" s="3">
        <v>24.870270300000001</v>
      </c>
      <c r="G48" s="3">
        <v>24.870270300000001</v>
      </c>
      <c r="H48" s="3">
        <v>68.403886200000002</v>
      </c>
      <c r="I48" s="48" t="s">
        <v>315</v>
      </c>
      <c r="J48" s="49" t="s">
        <v>350</v>
      </c>
      <c r="K48" s="3">
        <v>43251.5</v>
      </c>
      <c r="L48" s="48" t="s">
        <v>315</v>
      </c>
      <c r="M48" s="49" t="s">
        <v>350</v>
      </c>
      <c r="N48" s="3">
        <v>12160.33591</v>
      </c>
      <c r="O48" s="3">
        <v>14600.415419999999</v>
      </c>
      <c r="P48" s="3">
        <v>8847.4307160000008</v>
      </c>
      <c r="Q48" s="3">
        <v>7394.1958809999996</v>
      </c>
      <c r="R48" s="3">
        <v>15236.346009999999</v>
      </c>
      <c r="S48" s="3">
        <v>16901.171009999998</v>
      </c>
      <c r="T48" s="3">
        <v>10033.71355</v>
      </c>
      <c r="U48" s="3">
        <v>16387.14431</v>
      </c>
      <c r="V48" s="3">
        <v>10823.977720000001</v>
      </c>
      <c r="W48" s="3">
        <v>8520.6659660000005</v>
      </c>
      <c r="X48" s="3">
        <v>12372.816639999999</v>
      </c>
      <c r="Y48" s="3">
        <v>1463.1836840000001</v>
      </c>
      <c r="Z48" s="3">
        <v>3970.8751609999999</v>
      </c>
      <c r="AA48" s="48" t="s">
        <v>315</v>
      </c>
      <c r="AB48" s="49" t="s">
        <v>350</v>
      </c>
      <c r="AC48" s="3">
        <v>903.10690999999997</v>
      </c>
      <c r="AD48" s="3">
        <v>861.94749660000002</v>
      </c>
      <c r="AE48" s="3">
        <v>526.3542109</v>
      </c>
      <c r="AF48" s="3">
        <v>158.8049604</v>
      </c>
      <c r="AG48" s="3">
        <v>1506.5997789999999</v>
      </c>
      <c r="AH48" s="3">
        <v>1185.734696</v>
      </c>
      <c r="AI48" s="3">
        <v>1065.227635</v>
      </c>
      <c r="AJ48" s="3">
        <v>1118.567775</v>
      </c>
      <c r="AK48" s="3">
        <v>470.51528960000002</v>
      </c>
      <c r="AL48" s="3">
        <v>696.36057249999999</v>
      </c>
      <c r="AM48" s="3">
        <v>1230.431122</v>
      </c>
      <c r="AN48" s="3">
        <v>142.73530529999999</v>
      </c>
      <c r="AO48" s="3">
        <v>456.00267209999998</v>
      </c>
      <c r="AP48" s="48" t="s">
        <v>315</v>
      </c>
      <c r="AQ48" s="49" t="s">
        <v>350</v>
      </c>
      <c r="AR48" s="3">
        <v>850.94600800000001</v>
      </c>
      <c r="AS48" s="3">
        <v>1292.454502</v>
      </c>
      <c r="AT48" s="3">
        <v>971.65080320000004</v>
      </c>
      <c r="AU48" s="3">
        <v>993.33173280000005</v>
      </c>
      <c r="AV48" s="3">
        <v>367.69282600000003</v>
      </c>
      <c r="AW48" s="3">
        <v>1635.2636869999999</v>
      </c>
      <c r="AX48" s="3">
        <v>870.53971620000004</v>
      </c>
      <c r="AY48" s="3">
        <v>704.50096199999996</v>
      </c>
      <c r="AZ48" s="3">
        <v>785.37693200000001</v>
      </c>
      <c r="BA48" s="3">
        <v>384.14804199999998</v>
      </c>
      <c r="BB48" s="3">
        <v>498.15943540000001</v>
      </c>
      <c r="BC48" s="3">
        <v>174.593298</v>
      </c>
      <c r="BD48" s="3">
        <v>914.40600800000004</v>
      </c>
      <c r="BE48" s="48" t="s">
        <v>315</v>
      </c>
      <c r="BF48" s="49" t="s">
        <v>350</v>
      </c>
      <c r="BG48" s="3">
        <v>0</v>
      </c>
      <c r="BH48" s="3">
        <v>0.46200000000000002</v>
      </c>
      <c r="BI48" s="3">
        <v>0.75749999999999995</v>
      </c>
      <c r="BJ48" s="3">
        <v>0</v>
      </c>
      <c r="BK48" s="3">
        <v>0.29499999999999998</v>
      </c>
      <c r="BL48" s="3">
        <v>0.76349999999999996</v>
      </c>
      <c r="BM48" s="3">
        <v>0</v>
      </c>
      <c r="BN48" s="3">
        <v>0.49199999999999999</v>
      </c>
      <c r="BO48" s="3">
        <v>0.77600000000000002</v>
      </c>
      <c r="BP48" s="3">
        <v>0</v>
      </c>
      <c r="BQ48" s="3">
        <v>0.45300000000000001</v>
      </c>
      <c r="BR48" s="3">
        <v>0.77666666699999998</v>
      </c>
      <c r="BS48" s="3">
        <v>0</v>
      </c>
      <c r="BT48" s="3">
        <v>0.59599999999999997</v>
      </c>
      <c r="BU48" s="3">
        <v>0.79341666700000002</v>
      </c>
      <c r="BV48" s="3">
        <v>0</v>
      </c>
      <c r="BW48" s="3">
        <v>0.56599999999999995</v>
      </c>
      <c r="BX48" s="3">
        <v>0.75600000000000001</v>
      </c>
      <c r="BY48" s="3">
        <v>0</v>
      </c>
      <c r="BZ48" s="3">
        <v>0.56599999999999995</v>
      </c>
      <c r="CA48" s="3">
        <v>0.82399999999999995</v>
      </c>
      <c r="CB48" s="3">
        <v>0</v>
      </c>
      <c r="CC48" s="3">
        <v>0.54200000000000004</v>
      </c>
      <c r="CD48" s="3">
        <v>0.82933333300000001</v>
      </c>
      <c r="CE48" s="3">
        <v>0</v>
      </c>
      <c r="CF48" s="3">
        <v>0.60199999999999998</v>
      </c>
      <c r="CG48" s="3">
        <v>0.78249999999999997</v>
      </c>
      <c r="CH48" s="3">
        <v>0</v>
      </c>
      <c r="CI48" s="3">
        <v>0.71</v>
      </c>
      <c r="CJ48" s="3">
        <v>0.78733333299999997</v>
      </c>
      <c r="CK48" s="3">
        <v>0</v>
      </c>
      <c r="CL48" s="3">
        <v>0.36099999999999999</v>
      </c>
      <c r="CM48" s="3">
        <v>0.01</v>
      </c>
      <c r="CN48" s="3">
        <v>0</v>
      </c>
      <c r="CO48" s="3">
        <v>0.7</v>
      </c>
      <c r="CP48" s="3">
        <v>0.70799999999999996</v>
      </c>
      <c r="CQ48" s="3">
        <v>0</v>
      </c>
      <c r="CR48" s="3">
        <v>0.65</v>
      </c>
      <c r="CS48" s="3">
        <v>0.76100000000000001</v>
      </c>
      <c r="CT48" s="48" t="s">
        <v>315</v>
      </c>
      <c r="CU48" s="49" t="s">
        <v>350</v>
      </c>
      <c r="CV48" s="3">
        <v>-1.9350000000000001</v>
      </c>
      <c r="CW48" s="3">
        <v>-2.6640000000000001</v>
      </c>
      <c r="CX48" s="3">
        <v>-2.2530000000000001</v>
      </c>
      <c r="CY48" s="3">
        <v>-2.4750000000000001</v>
      </c>
      <c r="CZ48" s="3">
        <v>-1.6339999999999999</v>
      </c>
      <c r="DA48" s="3">
        <v>3.8519999999999999</v>
      </c>
      <c r="DB48" s="3">
        <v>-2.911</v>
      </c>
      <c r="DC48" s="3">
        <v>1.167</v>
      </c>
      <c r="DD48" s="3">
        <v>1.2569999999999999</v>
      </c>
      <c r="DE48" s="3">
        <v>2.004</v>
      </c>
      <c r="DF48" s="3">
        <v>-2.839</v>
      </c>
      <c r="DG48" s="3">
        <v>0.52100000000000002</v>
      </c>
      <c r="DH48" s="3">
        <v>-1.7769999999999999</v>
      </c>
    </row>
    <row r="49" spans="1:112" x14ac:dyDescent="0.3">
      <c r="A49" s="48" t="s">
        <v>315</v>
      </c>
      <c r="B49" s="49" t="s">
        <v>351</v>
      </c>
      <c r="C49" s="3">
        <v>36.049546200000002</v>
      </c>
      <c r="D49" s="3">
        <v>71.222119500000005</v>
      </c>
      <c r="E49" s="3">
        <v>33.078055499999998</v>
      </c>
      <c r="F49" s="3">
        <v>24.546726899999999</v>
      </c>
      <c r="G49" s="3">
        <v>24.546726899999999</v>
      </c>
      <c r="H49" s="3">
        <v>67.705713599999996</v>
      </c>
      <c r="I49" s="48" t="s">
        <v>315</v>
      </c>
      <c r="J49" s="49" t="s">
        <v>351</v>
      </c>
      <c r="K49" s="3">
        <v>38420.5</v>
      </c>
      <c r="L49" s="48" t="s">
        <v>315</v>
      </c>
      <c r="M49" s="49" t="s">
        <v>351</v>
      </c>
      <c r="N49" s="3">
        <v>10283.673339999999</v>
      </c>
      <c r="O49" s="3">
        <v>12087.0398</v>
      </c>
      <c r="P49" s="3">
        <v>7246.4393229999996</v>
      </c>
      <c r="Q49" s="3">
        <v>5958.4530119999999</v>
      </c>
      <c r="R49" s="3">
        <v>13479.913280000001</v>
      </c>
      <c r="S49" s="3">
        <v>13856.65041</v>
      </c>
      <c r="T49" s="3">
        <v>8474.9182899999996</v>
      </c>
      <c r="U49" s="3">
        <v>13968.91928</v>
      </c>
      <c r="V49" s="3">
        <v>8969.7671559999999</v>
      </c>
      <c r="W49" s="3">
        <v>6812.7421420000001</v>
      </c>
      <c r="X49" s="3">
        <v>10295.29408</v>
      </c>
      <c r="Y49" s="3">
        <v>1146.1696710000001</v>
      </c>
      <c r="Z49" s="3">
        <v>3237.896561</v>
      </c>
      <c r="AA49" s="48" t="s">
        <v>315</v>
      </c>
      <c r="AB49" s="49" t="s">
        <v>351</v>
      </c>
      <c r="AC49" s="3">
        <v>784.57412810000005</v>
      </c>
      <c r="AD49" s="3">
        <v>793.62239009999996</v>
      </c>
      <c r="AE49" s="3">
        <v>484.63101119999999</v>
      </c>
      <c r="AF49" s="3">
        <v>146.2167623</v>
      </c>
      <c r="AG49" s="3">
        <v>1308.8585579999999</v>
      </c>
      <c r="AH49" s="3">
        <v>1091.7435310000001</v>
      </c>
      <c r="AI49" s="3">
        <v>980.788859</v>
      </c>
      <c r="AJ49" s="3">
        <v>971.75575460000005</v>
      </c>
      <c r="AK49" s="3">
        <v>408.7601578</v>
      </c>
      <c r="AL49" s="3">
        <v>604.96324730000003</v>
      </c>
      <c r="AM49" s="3">
        <v>1132.8969480000001</v>
      </c>
      <c r="AN49" s="3">
        <v>131.4209214</v>
      </c>
      <c r="AO49" s="3">
        <v>396.15232140000001</v>
      </c>
      <c r="AP49" s="48" t="s">
        <v>315</v>
      </c>
      <c r="AQ49" s="49" t="s">
        <v>351</v>
      </c>
      <c r="AR49" s="3">
        <v>745.69742280000003</v>
      </c>
      <c r="AS49" s="3">
        <v>1181.8701590000001</v>
      </c>
      <c r="AT49" s="3">
        <v>888.51490560000002</v>
      </c>
      <c r="AU49" s="3">
        <v>908.34078239999997</v>
      </c>
      <c r="AV49" s="3">
        <v>322.21502909999998</v>
      </c>
      <c r="AW49" s="3">
        <v>1495.348078</v>
      </c>
      <c r="AX49" s="3">
        <v>796.0550346</v>
      </c>
      <c r="AY49" s="3">
        <v>617.36531669999999</v>
      </c>
      <c r="AZ49" s="3">
        <v>688.23820620000004</v>
      </c>
      <c r="BA49" s="3">
        <v>336.63499469999999</v>
      </c>
      <c r="BB49" s="3">
        <v>455.53616820000002</v>
      </c>
      <c r="BC49" s="3">
        <v>159.65483399999999</v>
      </c>
      <c r="BD49" s="3">
        <v>801.30842280000002</v>
      </c>
      <c r="BE49" s="48" t="s">
        <v>315</v>
      </c>
      <c r="BF49" s="49" t="s">
        <v>351</v>
      </c>
      <c r="BG49" s="3">
        <v>0</v>
      </c>
      <c r="BH49" s="3">
        <v>0.44</v>
      </c>
      <c r="BI49" s="3">
        <v>0.747</v>
      </c>
      <c r="BJ49" s="3">
        <v>0</v>
      </c>
      <c r="BK49" s="3">
        <v>0.26100000000000001</v>
      </c>
      <c r="BL49" s="3">
        <v>0.76900000000000002</v>
      </c>
      <c r="BM49" s="3">
        <v>0</v>
      </c>
      <c r="BN49" s="3">
        <v>0.439</v>
      </c>
      <c r="BO49" s="3">
        <v>0.77249999999999996</v>
      </c>
      <c r="BP49" s="3">
        <v>0</v>
      </c>
      <c r="BQ49" s="3">
        <v>0.433</v>
      </c>
      <c r="BR49" s="3">
        <v>0.747</v>
      </c>
      <c r="BS49" s="3">
        <v>0</v>
      </c>
      <c r="BT49" s="3">
        <v>0.53</v>
      </c>
      <c r="BU49" s="3">
        <v>0.78149999999999997</v>
      </c>
      <c r="BV49" s="3">
        <v>0</v>
      </c>
      <c r="BW49" s="3">
        <v>0.53300000000000003</v>
      </c>
      <c r="BX49" s="3">
        <v>0.72799999999999998</v>
      </c>
      <c r="BY49" s="3">
        <v>0</v>
      </c>
      <c r="BZ49" s="3">
        <v>0.53300000000000003</v>
      </c>
      <c r="CA49" s="3">
        <v>0.76849999999999996</v>
      </c>
      <c r="CB49" s="3">
        <v>0</v>
      </c>
      <c r="CC49" s="3">
        <v>0.52</v>
      </c>
      <c r="CD49" s="3">
        <v>0.81599999999999995</v>
      </c>
      <c r="CE49" s="3">
        <v>0</v>
      </c>
      <c r="CF49" s="3">
        <v>0.58799999999999997</v>
      </c>
      <c r="CG49" s="3">
        <v>0.76849999999999996</v>
      </c>
      <c r="CH49" s="3">
        <v>0</v>
      </c>
      <c r="CI49" s="3">
        <v>0.70499999999999996</v>
      </c>
      <c r="CJ49" s="3">
        <v>0.73966666700000006</v>
      </c>
      <c r="CK49" s="3">
        <v>0</v>
      </c>
      <c r="CL49" s="3">
        <v>0.36499999999999999</v>
      </c>
      <c r="CM49" s="3">
        <v>0.01</v>
      </c>
      <c r="CN49" s="3">
        <v>0</v>
      </c>
      <c r="CO49" s="3">
        <v>0.67400000000000004</v>
      </c>
      <c r="CP49" s="3">
        <v>0.67833333299999998</v>
      </c>
      <c r="CQ49" s="3">
        <v>0</v>
      </c>
      <c r="CR49" s="3">
        <v>0.63400000000000001</v>
      </c>
      <c r="CS49" s="3">
        <v>0.72399999999999998</v>
      </c>
      <c r="CT49" s="48" t="s">
        <v>315</v>
      </c>
      <c r="CU49" s="49" t="s">
        <v>351</v>
      </c>
      <c r="CV49" s="3">
        <v>-1.867</v>
      </c>
      <c r="CW49" s="3">
        <v>-2.5350000000000001</v>
      </c>
      <c r="CX49" s="3">
        <v>-2.1669999999999998</v>
      </c>
      <c r="CY49" s="3">
        <v>-2.4609999999999999</v>
      </c>
      <c r="CZ49" s="3">
        <v>-1.6870000000000001</v>
      </c>
      <c r="DA49" s="3">
        <v>4.0590000000000002</v>
      </c>
      <c r="DB49" s="3">
        <v>-3.0110000000000001</v>
      </c>
      <c r="DC49" s="3">
        <v>1.0529999999999999</v>
      </c>
      <c r="DD49" s="3">
        <v>1.2430000000000001</v>
      </c>
      <c r="DE49" s="3">
        <v>2.1840000000000002</v>
      </c>
      <c r="DF49" s="3">
        <v>-2.6720000000000002</v>
      </c>
      <c r="DG49" s="3">
        <v>0.74</v>
      </c>
      <c r="DH49" s="3">
        <v>-1.8939999999999999</v>
      </c>
    </row>
    <row r="50" spans="1:112" x14ac:dyDescent="0.3">
      <c r="A50" s="48" t="s">
        <v>315</v>
      </c>
      <c r="B50" s="49" t="s">
        <v>352</v>
      </c>
      <c r="C50" s="3">
        <v>35.4876024</v>
      </c>
      <c r="D50" s="3">
        <v>67.203369899999998</v>
      </c>
      <c r="E50" s="3">
        <v>33.307941599999999</v>
      </c>
      <c r="F50" s="3">
        <v>24.282783599999998</v>
      </c>
      <c r="G50" s="3">
        <v>24.282783599999998</v>
      </c>
      <c r="H50" s="3">
        <v>63.00582</v>
      </c>
      <c r="I50" s="48" t="s">
        <v>315</v>
      </c>
      <c r="J50" s="49" t="s">
        <v>352</v>
      </c>
      <c r="K50" s="3">
        <v>34986</v>
      </c>
      <c r="L50" s="48" t="s">
        <v>315</v>
      </c>
      <c r="M50" s="49" t="s">
        <v>352</v>
      </c>
      <c r="N50" s="3">
        <v>5863.8737799999999</v>
      </c>
      <c r="O50" s="3">
        <v>6866.6073749999996</v>
      </c>
      <c r="P50" s="3">
        <v>4101.0938489999999</v>
      </c>
      <c r="Q50" s="3">
        <v>3510.2346980000002</v>
      </c>
      <c r="R50" s="3">
        <v>8193.0161559999997</v>
      </c>
      <c r="S50" s="3">
        <v>7950.7972529999997</v>
      </c>
      <c r="T50" s="3">
        <v>5033.7080859999996</v>
      </c>
      <c r="U50" s="3">
        <v>7752.648596</v>
      </c>
      <c r="V50" s="3">
        <v>4981.906422</v>
      </c>
      <c r="W50" s="3">
        <v>3568.2508790000002</v>
      </c>
      <c r="X50" s="3">
        <v>5879.0046609999999</v>
      </c>
      <c r="Y50" s="3">
        <v>643.07980810000004</v>
      </c>
      <c r="Z50" s="3">
        <v>2200.8988939999999</v>
      </c>
      <c r="AA50" s="48" t="s">
        <v>315</v>
      </c>
      <c r="AB50" s="49" t="s">
        <v>352</v>
      </c>
      <c r="AC50" s="3">
        <v>812.79621899999995</v>
      </c>
      <c r="AD50" s="3">
        <v>825.15705460000004</v>
      </c>
      <c r="AE50" s="3">
        <v>503.88787259999998</v>
      </c>
      <c r="AF50" s="3">
        <v>152.02669990000001</v>
      </c>
      <c r="AG50" s="3">
        <v>1355.939801</v>
      </c>
      <c r="AH50" s="3">
        <v>1135.124069</v>
      </c>
      <c r="AI50" s="3">
        <v>1019.7606019999999</v>
      </c>
      <c r="AJ50" s="3">
        <v>1006.710998</v>
      </c>
      <c r="AK50" s="3">
        <v>423.4637606</v>
      </c>
      <c r="AL50" s="3">
        <v>626.72451520000004</v>
      </c>
      <c r="AM50" s="3">
        <v>1177.9127209999999</v>
      </c>
      <c r="AN50" s="3">
        <v>136.64294469999999</v>
      </c>
      <c r="AO50" s="3">
        <v>410.40240490000002</v>
      </c>
      <c r="AP50" s="48" t="s">
        <v>315</v>
      </c>
      <c r="AQ50" s="49" t="s">
        <v>352</v>
      </c>
      <c r="AR50" s="3">
        <v>676.27814320000004</v>
      </c>
      <c r="AS50" s="3">
        <v>1071.285817</v>
      </c>
      <c r="AT50" s="3">
        <v>805.379008</v>
      </c>
      <c r="AU50" s="3">
        <v>823.34983199999999</v>
      </c>
      <c r="AV50" s="3">
        <v>292.2190354</v>
      </c>
      <c r="AW50" s="3">
        <v>1355.432468</v>
      </c>
      <c r="AX50" s="3">
        <v>721.57035299999995</v>
      </c>
      <c r="AY50" s="3">
        <v>559.89286979999997</v>
      </c>
      <c r="AZ50" s="3">
        <v>624.1679828</v>
      </c>
      <c r="BA50" s="3">
        <v>305.29660180000002</v>
      </c>
      <c r="BB50" s="3">
        <v>412.91290099999998</v>
      </c>
      <c r="BC50" s="3">
        <v>144.71637000000001</v>
      </c>
      <c r="BD50" s="3">
        <v>726.71214320000001</v>
      </c>
      <c r="BE50" s="48" t="s">
        <v>315</v>
      </c>
      <c r="BF50" s="49" t="s">
        <v>352</v>
      </c>
      <c r="BG50" s="3">
        <v>0</v>
      </c>
      <c r="BH50" s="3">
        <v>0.42799999999999999</v>
      </c>
      <c r="BI50" s="3">
        <v>0.72150000000000003</v>
      </c>
      <c r="BJ50" s="3">
        <v>0</v>
      </c>
      <c r="BK50" s="3">
        <v>0.26100000000000001</v>
      </c>
      <c r="BL50" s="3">
        <v>0.746</v>
      </c>
      <c r="BM50" s="3">
        <v>0</v>
      </c>
      <c r="BN50" s="3">
        <v>0.35499999999999998</v>
      </c>
      <c r="BO50" s="3">
        <v>0.748</v>
      </c>
      <c r="BP50" s="3">
        <v>0</v>
      </c>
      <c r="BQ50" s="3">
        <v>0.42199999999999999</v>
      </c>
      <c r="BR50" s="3">
        <v>0.71399999999999997</v>
      </c>
      <c r="BS50" s="3">
        <v>0</v>
      </c>
      <c r="BT50" s="3">
        <v>0.48299999999999998</v>
      </c>
      <c r="BU50" s="3">
        <v>0.760583334</v>
      </c>
      <c r="BV50" s="3">
        <v>0</v>
      </c>
      <c r="BW50" s="3">
        <v>0.52900000000000003</v>
      </c>
      <c r="BX50" s="3">
        <v>0.69899999999999995</v>
      </c>
      <c r="BY50" s="3">
        <v>0</v>
      </c>
      <c r="BZ50" s="3">
        <v>0.52900000000000003</v>
      </c>
      <c r="CA50" s="3">
        <v>0.76649999999999996</v>
      </c>
      <c r="CB50" s="3">
        <v>0</v>
      </c>
      <c r="CC50" s="3">
        <v>0.502</v>
      </c>
      <c r="CD50" s="3">
        <v>0.799666667</v>
      </c>
      <c r="CE50" s="3">
        <v>0</v>
      </c>
      <c r="CF50" s="3">
        <v>0.56399999999999995</v>
      </c>
      <c r="CG50" s="3">
        <v>0.73399999999999999</v>
      </c>
      <c r="CH50" s="3">
        <v>0</v>
      </c>
      <c r="CI50" s="3">
        <v>0.68899999999999995</v>
      </c>
      <c r="CJ50" s="3">
        <v>0.66500000000000004</v>
      </c>
      <c r="CK50" s="3">
        <v>0</v>
      </c>
      <c r="CL50" s="3">
        <v>0.34899999999999998</v>
      </c>
      <c r="CM50" s="3">
        <v>0.01</v>
      </c>
      <c r="CN50" s="3">
        <v>0</v>
      </c>
      <c r="CO50" s="3">
        <v>0.66100000000000003</v>
      </c>
      <c r="CP50" s="3">
        <v>0.66333333299999997</v>
      </c>
      <c r="CQ50" s="3">
        <v>0</v>
      </c>
      <c r="CR50" s="3">
        <v>0.62</v>
      </c>
      <c r="CS50" s="3">
        <v>0.69599999999999995</v>
      </c>
      <c r="CT50" s="48" t="s">
        <v>315</v>
      </c>
      <c r="CU50" s="49" t="s">
        <v>352</v>
      </c>
      <c r="CV50" s="3">
        <v>-1.8029999999999999</v>
      </c>
      <c r="CW50" s="3">
        <v>-2.294</v>
      </c>
      <c r="CX50" s="3">
        <v>-2.1339999999999999</v>
      </c>
      <c r="CY50" s="3">
        <v>-2.5259999999999998</v>
      </c>
      <c r="CZ50" s="3">
        <v>-1.6870000000000001</v>
      </c>
      <c r="DA50" s="3">
        <v>4.1970000000000001</v>
      </c>
      <c r="DB50" s="3">
        <v>-3.028</v>
      </c>
      <c r="DC50" s="3">
        <v>0.98799999999999999</v>
      </c>
      <c r="DD50" s="3">
        <v>1.2290000000000001</v>
      </c>
      <c r="DE50" s="3">
        <v>2.2639999999999998</v>
      </c>
      <c r="DF50" s="3">
        <v>-2.5270000000000001</v>
      </c>
      <c r="DG50" s="3">
        <v>0.94299999999999995</v>
      </c>
      <c r="DH50" s="3">
        <v>-1.881</v>
      </c>
    </row>
    <row r="51" spans="1:112" x14ac:dyDescent="0.3">
      <c r="A51" s="48" t="s">
        <v>316</v>
      </c>
      <c r="B51" s="49" t="s">
        <v>329</v>
      </c>
      <c r="C51" s="3">
        <v>40.361021399999998</v>
      </c>
      <c r="D51" s="3">
        <v>41.780445700000001</v>
      </c>
      <c r="E51" s="3">
        <v>30.239909000000001</v>
      </c>
      <c r="F51" s="3">
        <v>23.142787500000001</v>
      </c>
      <c r="G51" s="3">
        <v>7.7583440000000001</v>
      </c>
      <c r="H51" s="3">
        <v>32.540963300000001</v>
      </c>
      <c r="I51" s="48" t="s">
        <v>316</v>
      </c>
      <c r="J51" s="49" t="s">
        <v>329</v>
      </c>
      <c r="K51" s="3">
        <v>31259.5</v>
      </c>
      <c r="L51" s="48" t="s">
        <v>316</v>
      </c>
      <c r="M51" s="49" t="s">
        <v>329</v>
      </c>
      <c r="N51" s="3">
        <v>2674.4995629999999</v>
      </c>
      <c r="O51" s="3">
        <v>3227.650596</v>
      </c>
      <c r="P51" s="3">
        <v>2043.070618</v>
      </c>
      <c r="Q51" s="3">
        <v>2131.602809</v>
      </c>
      <c r="R51" s="3">
        <v>3933.1685809999999</v>
      </c>
      <c r="S51" s="3">
        <v>3621.6477030000001</v>
      </c>
      <c r="T51" s="3">
        <v>3209.0244349999998</v>
      </c>
      <c r="U51" s="3">
        <v>3123.4370669999998</v>
      </c>
      <c r="V51" s="3">
        <v>2132.73459</v>
      </c>
      <c r="W51" s="3">
        <v>865.18768780000005</v>
      </c>
      <c r="X51" s="3">
        <v>2408.2748820000002</v>
      </c>
      <c r="Y51" s="3">
        <v>185.96861430000001</v>
      </c>
      <c r="Z51" s="3">
        <v>417.93258550000002</v>
      </c>
      <c r="AA51" s="48" t="s">
        <v>316</v>
      </c>
      <c r="AB51" s="49" t="s">
        <v>329</v>
      </c>
      <c r="AC51" s="3">
        <v>973.05375549999997</v>
      </c>
      <c r="AD51" s="3">
        <v>961.06678629999999</v>
      </c>
      <c r="AE51" s="3">
        <v>681.62254959999996</v>
      </c>
      <c r="AF51" s="3">
        <v>218.4867308</v>
      </c>
      <c r="AG51" s="3">
        <v>1592.74641</v>
      </c>
      <c r="AH51" s="3">
        <v>1293.450188</v>
      </c>
      <c r="AI51" s="3">
        <v>1605.845069</v>
      </c>
      <c r="AJ51" s="3">
        <v>1147.1057840000001</v>
      </c>
      <c r="AK51" s="3">
        <v>465.06876199999999</v>
      </c>
      <c r="AL51" s="3">
        <v>692.71787930000005</v>
      </c>
      <c r="AM51" s="3">
        <v>1271.729523</v>
      </c>
      <c r="AN51" s="3">
        <v>157.48337570000001</v>
      </c>
      <c r="AO51" s="3">
        <v>480.63006660000002</v>
      </c>
      <c r="AP51" s="48" t="s">
        <v>316</v>
      </c>
      <c r="AQ51" s="49" t="s">
        <v>329</v>
      </c>
      <c r="AR51" s="3">
        <v>645.6354</v>
      </c>
      <c r="AS51" s="3">
        <v>875.33451000000002</v>
      </c>
      <c r="AT51" s="3">
        <v>821.23207520000005</v>
      </c>
      <c r="AU51" s="3">
        <v>791.75906239999995</v>
      </c>
      <c r="AV51" s="3">
        <v>207.86474999999999</v>
      </c>
      <c r="AW51" s="3">
        <v>1138.9521</v>
      </c>
      <c r="AX51" s="3">
        <v>723.07500479999999</v>
      </c>
      <c r="AY51" s="3">
        <v>850.17537000000004</v>
      </c>
      <c r="AZ51" s="3">
        <v>484.76519999999999</v>
      </c>
      <c r="BA51" s="3">
        <v>254.58083999999999</v>
      </c>
      <c r="BB51" s="3">
        <v>429.98181</v>
      </c>
      <c r="BC51" s="3">
        <v>118.05492</v>
      </c>
      <c r="BD51" s="3">
        <v>579.72461999999996</v>
      </c>
      <c r="BE51" s="48" t="s">
        <v>316</v>
      </c>
      <c r="BF51" s="49" t="s">
        <v>329</v>
      </c>
      <c r="BG51" s="3">
        <v>0</v>
      </c>
      <c r="BH51" s="3">
        <v>0.76400000000000001</v>
      </c>
      <c r="BI51" s="3">
        <v>0.50649999999999995</v>
      </c>
      <c r="BJ51" s="3">
        <v>0</v>
      </c>
      <c r="BK51" s="3">
        <v>0.752</v>
      </c>
      <c r="BL51" s="3">
        <v>0.39850000000000002</v>
      </c>
      <c r="BM51" s="3">
        <v>0</v>
      </c>
      <c r="BN51" s="3">
        <v>0.57199999999999995</v>
      </c>
      <c r="BO51" s="3">
        <v>0.36399999999999999</v>
      </c>
      <c r="BP51" s="3">
        <v>0</v>
      </c>
      <c r="BQ51" s="3">
        <v>0.92900000000000005</v>
      </c>
      <c r="BR51" s="3">
        <v>0.53833333299999997</v>
      </c>
      <c r="BS51" s="3">
        <v>0</v>
      </c>
      <c r="BT51" s="3">
        <v>0.96199999999999997</v>
      </c>
      <c r="BU51" s="3">
        <v>0.55974999999999997</v>
      </c>
      <c r="BV51" s="3">
        <v>0</v>
      </c>
      <c r="BW51" s="3">
        <v>0.63800000000000001</v>
      </c>
      <c r="BX51" s="3">
        <v>0.505</v>
      </c>
      <c r="BY51" s="3">
        <v>0</v>
      </c>
      <c r="BZ51" s="3">
        <v>0.63800000000000001</v>
      </c>
      <c r="CA51" s="3">
        <v>8.4000000000000005E-2</v>
      </c>
      <c r="CB51" s="3">
        <v>0</v>
      </c>
      <c r="CC51" s="3">
        <v>0.99099999999999999</v>
      </c>
      <c r="CD51" s="3">
        <v>0.61299999999999999</v>
      </c>
      <c r="CE51" s="3">
        <v>0</v>
      </c>
      <c r="CF51" s="3">
        <v>0.97599999999999998</v>
      </c>
      <c r="CG51" s="3">
        <v>0.6925</v>
      </c>
      <c r="CH51" s="3">
        <v>0</v>
      </c>
      <c r="CI51" s="3">
        <v>0.96499999999999997</v>
      </c>
      <c r="CJ51" s="3">
        <v>0.91933333299999997</v>
      </c>
      <c r="CK51" s="3">
        <v>0</v>
      </c>
      <c r="CL51" s="3">
        <v>0.77800000000000002</v>
      </c>
      <c r="CM51" s="3">
        <v>0.01</v>
      </c>
      <c r="CN51" s="3">
        <v>0</v>
      </c>
      <c r="CO51" s="3">
        <v>0.96799999999999997</v>
      </c>
      <c r="CP51" s="3">
        <v>0.67933333299999998</v>
      </c>
      <c r="CQ51" s="3">
        <v>0</v>
      </c>
      <c r="CR51" s="3">
        <v>0.88600000000000001</v>
      </c>
      <c r="CS51" s="3">
        <v>0.77100000000000002</v>
      </c>
      <c r="CT51" s="48" t="s">
        <v>316</v>
      </c>
      <c r="CU51" s="49" t="s">
        <v>329</v>
      </c>
      <c r="CV51" s="3">
        <v>1.736</v>
      </c>
      <c r="CW51" s="3">
        <v>1.7170000000000001</v>
      </c>
      <c r="CX51" s="3">
        <v>1.7869999999999999</v>
      </c>
      <c r="CY51" s="3">
        <v>1.0409999999999999</v>
      </c>
      <c r="CZ51" s="3">
        <v>1.7</v>
      </c>
      <c r="DA51" s="3">
        <v>5.9240000000000004</v>
      </c>
      <c r="DB51" s="3">
        <v>0.39100000000000001</v>
      </c>
      <c r="DC51" s="3">
        <v>4.0999999999999996</v>
      </c>
      <c r="DD51" s="3">
        <v>3.8010000000000002</v>
      </c>
      <c r="DE51" s="3">
        <v>5.2240000000000002</v>
      </c>
      <c r="DF51" s="3">
        <v>1.5609999999999999</v>
      </c>
      <c r="DG51" s="3">
        <v>4.6760000000000002</v>
      </c>
      <c r="DH51" s="3">
        <v>2.82</v>
      </c>
    </row>
    <row r="52" spans="1:112" x14ac:dyDescent="0.3">
      <c r="A52" s="48" t="s">
        <v>316</v>
      </c>
      <c r="B52" s="49" t="s">
        <v>330</v>
      </c>
      <c r="C52" s="3">
        <v>40.361021399999998</v>
      </c>
      <c r="D52" s="3">
        <v>36.437767899999997</v>
      </c>
      <c r="E52" s="3">
        <v>23.892173</v>
      </c>
      <c r="F52" s="3">
        <v>23.028175600000001</v>
      </c>
      <c r="G52" s="3">
        <v>7.7936091999999997</v>
      </c>
      <c r="H52" s="3">
        <v>27.630284199999998</v>
      </c>
      <c r="I52" s="48" t="s">
        <v>316</v>
      </c>
      <c r="J52" s="49" t="s">
        <v>330</v>
      </c>
      <c r="K52" s="3">
        <v>31176</v>
      </c>
      <c r="L52" s="48" t="s">
        <v>316</v>
      </c>
      <c r="M52" s="49" t="s">
        <v>330</v>
      </c>
      <c r="N52" s="3">
        <v>1991.937218</v>
      </c>
      <c r="O52" s="3">
        <v>2538.2152249999999</v>
      </c>
      <c r="P52" s="3">
        <v>1657.5584229999999</v>
      </c>
      <c r="Q52" s="3">
        <v>1759.887023</v>
      </c>
      <c r="R52" s="3">
        <v>2762.1964419999999</v>
      </c>
      <c r="S52" s="3">
        <v>2590.1901640000001</v>
      </c>
      <c r="T52" s="3">
        <v>2418.7687390000001</v>
      </c>
      <c r="U52" s="3">
        <v>2335.5633389999998</v>
      </c>
      <c r="V52" s="3">
        <v>1684.9785429999999</v>
      </c>
      <c r="W52" s="3">
        <v>923.60162700000001</v>
      </c>
      <c r="X52" s="3">
        <v>1632.4821870000001</v>
      </c>
      <c r="Y52" s="3">
        <v>205.7971058</v>
      </c>
      <c r="Z52" s="3">
        <v>433.49545840000002</v>
      </c>
      <c r="AA52" s="48" t="s">
        <v>316</v>
      </c>
      <c r="AB52" s="49" t="s">
        <v>330</v>
      </c>
      <c r="AC52" s="3">
        <v>1059.695528</v>
      </c>
      <c r="AD52" s="3">
        <v>1046.641226</v>
      </c>
      <c r="AE52" s="3">
        <v>687.83795280000004</v>
      </c>
      <c r="AF52" s="3">
        <v>220.47901110000001</v>
      </c>
      <c r="AG52" s="3">
        <v>1734.5662950000001</v>
      </c>
      <c r="AH52" s="3">
        <v>1408.62041</v>
      </c>
      <c r="AI52" s="3">
        <v>1620.4880330000001</v>
      </c>
      <c r="AJ52" s="3">
        <v>1249.2453399999999</v>
      </c>
      <c r="AK52" s="3">
        <v>506.47899419999999</v>
      </c>
      <c r="AL52" s="3">
        <v>754.39823850000005</v>
      </c>
      <c r="AM52" s="3">
        <v>1384.9657130000001</v>
      </c>
      <c r="AN52" s="3">
        <v>171.50586799999999</v>
      </c>
      <c r="AO52" s="3">
        <v>523.42589450000003</v>
      </c>
      <c r="AP52" s="48" t="s">
        <v>316</v>
      </c>
      <c r="AQ52" s="49" t="s">
        <v>330</v>
      </c>
      <c r="AR52" s="3">
        <v>671.46081600000002</v>
      </c>
      <c r="AS52" s="3">
        <v>910.34789039999998</v>
      </c>
      <c r="AT52" s="3">
        <v>859.05197339999995</v>
      </c>
      <c r="AU52" s="3">
        <v>828.22165080000002</v>
      </c>
      <c r="AV52" s="3">
        <v>216.17934</v>
      </c>
      <c r="AW52" s="3">
        <v>1184.510184</v>
      </c>
      <c r="AX52" s="3">
        <v>756.37451160000001</v>
      </c>
      <c r="AY52" s="3">
        <v>884.18238480000002</v>
      </c>
      <c r="AZ52" s="3">
        <v>504.15580799999998</v>
      </c>
      <c r="BA52" s="3">
        <v>264.76407360000002</v>
      </c>
      <c r="BB52" s="3">
        <v>447.18108239999998</v>
      </c>
      <c r="BC52" s="3">
        <v>122.7771168</v>
      </c>
      <c r="BD52" s="3">
        <v>602.91360480000003</v>
      </c>
      <c r="BE52" s="48" t="s">
        <v>316</v>
      </c>
      <c r="BF52" s="49" t="s">
        <v>330</v>
      </c>
      <c r="BG52" s="3">
        <v>0</v>
      </c>
      <c r="BH52" s="3">
        <v>0.85099999999999998</v>
      </c>
      <c r="BI52" s="3">
        <v>0.50049999999999994</v>
      </c>
      <c r="BJ52" s="3">
        <v>0</v>
      </c>
      <c r="BK52" s="3">
        <v>0.76900000000000002</v>
      </c>
      <c r="BL52" s="3">
        <v>0.42649999999999999</v>
      </c>
      <c r="BM52" s="3">
        <v>0</v>
      </c>
      <c r="BN52" s="3">
        <v>0.59899999999999998</v>
      </c>
      <c r="BO52" s="3">
        <v>0.29899999999999999</v>
      </c>
      <c r="BP52" s="3">
        <v>0</v>
      </c>
      <c r="BQ52" s="3">
        <v>0.91200000000000003</v>
      </c>
      <c r="BR52" s="3">
        <v>0.52266666699999997</v>
      </c>
      <c r="BS52" s="3">
        <v>0</v>
      </c>
      <c r="BT52" s="3">
        <v>0.94899999999999995</v>
      </c>
      <c r="BU52" s="3">
        <v>0.56291666699999998</v>
      </c>
      <c r="BV52" s="3">
        <v>0</v>
      </c>
      <c r="BW52" s="3">
        <v>0.60699999999999998</v>
      </c>
      <c r="BX52" s="3">
        <v>0.498</v>
      </c>
      <c r="BY52" s="3">
        <v>0</v>
      </c>
      <c r="BZ52" s="3">
        <v>0.60699999999999998</v>
      </c>
      <c r="CA52" s="3">
        <v>6.25E-2</v>
      </c>
      <c r="CB52" s="3">
        <v>0</v>
      </c>
      <c r="CC52" s="3">
        <v>0.97899999999999998</v>
      </c>
      <c r="CD52" s="3">
        <v>0.62533333300000005</v>
      </c>
      <c r="CE52" s="3">
        <v>0</v>
      </c>
      <c r="CF52" s="3">
        <v>0.96199999999999997</v>
      </c>
      <c r="CG52" s="3">
        <v>0.6925</v>
      </c>
      <c r="CH52" s="3">
        <v>0</v>
      </c>
      <c r="CI52" s="3">
        <v>0.95399999999999996</v>
      </c>
      <c r="CJ52" s="3">
        <v>0.93333333299999999</v>
      </c>
      <c r="CK52" s="3">
        <v>0</v>
      </c>
      <c r="CL52" s="3">
        <v>0.76200000000000001</v>
      </c>
      <c r="CM52" s="3">
        <v>0.01</v>
      </c>
      <c r="CN52" s="3">
        <v>0</v>
      </c>
      <c r="CO52" s="3">
        <v>0.96199999999999997</v>
      </c>
      <c r="CP52" s="3">
        <v>0.66500000000000004</v>
      </c>
      <c r="CQ52" s="3">
        <v>0</v>
      </c>
      <c r="CR52" s="3">
        <v>0.872</v>
      </c>
      <c r="CS52" s="3">
        <v>0.77500000000000002</v>
      </c>
      <c r="CT52" s="48" t="s">
        <v>316</v>
      </c>
      <c r="CU52" s="49" t="s">
        <v>330</v>
      </c>
      <c r="CV52" s="3">
        <v>1.4930000000000001</v>
      </c>
      <c r="CW52" s="3">
        <v>1.7869999999999999</v>
      </c>
      <c r="CX52" s="3">
        <v>1.333</v>
      </c>
      <c r="CY52" s="3">
        <v>0.88600000000000001</v>
      </c>
      <c r="CZ52" s="3">
        <v>2.052</v>
      </c>
      <c r="DA52" s="3">
        <v>5.7619999999999996</v>
      </c>
      <c r="DB52" s="3">
        <v>0.38800000000000001</v>
      </c>
      <c r="DC52" s="3">
        <v>3.9689999999999999</v>
      </c>
      <c r="DD52" s="3">
        <v>4.2309999999999999</v>
      </c>
      <c r="DE52" s="3">
        <v>5.1360000000000001</v>
      </c>
      <c r="DF52" s="3">
        <v>1.909</v>
      </c>
      <c r="DG52" s="3">
        <v>4.6420000000000003</v>
      </c>
      <c r="DH52" s="3">
        <v>2.8759999999999999</v>
      </c>
    </row>
    <row r="53" spans="1:112" x14ac:dyDescent="0.3">
      <c r="A53" s="48" t="s">
        <v>316</v>
      </c>
      <c r="B53" s="49" t="s">
        <v>331</v>
      </c>
      <c r="C53" s="3">
        <v>33.713531199999998</v>
      </c>
      <c r="D53" s="3">
        <v>20.7359376</v>
      </c>
      <c r="E53" s="3">
        <v>28.564812</v>
      </c>
      <c r="F53" s="3">
        <v>23.0369919</v>
      </c>
      <c r="G53" s="3">
        <v>7.9434863</v>
      </c>
      <c r="H53" s="3">
        <v>28.564812</v>
      </c>
      <c r="I53" s="48" t="s">
        <v>316</v>
      </c>
      <c r="J53" s="49" t="s">
        <v>331</v>
      </c>
      <c r="K53" s="3">
        <v>30140.5</v>
      </c>
      <c r="L53" s="48" t="s">
        <v>316</v>
      </c>
      <c r="M53" s="49" t="s">
        <v>331</v>
      </c>
      <c r="N53" s="3">
        <v>1875.1042179999999</v>
      </c>
      <c r="O53" s="3">
        <v>2315.0996639999998</v>
      </c>
      <c r="P53" s="3">
        <v>1479.530129</v>
      </c>
      <c r="Q53" s="3">
        <v>1663.256785</v>
      </c>
      <c r="R53" s="3">
        <v>2344.6134080000002</v>
      </c>
      <c r="S53" s="3">
        <v>2225.6600800000001</v>
      </c>
      <c r="T53" s="3">
        <v>2128.4399250000001</v>
      </c>
      <c r="U53" s="3">
        <v>2202.0616199999999</v>
      </c>
      <c r="V53" s="3">
        <v>1611.2813269999999</v>
      </c>
      <c r="W53" s="3">
        <v>999.39267310000002</v>
      </c>
      <c r="X53" s="3">
        <v>1329.114699</v>
      </c>
      <c r="Y53" s="3">
        <v>231.7104099</v>
      </c>
      <c r="Z53" s="3">
        <v>210.42788289999999</v>
      </c>
      <c r="AA53" s="48" t="s">
        <v>316</v>
      </c>
      <c r="AB53" s="49" t="s">
        <v>331</v>
      </c>
      <c r="AC53" s="3">
        <v>1059.695528</v>
      </c>
      <c r="AD53" s="3">
        <v>1046.641226</v>
      </c>
      <c r="AE53" s="3">
        <v>689.90975390000006</v>
      </c>
      <c r="AF53" s="3">
        <v>221.14310449999999</v>
      </c>
      <c r="AG53" s="3">
        <v>1734.5662950000001</v>
      </c>
      <c r="AH53" s="3">
        <v>1408.62041</v>
      </c>
      <c r="AI53" s="3">
        <v>1625.369021</v>
      </c>
      <c r="AJ53" s="3">
        <v>1249.2453399999999</v>
      </c>
      <c r="AK53" s="3">
        <v>506.47899419999999</v>
      </c>
      <c r="AL53" s="3">
        <v>754.39823850000005</v>
      </c>
      <c r="AM53" s="3">
        <v>1384.9657130000001</v>
      </c>
      <c r="AN53" s="3">
        <v>171.50586799999999</v>
      </c>
      <c r="AO53" s="3">
        <v>523.42589450000003</v>
      </c>
      <c r="AP53" s="48" t="s">
        <v>316</v>
      </c>
      <c r="AQ53" s="49" t="s">
        <v>331</v>
      </c>
      <c r="AR53" s="3">
        <v>690.82987800000001</v>
      </c>
      <c r="AS53" s="3">
        <v>936.60792570000001</v>
      </c>
      <c r="AT53" s="3">
        <v>877.96192250000001</v>
      </c>
      <c r="AU53" s="3">
        <v>846.452945</v>
      </c>
      <c r="AV53" s="3">
        <v>222.41528249999999</v>
      </c>
      <c r="AW53" s="3">
        <v>1218.6787469999999</v>
      </c>
      <c r="AX53" s="3">
        <v>773.02426500000001</v>
      </c>
      <c r="AY53" s="3">
        <v>909.68764590000001</v>
      </c>
      <c r="AZ53" s="3">
        <v>518.69876399999998</v>
      </c>
      <c r="BA53" s="3">
        <v>272.40149880000001</v>
      </c>
      <c r="BB53" s="3">
        <v>460.08053669999998</v>
      </c>
      <c r="BC53" s="3">
        <v>126.31876440000001</v>
      </c>
      <c r="BD53" s="3">
        <v>620.30534339999997</v>
      </c>
      <c r="BE53" s="48" t="s">
        <v>316</v>
      </c>
      <c r="BF53" s="49" t="s">
        <v>331</v>
      </c>
      <c r="BG53" s="3">
        <v>0</v>
      </c>
      <c r="BH53" s="3">
        <v>0.86199999999999999</v>
      </c>
      <c r="BI53" s="3">
        <v>0.53100000000000003</v>
      </c>
      <c r="BJ53" s="3">
        <v>0</v>
      </c>
      <c r="BK53" s="3">
        <v>0.61699999999999999</v>
      </c>
      <c r="BL53" s="3">
        <v>0.495</v>
      </c>
      <c r="BM53" s="3">
        <v>0</v>
      </c>
      <c r="BN53" s="3">
        <v>0.53300000000000003</v>
      </c>
      <c r="BO53" s="3">
        <v>0.27950000000000003</v>
      </c>
      <c r="BP53" s="3">
        <v>0</v>
      </c>
      <c r="BQ53" s="3">
        <v>0.91800000000000004</v>
      </c>
      <c r="BR53" s="3">
        <v>0.52933333299999996</v>
      </c>
      <c r="BS53" s="3">
        <v>0</v>
      </c>
      <c r="BT53" s="3">
        <v>0.93200000000000005</v>
      </c>
      <c r="BU53" s="3">
        <v>0.58716666699999998</v>
      </c>
      <c r="BV53" s="3">
        <v>0</v>
      </c>
      <c r="BW53" s="3">
        <v>0.61599999999999999</v>
      </c>
      <c r="BX53" s="3">
        <v>0.51600000000000001</v>
      </c>
      <c r="BY53" s="3">
        <v>0</v>
      </c>
      <c r="BZ53" s="3">
        <v>0.61599999999999999</v>
      </c>
      <c r="CA53" s="3">
        <v>6.25E-2</v>
      </c>
      <c r="CB53" s="3">
        <v>0</v>
      </c>
      <c r="CC53" s="3">
        <v>0.96399999999999997</v>
      </c>
      <c r="CD53" s="3">
        <v>0.64333333299999995</v>
      </c>
      <c r="CE53" s="3">
        <v>0</v>
      </c>
      <c r="CF53" s="3">
        <v>0.96099999999999997</v>
      </c>
      <c r="CG53" s="3">
        <v>0.68500000000000005</v>
      </c>
      <c r="CH53" s="3">
        <v>0</v>
      </c>
      <c r="CI53" s="3">
        <v>0.95</v>
      </c>
      <c r="CJ53" s="3">
        <v>0.947333333</v>
      </c>
      <c r="CK53" s="3">
        <v>0</v>
      </c>
      <c r="CL53" s="3">
        <v>0.78600000000000003</v>
      </c>
      <c r="CM53" s="3">
        <v>0.01</v>
      </c>
      <c r="CN53" s="3">
        <v>0</v>
      </c>
      <c r="CO53" s="3">
        <v>0.95599999999999996</v>
      </c>
      <c r="CP53" s="3">
        <v>0.64233333299999995</v>
      </c>
      <c r="CQ53" s="3">
        <v>0</v>
      </c>
      <c r="CR53" s="3">
        <v>0.879</v>
      </c>
      <c r="CS53" s="3">
        <v>0.78600000000000003</v>
      </c>
      <c r="CT53" s="48" t="s">
        <v>316</v>
      </c>
      <c r="CU53" s="49" t="s">
        <v>331</v>
      </c>
      <c r="CV53" s="3">
        <v>1.353</v>
      </c>
      <c r="CW53" s="3">
        <v>1.504</v>
      </c>
      <c r="CX53" s="3">
        <v>0.83199999999999996</v>
      </c>
      <c r="CY53" s="3">
        <v>0.70499999999999996</v>
      </c>
      <c r="CZ53" s="3">
        <v>2.6549999999999998</v>
      </c>
      <c r="DA53" s="3">
        <v>5.6349999999999998</v>
      </c>
      <c r="DB53" s="3">
        <v>0.50700000000000001</v>
      </c>
      <c r="DC53" s="3">
        <v>4.4539999999999997</v>
      </c>
      <c r="DD53" s="3">
        <v>5.0359999999999996</v>
      </c>
      <c r="DE53" s="3">
        <v>5.0289999999999999</v>
      </c>
      <c r="DF53" s="3">
        <v>2.1459999999999999</v>
      </c>
      <c r="DG53" s="3">
        <v>4.5650000000000004</v>
      </c>
      <c r="DH53" s="3">
        <v>2.931</v>
      </c>
    </row>
    <row r="54" spans="1:112" x14ac:dyDescent="0.3">
      <c r="A54" s="48" t="s">
        <v>316</v>
      </c>
      <c r="B54" s="49" t="s">
        <v>332</v>
      </c>
      <c r="C54" s="3">
        <v>33.660633400000002</v>
      </c>
      <c r="D54" s="3">
        <v>21.2913645</v>
      </c>
      <c r="E54" s="3">
        <v>27.33053</v>
      </c>
      <c r="F54" s="3">
        <v>23.530704700000001</v>
      </c>
      <c r="G54" s="3">
        <v>9.5127877000000005</v>
      </c>
      <c r="H54" s="3">
        <v>27.33053</v>
      </c>
      <c r="I54" s="48" t="s">
        <v>316</v>
      </c>
      <c r="J54" s="49" t="s">
        <v>332</v>
      </c>
      <c r="K54" s="3">
        <v>29477</v>
      </c>
      <c r="L54" s="48" t="s">
        <v>316</v>
      </c>
      <c r="M54" s="49" t="s">
        <v>332</v>
      </c>
      <c r="N54" s="3">
        <v>1781.9211829999999</v>
      </c>
      <c r="O54" s="3">
        <v>2156.073809</v>
      </c>
      <c r="P54" s="3">
        <v>1382.675115</v>
      </c>
      <c r="Q54" s="3">
        <v>1661.484882</v>
      </c>
      <c r="R54" s="3">
        <v>2178.5502190000002</v>
      </c>
      <c r="S54" s="3">
        <v>2044.2182969999999</v>
      </c>
      <c r="T54" s="3">
        <v>1883.728711</v>
      </c>
      <c r="U54" s="3">
        <v>2005.385763</v>
      </c>
      <c r="V54" s="3">
        <v>1525.1927450000001</v>
      </c>
      <c r="W54" s="3">
        <v>1280.119729</v>
      </c>
      <c r="X54" s="3">
        <v>1115.2864529999999</v>
      </c>
      <c r="Y54" s="3">
        <v>236.0134505</v>
      </c>
      <c r="Z54" s="3">
        <v>210.38638560000001</v>
      </c>
      <c r="AA54" s="48" t="s">
        <v>316</v>
      </c>
      <c r="AB54" s="49" t="s">
        <v>332</v>
      </c>
      <c r="AC54" s="3">
        <v>1209.6524429999999</v>
      </c>
      <c r="AD54" s="3">
        <v>1194.7508339999999</v>
      </c>
      <c r="AE54" s="3">
        <v>801.78701130000002</v>
      </c>
      <c r="AF54" s="3">
        <v>257.00414840000002</v>
      </c>
      <c r="AG54" s="3">
        <v>1980.02379</v>
      </c>
      <c r="AH54" s="3">
        <v>1607.953487</v>
      </c>
      <c r="AI54" s="3">
        <v>1888.942376</v>
      </c>
      <c r="AJ54" s="3">
        <v>1426.025341</v>
      </c>
      <c r="AK54" s="3">
        <v>578.15054999999995</v>
      </c>
      <c r="AL54" s="3">
        <v>861.15270620000001</v>
      </c>
      <c r="AM54" s="3">
        <v>1580.951427</v>
      </c>
      <c r="AN54" s="3">
        <v>195.7755664</v>
      </c>
      <c r="AO54" s="3">
        <v>597.49559650000003</v>
      </c>
      <c r="AP54" s="48" t="s">
        <v>316</v>
      </c>
      <c r="AQ54" s="49" t="s">
        <v>332</v>
      </c>
      <c r="AR54" s="3">
        <v>751.08918200000005</v>
      </c>
      <c r="AS54" s="3">
        <v>1018.3058129999999</v>
      </c>
      <c r="AT54" s="3">
        <v>931.99034849999998</v>
      </c>
      <c r="AU54" s="3">
        <v>898.54235700000004</v>
      </c>
      <c r="AV54" s="3">
        <v>241.81599249999999</v>
      </c>
      <c r="AW54" s="3">
        <v>1324.980943</v>
      </c>
      <c r="AX54" s="3">
        <v>820.59498900000006</v>
      </c>
      <c r="AY54" s="3">
        <v>989.03734710000003</v>
      </c>
      <c r="AZ54" s="3">
        <v>563.94351600000005</v>
      </c>
      <c r="BA54" s="3">
        <v>296.16237719999998</v>
      </c>
      <c r="BB54" s="3">
        <v>500.21217230000002</v>
      </c>
      <c r="BC54" s="3">
        <v>137.33722359999999</v>
      </c>
      <c r="BD54" s="3">
        <v>674.41297459999998</v>
      </c>
      <c r="BE54" s="48" t="s">
        <v>316</v>
      </c>
      <c r="BF54" s="49" t="s">
        <v>332</v>
      </c>
      <c r="BG54" s="3">
        <v>0</v>
      </c>
      <c r="BH54" s="3">
        <v>0.81</v>
      </c>
      <c r="BI54" s="3">
        <v>0.53749999999999998</v>
      </c>
      <c r="BJ54" s="3">
        <v>0</v>
      </c>
      <c r="BK54" s="3">
        <v>0.625</v>
      </c>
      <c r="BL54" s="3">
        <v>0.50749999999999995</v>
      </c>
      <c r="BM54" s="3">
        <v>0</v>
      </c>
      <c r="BN54" s="3">
        <v>0.502</v>
      </c>
      <c r="BO54" s="3">
        <v>0.27450000000000002</v>
      </c>
      <c r="BP54" s="3">
        <v>0</v>
      </c>
      <c r="BQ54" s="3">
        <v>0.91200000000000003</v>
      </c>
      <c r="BR54" s="3">
        <v>0.50900000000000001</v>
      </c>
      <c r="BS54" s="3">
        <v>0</v>
      </c>
      <c r="BT54" s="3">
        <v>0.93100000000000005</v>
      </c>
      <c r="BU54" s="3">
        <v>0.58875</v>
      </c>
      <c r="BV54" s="3">
        <v>0</v>
      </c>
      <c r="BW54" s="3">
        <v>0.61699999999999999</v>
      </c>
      <c r="BX54" s="3">
        <v>0.501</v>
      </c>
      <c r="BY54" s="3">
        <v>0</v>
      </c>
      <c r="BZ54" s="3">
        <v>0.61699999999999999</v>
      </c>
      <c r="CA54" s="3">
        <v>8.6999999999999994E-2</v>
      </c>
      <c r="CB54" s="3">
        <v>0</v>
      </c>
      <c r="CC54" s="3">
        <v>0.96299999999999997</v>
      </c>
      <c r="CD54" s="3">
        <v>0.64</v>
      </c>
      <c r="CE54" s="3">
        <v>0</v>
      </c>
      <c r="CF54" s="3">
        <v>0.95799999999999996</v>
      </c>
      <c r="CG54" s="3">
        <v>0.66249999999999998</v>
      </c>
      <c r="CH54" s="3">
        <v>0</v>
      </c>
      <c r="CI54" s="3">
        <v>0.94499999999999995</v>
      </c>
      <c r="CJ54" s="3">
        <v>0.95666666700000003</v>
      </c>
      <c r="CK54" s="3">
        <v>0</v>
      </c>
      <c r="CL54" s="3">
        <v>0.79300000000000004</v>
      </c>
      <c r="CM54" s="3">
        <v>0.01</v>
      </c>
      <c r="CN54" s="3">
        <v>0</v>
      </c>
      <c r="CO54" s="3">
        <v>0.94299999999999995</v>
      </c>
      <c r="CP54" s="3">
        <v>0.61233333300000004</v>
      </c>
      <c r="CQ54" s="3">
        <v>0</v>
      </c>
      <c r="CR54" s="3">
        <v>0.872</v>
      </c>
      <c r="CS54" s="3">
        <v>0.79700000000000004</v>
      </c>
      <c r="CT54" s="48" t="s">
        <v>316</v>
      </c>
      <c r="CU54" s="49" t="s">
        <v>332</v>
      </c>
      <c r="CV54" s="3">
        <v>1.4319999999999999</v>
      </c>
      <c r="CW54" s="3">
        <v>1.6890000000000001</v>
      </c>
      <c r="CX54" s="3">
        <v>0.71199999999999997</v>
      </c>
      <c r="CY54" s="3">
        <v>0.65900000000000003</v>
      </c>
      <c r="CZ54" s="3">
        <v>2.9980000000000002</v>
      </c>
      <c r="DA54" s="3">
        <v>5.641</v>
      </c>
      <c r="DB54" s="3">
        <v>0.68100000000000005</v>
      </c>
      <c r="DC54" s="3">
        <v>5</v>
      </c>
      <c r="DD54" s="3">
        <v>5.383</v>
      </c>
      <c r="DE54" s="3">
        <v>4.9720000000000004</v>
      </c>
      <c r="DF54" s="3">
        <v>2.266</v>
      </c>
      <c r="DG54" s="3">
        <v>4.4039999999999999</v>
      </c>
      <c r="DH54" s="3">
        <v>2.835</v>
      </c>
    </row>
    <row r="55" spans="1:112" x14ac:dyDescent="0.3">
      <c r="A55" s="48" t="s">
        <v>316</v>
      </c>
      <c r="B55" s="49" t="s">
        <v>333</v>
      </c>
      <c r="C55" s="3">
        <v>33.660633400000002</v>
      </c>
      <c r="D55" s="3">
        <v>31.9943527</v>
      </c>
      <c r="E55" s="3">
        <v>31.9943527</v>
      </c>
      <c r="F55" s="3">
        <v>24.183110899999999</v>
      </c>
      <c r="G55" s="3">
        <v>12.7307372</v>
      </c>
      <c r="H55" s="3">
        <v>31.9943527</v>
      </c>
      <c r="I55" s="48" t="s">
        <v>316</v>
      </c>
      <c r="J55" s="49" t="s">
        <v>333</v>
      </c>
      <c r="K55" s="3">
        <v>29110</v>
      </c>
      <c r="L55" s="48" t="s">
        <v>316</v>
      </c>
      <c r="M55" s="49" t="s">
        <v>333</v>
      </c>
      <c r="N55" s="3">
        <v>1669.6463699999999</v>
      </c>
      <c r="O55" s="3">
        <v>2262.0872800000002</v>
      </c>
      <c r="P55" s="3">
        <v>1398.5598829999999</v>
      </c>
      <c r="Q55" s="3">
        <v>1742.9153200000001</v>
      </c>
      <c r="R55" s="3">
        <v>1909.594392</v>
      </c>
      <c r="S55" s="3">
        <v>1940.6356720000001</v>
      </c>
      <c r="T55" s="3">
        <v>1640.64672</v>
      </c>
      <c r="U55" s="3">
        <v>1985.6122130000001</v>
      </c>
      <c r="V55" s="3">
        <v>1520.72704</v>
      </c>
      <c r="W55" s="3">
        <v>2462.7926560000001</v>
      </c>
      <c r="X55" s="3">
        <v>1018.291506</v>
      </c>
      <c r="Y55" s="3">
        <v>367.33024119999999</v>
      </c>
      <c r="Z55" s="3">
        <v>331.23105679999998</v>
      </c>
      <c r="AA55" s="48" t="s">
        <v>316</v>
      </c>
      <c r="AB55" s="49" t="s">
        <v>333</v>
      </c>
      <c r="AC55" s="3">
        <v>1536.2252779999999</v>
      </c>
      <c r="AD55" s="3">
        <v>1517.3006459999999</v>
      </c>
      <c r="AE55" s="3">
        <v>948.88488670000004</v>
      </c>
      <c r="AF55" s="3">
        <v>304.15478030000003</v>
      </c>
      <c r="AG55" s="3">
        <v>2514.5756670000001</v>
      </c>
      <c r="AH55" s="3">
        <v>2042.056632</v>
      </c>
      <c r="AI55" s="3">
        <v>2235.4925269999999</v>
      </c>
      <c r="AJ55" s="3">
        <v>1811.0128990000001</v>
      </c>
      <c r="AK55" s="3">
        <v>734.23527149999995</v>
      </c>
      <c r="AL55" s="3">
        <v>1093.640214</v>
      </c>
      <c r="AM55" s="3">
        <v>2007.76476</v>
      </c>
      <c r="AN55" s="3">
        <v>248.62957599999999</v>
      </c>
      <c r="AO55" s="3">
        <v>758.8029477</v>
      </c>
      <c r="AP55" s="48" t="s">
        <v>316</v>
      </c>
      <c r="AQ55" s="49" t="s">
        <v>333</v>
      </c>
      <c r="AR55" s="3">
        <v>819.95695799999999</v>
      </c>
      <c r="AS55" s="3">
        <v>1111.6748279999999</v>
      </c>
      <c r="AT55" s="3">
        <v>988.72019580000006</v>
      </c>
      <c r="AU55" s="3">
        <v>953.23623959999998</v>
      </c>
      <c r="AV55" s="3">
        <v>263.98823249999998</v>
      </c>
      <c r="AW55" s="3">
        <v>1446.469167</v>
      </c>
      <c r="AX55" s="3">
        <v>870.54424919999997</v>
      </c>
      <c r="AY55" s="3">
        <v>1079.72272</v>
      </c>
      <c r="AZ55" s="3">
        <v>615.65180399999997</v>
      </c>
      <c r="BA55" s="3">
        <v>323.31766679999998</v>
      </c>
      <c r="BB55" s="3">
        <v>546.07689870000002</v>
      </c>
      <c r="BC55" s="3">
        <v>149.92974839999999</v>
      </c>
      <c r="BD55" s="3">
        <v>736.25026739999998</v>
      </c>
      <c r="BE55" s="48" t="s">
        <v>316</v>
      </c>
      <c r="BF55" s="49" t="s">
        <v>333</v>
      </c>
      <c r="BG55" s="3">
        <v>0</v>
      </c>
      <c r="BH55" s="3">
        <v>0.72899999999999998</v>
      </c>
      <c r="BI55" s="3">
        <v>0.53149999999999997</v>
      </c>
      <c r="BJ55" s="3">
        <v>0</v>
      </c>
      <c r="BK55" s="3">
        <v>0.628</v>
      </c>
      <c r="BL55" s="3">
        <v>0.495</v>
      </c>
      <c r="BM55" s="3">
        <v>0</v>
      </c>
      <c r="BN55" s="3">
        <v>0.499</v>
      </c>
      <c r="BO55" s="3">
        <v>0.3125</v>
      </c>
      <c r="BP55" s="3">
        <v>0</v>
      </c>
      <c r="BQ55" s="3">
        <v>0.90600000000000003</v>
      </c>
      <c r="BR55" s="3">
        <v>0.50266666699999996</v>
      </c>
      <c r="BS55" s="3">
        <v>0</v>
      </c>
      <c r="BT55" s="3">
        <v>0.94299999999999995</v>
      </c>
      <c r="BU55" s="3">
        <v>0.569083334</v>
      </c>
      <c r="BV55" s="3">
        <v>0</v>
      </c>
      <c r="BW55" s="3">
        <v>0.60599999999999998</v>
      </c>
      <c r="BX55" s="3">
        <v>0.50600000000000001</v>
      </c>
      <c r="BY55" s="3">
        <v>0</v>
      </c>
      <c r="BZ55" s="3">
        <v>0.60599999999999998</v>
      </c>
      <c r="CA55" s="3">
        <v>0.14799999999999999</v>
      </c>
      <c r="CB55" s="3">
        <v>0</v>
      </c>
      <c r="CC55" s="3">
        <v>0.96299999999999997</v>
      </c>
      <c r="CD55" s="3">
        <v>0.60666666700000005</v>
      </c>
      <c r="CE55" s="3">
        <v>0</v>
      </c>
      <c r="CF55" s="3">
        <v>0.95599999999999996</v>
      </c>
      <c r="CG55" s="3">
        <v>0.63900000000000001</v>
      </c>
      <c r="CH55" s="3">
        <v>0</v>
      </c>
      <c r="CI55" s="3">
        <v>0.92</v>
      </c>
      <c r="CJ55" s="3">
        <v>0.96466666700000003</v>
      </c>
      <c r="CK55" s="3">
        <v>0</v>
      </c>
      <c r="CL55" s="3">
        <v>0.78200000000000003</v>
      </c>
      <c r="CM55" s="3">
        <v>0.01</v>
      </c>
      <c r="CN55" s="3">
        <v>0</v>
      </c>
      <c r="CO55" s="3">
        <v>0.91900000000000004</v>
      </c>
      <c r="CP55" s="3">
        <v>0.58599999999999997</v>
      </c>
      <c r="CQ55" s="3">
        <v>0</v>
      </c>
      <c r="CR55" s="3">
        <v>0.84099999999999997</v>
      </c>
      <c r="CS55" s="3">
        <v>0.80800000000000005</v>
      </c>
      <c r="CT55" s="48" t="s">
        <v>316</v>
      </c>
      <c r="CU55" s="49" t="s">
        <v>333</v>
      </c>
      <c r="CV55" s="3">
        <v>1.458</v>
      </c>
      <c r="CW55" s="3">
        <v>2.1059999999999999</v>
      </c>
      <c r="CX55" s="3">
        <v>0.91300000000000003</v>
      </c>
      <c r="CY55" s="3">
        <v>0.89200000000000002</v>
      </c>
      <c r="CZ55" s="3">
        <v>3.1779999999999999</v>
      </c>
      <c r="DA55" s="3">
        <v>5.8209999999999997</v>
      </c>
      <c r="DB55" s="3">
        <v>0.79600000000000004</v>
      </c>
      <c r="DC55" s="3">
        <v>5.468</v>
      </c>
      <c r="DD55" s="3">
        <v>5.4660000000000002</v>
      </c>
      <c r="DE55" s="3">
        <v>4.673</v>
      </c>
      <c r="DF55" s="3">
        <v>2.173</v>
      </c>
      <c r="DG55" s="3">
        <v>4.2489999999999997</v>
      </c>
      <c r="DH55" s="3">
        <v>2.6869999999999998</v>
      </c>
    </row>
    <row r="56" spans="1:112" x14ac:dyDescent="0.3">
      <c r="A56" s="48" t="s">
        <v>316</v>
      </c>
      <c r="B56" s="49" t="s">
        <v>334</v>
      </c>
      <c r="C56" s="3">
        <v>33.6870823</v>
      </c>
      <c r="D56" s="3">
        <v>43.552522000000003</v>
      </c>
      <c r="E56" s="3">
        <v>35.177036999999999</v>
      </c>
      <c r="F56" s="3">
        <v>26.1932273</v>
      </c>
      <c r="G56" s="3">
        <v>28.767586900000001</v>
      </c>
      <c r="H56" s="3">
        <v>43.552522000000003</v>
      </c>
      <c r="I56" s="48" t="s">
        <v>316</v>
      </c>
      <c r="J56" s="49" t="s">
        <v>334</v>
      </c>
      <c r="K56" s="3">
        <v>30484.5</v>
      </c>
      <c r="L56" s="48" t="s">
        <v>316</v>
      </c>
      <c r="M56" s="49" t="s">
        <v>334</v>
      </c>
      <c r="N56" s="3">
        <v>2344.1490659999999</v>
      </c>
      <c r="O56" s="3">
        <v>3054.599326</v>
      </c>
      <c r="P56" s="3">
        <v>1838.822381</v>
      </c>
      <c r="Q56" s="3">
        <v>2032.902564</v>
      </c>
      <c r="R56" s="3">
        <v>2648.634806</v>
      </c>
      <c r="S56" s="3">
        <v>2766.9377290000002</v>
      </c>
      <c r="T56" s="3">
        <v>2057.246674</v>
      </c>
      <c r="U56" s="3">
        <v>2856.6276160000002</v>
      </c>
      <c r="V56" s="3">
        <v>2070.214528</v>
      </c>
      <c r="W56" s="3">
        <v>5787.8363470000004</v>
      </c>
      <c r="X56" s="3">
        <v>1748.1653859999999</v>
      </c>
      <c r="Y56" s="3">
        <v>800.66592270000001</v>
      </c>
      <c r="Z56" s="3">
        <v>1976.911544</v>
      </c>
      <c r="AA56" s="48" t="s">
        <v>316</v>
      </c>
      <c r="AB56" s="49" t="s">
        <v>334</v>
      </c>
      <c r="AC56" s="3">
        <v>1669.520313</v>
      </c>
      <c r="AD56" s="3">
        <v>1648.95363</v>
      </c>
      <c r="AE56" s="3">
        <v>953.02848879999999</v>
      </c>
      <c r="AF56" s="3">
        <v>305.4829671</v>
      </c>
      <c r="AG56" s="3">
        <v>2732.7601070000001</v>
      </c>
      <c r="AH56" s="3">
        <v>2219.2415900000001</v>
      </c>
      <c r="AI56" s="3">
        <v>2245.2545030000001</v>
      </c>
      <c r="AJ56" s="3">
        <v>1968.150678</v>
      </c>
      <c r="AK56" s="3">
        <v>797.94332099999997</v>
      </c>
      <c r="AL56" s="3">
        <v>1188.5330739999999</v>
      </c>
      <c r="AM56" s="3">
        <v>2181.9742839999999</v>
      </c>
      <c r="AN56" s="3">
        <v>270.20264120000002</v>
      </c>
      <c r="AO56" s="3">
        <v>824.64268279999999</v>
      </c>
      <c r="AP56" s="48" t="s">
        <v>316</v>
      </c>
      <c r="AQ56" s="49" t="s">
        <v>334</v>
      </c>
      <c r="AR56" s="3">
        <v>994.27851599999997</v>
      </c>
      <c r="AS56" s="3">
        <v>1348.0151450000001</v>
      </c>
      <c r="AT56" s="3">
        <v>1218.3410060000001</v>
      </c>
      <c r="AU56" s="3">
        <v>1174.6162409999999</v>
      </c>
      <c r="AV56" s="3">
        <v>320.111715</v>
      </c>
      <c r="AW56" s="3">
        <v>1753.986234</v>
      </c>
      <c r="AX56" s="3">
        <v>1072.719826</v>
      </c>
      <c r="AY56" s="3">
        <v>1309.27007</v>
      </c>
      <c r="AZ56" s="3">
        <v>746.538408</v>
      </c>
      <c r="BA56" s="3">
        <v>392.0544936</v>
      </c>
      <c r="BB56" s="3">
        <v>662.17198740000003</v>
      </c>
      <c r="BC56" s="3">
        <v>181.80457680000001</v>
      </c>
      <c r="BD56" s="3">
        <v>892.77591480000001</v>
      </c>
      <c r="BE56" s="48" t="s">
        <v>316</v>
      </c>
      <c r="BF56" s="49" t="s">
        <v>334</v>
      </c>
      <c r="BG56" s="3">
        <v>0</v>
      </c>
      <c r="BH56" s="3">
        <v>0.73199999999999998</v>
      </c>
      <c r="BI56" s="3">
        <v>0.51200000000000001</v>
      </c>
      <c r="BJ56" s="3">
        <v>0</v>
      </c>
      <c r="BK56" s="3">
        <v>0.60499999999999998</v>
      </c>
      <c r="BL56" s="3">
        <v>0.48949999999999999</v>
      </c>
      <c r="BM56" s="3">
        <v>0</v>
      </c>
      <c r="BN56" s="3">
        <v>0.49</v>
      </c>
      <c r="BO56" s="3">
        <v>0.33400000000000002</v>
      </c>
      <c r="BP56" s="3">
        <v>0</v>
      </c>
      <c r="BQ56" s="3">
        <v>0.89200000000000002</v>
      </c>
      <c r="BR56" s="3">
        <v>0.49399999999999999</v>
      </c>
      <c r="BS56" s="3">
        <v>0</v>
      </c>
      <c r="BT56" s="3">
        <v>0.95799999999999996</v>
      </c>
      <c r="BU56" s="3">
        <v>0.53649999999999998</v>
      </c>
      <c r="BV56" s="3">
        <v>0</v>
      </c>
      <c r="BW56" s="3">
        <v>0.56899999999999995</v>
      </c>
      <c r="BX56" s="3">
        <v>0.51100000000000001</v>
      </c>
      <c r="BY56" s="3">
        <v>0</v>
      </c>
      <c r="BZ56" s="3">
        <v>0.56899999999999995</v>
      </c>
      <c r="CA56" s="3">
        <v>0.218</v>
      </c>
      <c r="CB56" s="3">
        <v>0</v>
      </c>
      <c r="CC56" s="3">
        <v>0.96099999999999997</v>
      </c>
      <c r="CD56" s="3">
        <v>0.56100000000000005</v>
      </c>
      <c r="CE56" s="3">
        <v>0</v>
      </c>
      <c r="CF56" s="3">
        <v>0.94899999999999995</v>
      </c>
      <c r="CG56" s="3">
        <v>0.62849999999999995</v>
      </c>
      <c r="CH56" s="3">
        <v>0</v>
      </c>
      <c r="CI56" s="3">
        <v>0.89300000000000002</v>
      </c>
      <c r="CJ56" s="3">
        <v>0.97166666700000004</v>
      </c>
      <c r="CK56" s="3">
        <v>0</v>
      </c>
      <c r="CL56" s="3">
        <v>0.746</v>
      </c>
      <c r="CM56" s="3">
        <v>0.01</v>
      </c>
      <c r="CN56" s="3">
        <v>0</v>
      </c>
      <c r="CO56" s="3">
        <v>0.90100000000000002</v>
      </c>
      <c r="CP56" s="3">
        <v>0.56499999999999995</v>
      </c>
      <c r="CQ56" s="3">
        <v>0</v>
      </c>
      <c r="CR56" s="3">
        <v>0.81799999999999995</v>
      </c>
      <c r="CS56" s="3">
        <v>0.82499999999999996</v>
      </c>
      <c r="CT56" s="48" t="s">
        <v>316</v>
      </c>
      <c r="CU56" s="49" t="s">
        <v>334</v>
      </c>
      <c r="CV56" s="3">
        <v>1.62</v>
      </c>
      <c r="CW56" s="3">
        <v>2.302</v>
      </c>
      <c r="CX56" s="3">
        <v>1.379</v>
      </c>
      <c r="CY56" s="3">
        <v>1.167</v>
      </c>
      <c r="CZ56" s="3">
        <v>3.22</v>
      </c>
      <c r="DA56" s="3">
        <v>5.9880000000000004</v>
      </c>
      <c r="DB56" s="3">
        <v>0.96199999999999997</v>
      </c>
      <c r="DC56" s="3">
        <v>5.7210000000000001</v>
      </c>
      <c r="DD56" s="3">
        <v>5.524</v>
      </c>
      <c r="DE56" s="3">
        <v>4.359</v>
      </c>
      <c r="DF56" s="3">
        <v>1.919</v>
      </c>
      <c r="DG56" s="3">
        <v>4.1449999999999996</v>
      </c>
      <c r="DH56" s="3">
        <v>2.6160000000000001</v>
      </c>
    </row>
    <row r="57" spans="1:112" x14ac:dyDescent="0.3">
      <c r="A57" s="48" t="s">
        <v>316</v>
      </c>
      <c r="B57" s="49" t="s">
        <v>335</v>
      </c>
      <c r="C57" s="3">
        <v>34.330672200000002</v>
      </c>
      <c r="D57" s="3">
        <v>53.814695200000003</v>
      </c>
      <c r="E57" s="3">
        <v>36.587645000000002</v>
      </c>
      <c r="F57" s="3">
        <v>27.850691699999999</v>
      </c>
      <c r="G57" s="3">
        <v>36.7287058</v>
      </c>
      <c r="H57" s="3">
        <v>63.512625200000002</v>
      </c>
      <c r="I57" s="48" t="s">
        <v>316</v>
      </c>
      <c r="J57" s="49" t="s">
        <v>335</v>
      </c>
      <c r="K57" s="3">
        <v>34851.5</v>
      </c>
      <c r="L57" s="48" t="s">
        <v>316</v>
      </c>
      <c r="M57" s="49" t="s">
        <v>335</v>
      </c>
      <c r="N57" s="3">
        <v>4424.9645270000001</v>
      </c>
      <c r="O57" s="3">
        <v>5254.2894649999998</v>
      </c>
      <c r="P57" s="3">
        <v>3044.94058</v>
      </c>
      <c r="Q57" s="3">
        <v>3014.023678</v>
      </c>
      <c r="R57" s="3">
        <v>4785.1417449999999</v>
      </c>
      <c r="S57" s="3">
        <v>4772.9292580000001</v>
      </c>
      <c r="T57" s="3">
        <v>3341.7554580000001</v>
      </c>
      <c r="U57" s="3">
        <v>5315.9144020000003</v>
      </c>
      <c r="V57" s="3">
        <v>4058.6867950000001</v>
      </c>
      <c r="W57" s="3">
        <v>6783.9310160000005</v>
      </c>
      <c r="X57" s="3">
        <v>3711.4146900000001</v>
      </c>
      <c r="Y57" s="3">
        <v>1046.318552</v>
      </c>
      <c r="Z57" s="3">
        <v>2694.2635610000002</v>
      </c>
      <c r="AA57" s="48" t="s">
        <v>316</v>
      </c>
      <c r="AB57" s="49" t="s">
        <v>335</v>
      </c>
      <c r="AC57" s="3">
        <v>2062.740667</v>
      </c>
      <c r="AD57" s="3">
        <v>2037.3299340000001</v>
      </c>
      <c r="AE57" s="3">
        <v>1124.987977</v>
      </c>
      <c r="AF57" s="3">
        <v>360.60271990000001</v>
      </c>
      <c r="AG57" s="3">
        <v>3376.4042039999999</v>
      </c>
      <c r="AH57" s="3">
        <v>2741.9372130000002</v>
      </c>
      <c r="AI57" s="3">
        <v>2650.3765119999998</v>
      </c>
      <c r="AJ57" s="3">
        <v>2431.7071249999999</v>
      </c>
      <c r="AK57" s="3">
        <v>985.88206730000002</v>
      </c>
      <c r="AL57" s="3">
        <v>1468.467011</v>
      </c>
      <c r="AM57" s="3">
        <v>2695.8923789999999</v>
      </c>
      <c r="AN57" s="3">
        <v>333.84318339999999</v>
      </c>
      <c r="AO57" s="3">
        <v>1018.869902</v>
      </c>
      <c r="AP57" s="48" t="s">
        <v>316</v>
      </c>
      <c r="AQ57" s="49" t="s">
        <v>335</v>
      </c>
      <c r="AR57" s="3">
        <v>1136.3183039999999</v>
      </c>
      <c r="AS57" s="3">
        <v>1540.5887379999999</v>
      </c>
      <c r="AT57" s="3">
        <v>1402.0376550000001</v>
      </c>
      <c r="AU57" s="3">
        <v>1351.720241</v>
      </c>
      <c r="AV57" s="3">
        <v>365.84195999999997</v>
      </c>
      <c r="AW57" s="3">
        <v>2004.5556959999999</v>
      </c>
      <c r="AX57" s="3">
        <v>1234.460288</v>
      </c>
      <c r="AY57" s="3">
        <v>1496.3086510000001</v>
      </c>
      <c r="AZ57" s="3">
        <v>853.18675199999996</v>
      </c>
      <c r="BA57" s="3">
        <v>448.06227840000003</v>
      </c>
      <c r="BB57" s="3">
        <v>756.76798559999997</v>
      </c>
      <c r="BC57" s="3">
        <v>207.77665920000001</v>
      </c>
      <c r="BD57" s="3">
        <v>1020.315331</v>
      </c>
      <c r="BE57" s="48" t="s">
        <v>316</v>
      </c>
      <c r="BF57" s="49" t="s">
        <v>335</v>
      </c>
      <c r="BG57" s="3">
        <v>0</v>
      </c>
      <c r="BH57" s="3">
        <v>0.74299999999999999</v>
      </c>
      <c r="BI57" s="3">
        <v>0.496</v>
      </c>
      <c r="BJ57" s="3">
        <v>0</v>
      </c>
      <c r="BK57" s="3">
        <v>0.63400000000000001</v>
      </c>
      <c r="BL57" s="3">
        <v>0.496</v>
      </c>
      <c r="BM57" s="3">
        <v>0</v>
      </c>
      <c r="BN57" s="3">
        <v>0.52900000000000003</v>
      </c>
      <c r="BO57" s="3">
        <v>0.35649999999999998</v>
      </c>
      <c r="BP57" s="3">
        <v>0</v>
      </c>
      <c r="BQ57" s="3">
        <v>0.84799999999999998</v>
      </c>
      <c r="BR57" s="3">
        <v>0.47833333300000003</v>
      </c>
      <c r="BS57" s="3">
        <v>0</v>
      </c>
      <c r="BT57" s="3">
        <v>0.96499999999999997</v>
      </c>
      <c r="BU57" s="3">
        <v>0.51533333400000003</v>
      </c>
      <c r="BV57" s="3">
        <v>0</v>
      </c>
      <c r="BW57" s="3">
        <v>0.53400000000000003</v>
      </c>
      <c r="BX57" s="3">
        <v>0.49399999999999999</v>
      </c>
      <c r="BY57" s="3">
        <v>0</v>
      </c>
      <c r="BZ57" s="3">
        <v>0.53400000000000003</v>
      </c>
      <c r="CA57" s="3">
        <v>0.27900000000000003</v>
      </c>
      <c r="CB57" s="3">
        <v>0</v>
      </c>
      <c r="CC57" s="3">
        <v>0.95199999999999996</v>
      </c>
      <c r="CD57" s="3">
        <v>0.53466666699999998</v>
      </c>
      <c r="CE57" s="3">
        <v>0</v>
      </c>
      <c r="CF57" s="3">
        <v>0.92500000000000004</v>
      </c>
      <c r="CG57" s="3">
        <v>0.59799999999999998</v>
      </c>
      <c r="CH57" s="3">
        <v>0</v>
      </c>
      <c r="CI57" s="3">
        <v>0.876</v>
      </c>
      <c r="CJ57" s="3">
        <v>0.97499999999999998</v>
      </c>
      <c r="CK57" s="3">
        <v>0</v>
      </c>
      <c r="CL57" s="3">
        <v>0.69599999999999995</v>
      </c>
      <c r="CM57" s="3">
        <v>0.01</v>
      </c>
      <c r="CN57" s="3">
        <v>0</v>
      </c>
      <c r="CO57" s="3">
        <v>0.88600000000000001</v>
      </c>
      <c r="CP57" s="3">
        <v>0.570333333</v>
      </c>
      <c r="CQ57" s="3">
        <v>0</v>
      </c>
      <c r="CR57" s="3">
        <v>0.80300000000000005</v>
      </c>
      <c r="CS57" s="3">
        <v>0.83299999999999996</v>
      </c>
      <c r="CT57" s="48" t="s">
        <v>316</v>
      </c>
      <c r="CU57" s="49" t="s">
        <v>335</v>
      </c>
      <c r="CV57" s="3">
        <v>1.78</v>
      </c>
      <c r="CW57" s="3">
        <v>2.31</v>
      </c>
      <c r="CX57" s="3">
        <v>1.853</v>
      </c>
      <c r="CY57" s="3">
        <v>1.3380000000000001</v>
      </c>
      <c r="CZ57" s="3">
        <v>3.016</v>
      </c>
      <c r="DA57" s="3">
        <v>5.9870000000000001</v>
      </c>
      <c r="DB57" s="3">
        <v>0.94699999999999995</v>
      </c>
      <c r="DC57" s="3">
        <v>5.84</v>
      </c>
      <c r="DD57" s="3">
        <v>5.343</v>
      </c>
      <c r="DE57" s="3">
        <v>4.1890000000000001</v>
      </c>
      <c r="DF57" s="3">
        <v>1.659</v>
      </c>
      <c r="DG57" s="3">
        <v>3.9670000000000001</v>
      </c>
      <c r="DH57" s="3">
        <v>2.6749999999999998</v>
      </c>
    </row>
    <row r="58" spans="1:112" x14ac:dyDescent="0.3">
      <c r="A58" s="48" t="s">
        <v>316</v>
      </c>
      <c r="B58" s="49" t="s">
        <v>336</v>
      </c>
      <c r="C58" s="3">
        <v>48.507282600000003</v>
      </c>
      <c r="D58" s="3">
        <v>58.875251400000003</v>
      </c>
      <c r="E58" s="3">
        <v>38.394986500000002</v>
      </c>
      <c r="F58" s="3">
        <v>31.624068099999999</v>
      </c>
      <c r="G58" s="3">
        <v>31.624068099999999</v>
      </c>
      <c r="H58" s="3">
        <v>58.875251400000003</v>
      </c>
      <c r="I58" s="48" t="s">
        <v>316</v>
      </c>
      <c r="J58" s="49" t="s">
        <v>336</v>
      </c>
      <c r="K58" s="3">
        <v>43158</v>
      </c>
      <c r="L58" s="48" t="s">
        <v>316</v>
      </c>
      <c r="M58" s="49" t="s">
        <v>336</v>
      </c>
      <c r="N58" s="3">
        <v>8565.8319809999994</v>
      </c>
      <c r="O58" s="3">
        <v>9839.2922739999995</v>
      </c>
      <c r="P58" s="3">
        <v>5753.0897269999996</v>
      </c>
      <c r="Q58" s="3">
        <v>5153.9620160000004</v>
      </c>
      <c r="R58" s="3">
        <v>8661.3076369999999</v>
      </c>
      <c r="S58" s="3">
        <v>9434.47631</v>
      </c>
      <c r="T58" s="3">
        <v>6947.0297010000004</v>
      </c>
      <c r="U58" s="3">
        <v>10863.25628</v>
      </c>
      <c r="V58" s="3">
        <v>8178.5005799999999</v>
      </c>
      <c r="W58" s="3">
        <v>5432.0996160000004</v>
      </c>
      <c r="X58" s="3">
        <v>7415.0493100000003</v>
      </c>
      <c r="Y58" s="3">
        <v>905.89963509999995</v>
      </c>
      <c r="Z58" s="3">
        <v>2390.5559320000002</v>
      </c>
      <c r="AA58" s="48" t="s">
        <v>316</v>
      </c>
      <c r="AB58" s="49" t="s">
        <v>336</v>
      </c>
      <c r="AC58" s="3">
        <v>2036.0816600000001</v>
      </c>
      <c r="AD58" s="3">
        <v>2010.999337</v>
      </c>
      <c r="AE58" s="3">
        <v>1158.136794</v>
      </c>
      <c r="AF58" s="3">
        <v>371.22821440000001</v>
      </c>
      <c r="AG58" s="3">
        <v>3332.7673159999999</v>
      </c>
      <c r="AH58" s="3">
        <v>2706.5002220000001</v>
      </c>
      <c r="AI58" s="3">
        <v>2728.4723199999999</v>
      </c>
      <c r="AJ58" s="3">
        <v>2400.2795689999998</v>
      </c>
      <c r="AK58" s="3">
        <v>973.14045739999995</v>
      </c>
      <c r="AL58" s="3">
        <v>1449.488439</v>
      </c>
      <c r="AM58" s="3">
        <v>2661.0504740000001</v>
      </c>
      <c r="AN58" s="3">
        <v>329.52857039999998</v>
      </c>
      <c r="AO58" s="3">
        <v>1005.701954</v>
      </c>
      <c r="AP58" s="48" t="s">
        <v>316</v>
      </c>
      <c r="AQ58" s="49" t="s">
        <v>336</v>
      </c>
      <c r="AR58" s="3">
        <v>1170.7521919999999</v>
      </c>
      <c r="AS58" s="3">
        <v>1587.2732450000001</v>
      </c>
      <c r="AT58" s="3">
        <v>1474.97603</v>
      </c>
      <c r="AU58" s="3">
        <v>1422.0409480000001</v>
      </c>
      <c r="AV58" s="3">
        <v>376.92808000000002</v>
      </c>
      <c r="AW58" s="3">
        <v>2065.2998080000002</v>
      </c>
      <c r="AX58" s="3">
        <v>1298.6807650000001</v>
      </c>
      <c r="AY58" s="3">
        <v>1541.6513379999999</v>
      </c>
      <c r="AZ58" s="3">
        <v>879.04089599999998</v>
      </c>
      <c r="BA58" s="3">
        <v>461.6399232</v>
      </c>
      <c r="BB58" s="3">
        <v>779.70034880000003</v>
      </c>
      <c r="BC58" s="3">
        <v>214.0729216</v>
      </c>
      <c r="BD58" s="3">
        <v>1051.233978</v>
      </c>
      <c r="BE58" s="48" t="s">
        <v>316</v>
      </c>
      <c r="BF58" s="49" t="s">
        <v>336</v>
      </c>
      <c r="BG58" s="3">
        <v>0</v>
      </c>
      <c r="BH58" s="3">
        <v>0.73499999999999999</v>
      </c>
      <c r="BI58" s="3">
        <v>0.48549999999999999</v>
      </c>
      <c r="BJ58" s="3">
        <v>0</v>
      </c>
      <c r="BK58" s="3">
        <v>0.64800000000000002</v>
      </c>
      <c r="BL58" s="3">
        <v>0.51149999999999995</v>
      </c>
      <c r="BM58" s="3">
        <v>0</v>
      </c>
      <c r="BN58" s="3">
        <v>0.55600000000000005</v>
      </c>
      <c r="BO58" s="3">
        <v>0.38150000000000001</v>
      </c>
      <c r="BP58" s="3">
        <v>0</v>
      </c>
      <c r="BQ58" s="3">
        <v>0.79900000000000004</v>
      </c>
      <c r="BR58" s="3">
        <v>0.46166666699999998</v>
      </c>
      <c r="BS58" s="3">
        <v>0</v>
      </c>
      <c r="BT58" s="3">
        <v>0.95799999999999996</v>
      </c>
      <c r="BU58" s="3">
        <v>0.50724999999999998</v>
      </c>
      <c r="BV58" s="3">
        <v>0</v>
      </c>
      <c r="BW58" s="3">
        <v>0.54900000000000004</v>
      </c>
      <c r="BX58" s="3">
        <v>0.46899999999999997</v>
      </c>
      <c r="BY58" s="3">
        <v>0</v>
      </c>
      <c r="BZ58" s="3">
        <v>0.54900000000000004</v>
      </c>
      <c r="CA58" s="3">
        <v>0.33650000000000002</v>
      </c>
      <c r="CB58" s="3">
        <v>0</v>
      </c>
      <c r="CC58" s="3">
        <v>0.92800000000000005</v>
      </c>
      <c r="CD58" s="3">
        <v>0.52900000000000003</v>
      </c>
      <c r="CE58" s="3">
        <v>0</v>
      </c>
      <c r="CF58" s="3">
        <v>0.89900000000000002</v>
      </c>
      <c r="CG58" s="3">
        <v>0.54649999999999999</v>
      </c>
      <c r="CH58" s="3">
        <v>0</v>
      </c>
      <c r="CI58" s="3">
        <v>0.86899999999999999</v>
      </c>
      <c r="CJ58" s="3">
        <v>0.97733333300000003</v>
      </c>
      <c r="CK58" s="3">
        <v>0</v>
      </c>
      <c r="CL58" s="3">
        <v>0.65400000000000003</v>
      </c>
      <c r="CM58" s="3">
        <v>0.01</v>
      </c>
      <c r="CN58" s="3">
        <v>0</v>
      </c>
      <c r="CO58" s="3">
        <v>0.878</v>
      </c>
      <c r="CP58" s="3">
        <v>0.59033333300000002</v>
      </c>
      <c r="CQ58" s="3">
        <v>0</v>
      </c>
      <c r="CR58" s="3">
        <v>0.78500000000000003</v>
      </c>
      <c r="CS58" s="3">
        <v>0.875</v>
      </c>
      <c r="CT58" s="48" t="s">
        <v>316</v>
      </c>
      <c r="CU58" s="49" t="s">
        <v>336</v>
      </c>
      <c r="CV58" s="3">
        <v>1.736</v>
      </c>
      <c r="CW58" s="3">
        <v>2.16</v>
      </c>
      <c r="CX58" s="3">
        <v>2.181</v>
      </c>
      <c r="CY58" s="3">
        <v>1.462</v>
      </c>
      <c r="CZ58" s="3">
        <v>2.645</v>
      </c>
      <c r="DA58" s="3">
        <v>5.9169999999999998</v>
      </c>
      <c r="DB58" s="3">
        <v>1.04</v>
      </c>
      <c r="DC58" s="3">
        <v>5.6559999999999997</v>
      </c>
      <c r="DD58" s="3">
        <v>5.1390000000000002</v>
      </c>
      <c r="DE58" s="3">
        <v>4.1459999999999999</v>
      </c>
      <c r="DF58" s="3">
        <v>1.61</v>
      </c>
      <c r="DG58" s="3">
        <v>3.782</v>
      </c>
      <c r="DH58" s="3">
        <v>2.8140000000000001</v>
      </c>
    </row>
    <row r="59" spans="1:112" x14ac:dyDescent="0.3">
      <c r="A59" s="48" t="s">
        <v>316</v>
      </c>
      <c r="B59" s="49" t="s">
        <v>337</v>
      </c>
      <c r="C59" s="3">
        <v>70.133666500000004</v>
      </c>
      <c r="D59" s="3">
        <v>62.569281099999998</v>
      </c>
      <c r="E59" s="3">
        <v>37.292949</v>
      </c>
      <c r="F59" s="3">
        <v>29.1202389</v>
      </c>
      <c r="G59" s="3">
        <v>29.1202389</v>
      </c>
      <c r="H59" s="3">
        <v>74.938550000000006</v>
      </c>
      <c r="I59" s="48" t="s">
        <v>316</v>
      </c>
      <c r="J59" s="49" t="s">
        <v>337</v>
      </c>
      <c r="K59" s="3">
        <v>45329.5</v>
      </c>
      <c r="L59" s="48" t="s">
        <v>316</v>
      </c>
      <c r="M59" s="49" t="s">
        <v>337</v>
      </c>
      <c r="N59" s="3">
        <v>10018.217490000001</v>
      </c>
      <c r="O59" s="3">
        <v>11852.11688</v>
      </c>
      <c r="P59" s="3">
        <v>6976.3219989999998</v>
      </c>
      <c r="Q59" s="3">
        <v>6175.629543</v>
      </c>
      <c r="R59" s="3">
        <v>10166.992319999999</v>
      </c>
      <c r="S59" s="3">
        <v>11870.37098</v>
      </c>
      <c r="T59" s="3">
        <v>8661.8620200000005</v>
      </c>
      <c r="U59" s="3">
        <v>12025.23819</v>
      </c>
      <c r="V59" s="3">
        <v>9378.8476300000002</v>
      </c>
      <c r="W59" s="3">
        <v>4129.5005609999998</v>
      </c>
      <c r="X59" s="3">
        <v>9288.1298979999992</v>
      </c>
      <c r="Y59" s="3">
        <v>745.7490818</v>
      </c>
      <c r="Z59" s="3">
        <v>2000.0792819999999</v>
      </c>
      <c r="AA59" s="48" t="s">
        <v>316</v>
      </c>
      <c r="AB59" s="49" t="s">
        <v>337</v>
      </c>
      <c r="AC59" s="3">
        <v>1962.7693899999999</v>
      </c>
      <c r="AD59" s="3">
        <v>1938.5901960000001</v>
      </c>
      <c r="AE59" s="3">
        <v>1116.700773</v>
      </c>
      <c r="AF59" s="3">
        <v>357.94634630000002</v>
      </c>
      <c r="AG59" s="3">
        <v>3212.7658740000002</v>
      </c>
      <c r="AH59" s="3">
        <v>2609.0484959999999</v>
      </c>
      <c r="AI59" s="3">
        <v>2630.8525589999999</v>
      </c>
      <c r="AJ59" s="3">
        <v>2313.853791</v>
      </c>
      <c r="AK59" s="3">
        <v>938.1010301</v>
      </c>
      <c r="AL59" s="3">
        <v>1397.297366</v>
      </c>
      <c r="AM59" s="3">
        <v>2565.235236</v>
      </c>
      <c r="AN59" s="3">
        <v>317.66338450000001</v>
      </c>
      <c r="AO59" s="3">
        <v>969.49010009999995</v>
      </c>
      <c r="AP59" s="48" t="s">
        <v>316</v>
      </c>
      <c r="AQ59" s="49" t="s">
        <v>337</v>
      </c>
      <c r="AR59" s="3">
        <v>1144.926776</v>
      </c>
      <c r="AS59" s="3">
        <v>1552.2598640000001</v>
      </c>
      <c r="AT59" s="3">
        <v>1453.3646590000001</v>
      </c>
      <c r="AU59" s="3">
        <v>1401.205183</v>
      </c>
      <c r="AV59" s="3">
        <v>368.61349000000001</v>
      </c>
      <c r="AW59" s="3">
        <v>2019.741724</v>
      </c>
      <c r="AX59" s="3">
        <v>1279.652476</v>
      </c>
      <c r="AY59" s="3">
        <v>1507.644323</v>
      </c>
      <c r="AZ59" s="3">
        <v>859.65028800000005</v>
      </c>
      <c r="BA59" s="3">
        <v>451.4566896</v>
      </c>
      <c r="BB59" s="3">
        <v>762.50107639999999</v>
      </c>
      <c r="BC59" s="3">
        <v>209.35072479999999</v>
      </c>
      <c r="BD59" s="3">
        <v>1028.044993</v>
      </c>
      <c r="BE59" s="48" t="s">
        <v>316</v>
      </c>
      <c r="BF59" s="49" t="s">
        <v>337</v>
      </c>
      <c r="BG59" s="3">
        <v>3.0000000000000001E-3</v>
      </c>
      <c r="BH59" s="3">
        <v>0.69699999999999995</v>
      </c>
      <c r="BI59" s="3">
        <v>0.48349999999999999</v>
      </c>
      <c r="BJ59" s="3">
        <v>0</v>
      </c>
      <c r="BK59" s="3">
        <v>0.63100000000000001</v>
      </c>
      <c r="BL59" s="3">
        <v>0.51349999999999996</v>
      </c>
      <c r="BM59" s="3">
        <v>0</v>
      </c>
      <c r="BN59" s="3">
        <v>0.59099999999999997</v>
      </c>
      <c r="BO59" s="3">
        <v>0.38200000000000001</v>
      </c>
      <c r="BP59" s="3">
        <v>0</v>
      </c>
      <c r="BQ59" s="3">
        <v>0.76700000000000002</v>
      </c>
      <c r="BR59" s="3">
        <v>0.41933333299999997</v>
      </c>
      <c r="BS59" s="3">
        <v>3.0000000000000001E-3</v>
      </c>
      <c r="BT59" s="3">
        <v>0.94799999999999995</v>
      </c>
      <c r="BU59" s="3">
        <v>0.50308333400000005</v>
      </c>
      <c r="BV59" s="3">
        <v>0</v>
      </c>
      <c r="BW59" s="3">
        <v>0.55600000000000005</v>
      </c>
      <c r="BX59" s="3">
        <v>0.433</v>
      </c>
      <c r="BY59" s="3">
        <v>0</v>
      </c>
      <c r="BZ59" s="3">
        <v>0.55600000000000005</v>
      </c>
      <c r="CA59" s="3">
        <v>0.3715</v>
      </c>
      <c r="CB59" s="3">
        <v>2E-3</v>
      </c>
      <c r="CC59" s="3">
        <v>0.90100000000000002</v>
      </c>
      <c r="CD59" s="3">
        <v>0.52266666699999997</v>
      </c>
      <c r="CE59" s="3">
        <v>4.0000000000000001E-3</v>
      </c>
      <c r="CF59" s="3">
        <v>0.88300000000000001</v>
      </c>
      <c r="CG59" s="3">
        <v>0.48549999999999999</v>
      </c>
      <c r="CH59" s="3">
        <v>4.0000000000000001E-3</v>
      </c>
      <c r="CI59" s="3">
        <v>0.85299999999999998</v>
      </c>
      <c r="CJ59" s="3">
        <v>0.97966666700000005</v>
      </c>
      <c r="CK59" s="3">
        <v>0</v>
      </c>
      <c r="CL59" s="3">
        <v>0.623</v>
      </c>
      <c r="CM59" s="3">
        <v>0.01</v>
      </c>
      <c r="CN59" s="3">
        <v>0</v>
      </c>
      <c r="CO59" s="3">
        <v>0.86199999999999999</v>
      </c>
      <c r="CP59" s="3">
        <v>0.62033333300000004</v>
      </c>
      <c r="CQ59" s="3">
        <v>0</v>
      </c>
      <c r="CR59" s="3">
        <v>0.76900000000000002</v>
      </c>
      <c r="CS59" s="3">
        <v>0.89700000000000002</v>
      </c>
      <c r="CT59" s="48" t="s">
        <v>316</v>
      </c>
      <c r="CU59" s="49" t="s">
        <v>337</v>
      </c>
      <c r="CV59" s="3">
        <v>1.57</v>
      </c>
      <c r="CW59" s="3">
        <v>1.956</v>
      </c>
      <c r="CX59" s="3">
        <v>2.3170000000000002</v>
      </c>
      <c r="CY59" s="3">
        <v>1.865</v>
      </c>
      <c r="CZ59" s="3">
        <v>2.5270000000000001</v>
      </c>
      <c r="DA59" s="3">
        <v>5.9109999999999996</v>
      </c>
      <c r="DB59" s="3">
        <v>1.1120000000000001</v>
      </c>
      <c r="DC59" s="3">
        <v>5.4260000000000002</v>
      </c>
      <c r="DD59" s="3">
        <v>5.1429999999999998</v>
      </c>
      <c r="DE59" s="3">
        <v>4.1420000000000003</v>
      </c>
      <c r="DF59" s="3">
        <v>1.7490000000000001</v>
      </c>
      <c r="DG59" s="3">
        <v>3.6280000000000001</v>
      </c>
      <c r="DH59" s="3">
        <v>2.8559999999999999</v>
      </c>
    </row>
    <row r="60" spans="1:112" x14ac:dyDescent="0.3">
      <c r="A60" s="48" t="s">
        <v>316</v>
      </c>
      <c r="B60" s="49" t="s">
        <v>338</v>
      </c>
      <c r="C60" s="3">
        <v>71.791130899999999</v>
      </c>
      <c r="D60" s="3">
        <v>61.996221599999998</v>
      </c>
      <c r="E60" s="3">
        <v>40.369837699999998</v>
      </c>
      <c r="F60" s="3">
        <v>28.265057800000001</v>
      </c>
      <c r="G60" s="3">
        <v>28.265057800000001</v>
      </c>
      <c r="H60" s="3">
        <v>81.868161799999996</v>
      </c>
      <c r="I60" s="48" t="s">
        <v>316</v>
      </c>
      <c r="J60" s="49" t="s">
        <v>338</v>
      </c>
      <c r="K60" s="3">
        <v>45704</v>
      </c>
      <c r="L60" s="48" t="s">
        <v>316</v>
      </c>
      <c r="M60" s="49" t="s">
        <v>338</v>
      </c>
      <c r="N60" s="3">
        <v>8183.0503170000002</v>
      </c>
      <c r="O60" s="3">
        <v>10347.3145</v>
      </c>
      <c r="P60" s="3">
        <v>6134.0406970000004</v>
      </c>
      <c r="Q60" s="3">
        <v>5562.0253979999998</v>
      </c>
      <c r="R60" s="3">
        <v>8718.6998210000002</v>
      </c>
      <c r="S60" s="3">
        <v>10593.05992</v>
      </c>
      <c r="T60" s="3">
        <v>7833.1897580000004</v>
      </c>
      <c r="U60" s="3">
        <v>9663.7084439999999</v>
      </c>
      <c r="V60" s="3">
        <v>7520.0615260000004</v>
      </c>
      <c r="W60" s="3">
        <v>3470.1340799999998</v>
      </c>
      <c r="X60" s="3">
        <v>8137.1228140000003</v>
      </c>
      <c r="Y60" s="3">
        <v>618.61950130000002</v>
      </c>
      <c r="Z60" s="3">
        <v>1835.2189310000001</v>
      </c>
      <c r="AA60" s="48" t="s">
        <v>316</v>
      </c>
      <c r="AB60" s="49" t="s">
        <v>338</v>
      </c>
      <c r="AC60" s="3">
        <v>1776.1563410000001</v>
      </c>
      <c r="AD60" s="3">
        <v>1754.276018</v>
      </c>
      <c r="AE60" s="3">
        <v>1066.977547</v>
      </c>
      <c r="AF60" s="3">
        <v>342.0081045</v>
      </c>
      <c r="AG60" s="3">
        <v>2907.3076590000001</v>
      </c>
      <c r="AH60" s="3">
        <v>2360.9895550000001</v>
      </c>
      <c r="AI60" s="3">
        <v>2513.708846</v>
      </c>
      <c r="AJ60" s="3">
        <v>2093.860901</v>
      </c>
      <c r="AK60" s="3">
        <v>848.90976069999999</v>
      </c>
      <c r="AL60" s="3">
        <v>1264.4473620000001</v>
      </c>
      <c r="AM60" s="3">
        <v>2321.341903</v>
      </c>
      <c r="AN60" s="3">
        <v>287.46109330000002</v>
      </c>
      <c r="AO60" s="3">
        <v>877.31447089999995</v>
      </c>
      <c r="AP60" s="48" t="s">
        <v>316</v>
      </c>
      <c r="AQ60" s="49" t="s">
        <v>338</v>
      </c>
      <c r="AR60" s="3">
        <v>1097.5801799999999</v>
      </c>
      <c r="AS60" s="3">
        <v>1488.068667</v>
      </c>
      <c r="AT60" s="3">
        <v>1402.0376550000001</v>
      </c>
      <c r="AU60" s="3">
        <v>1351.720241</v>
      </c>
      <c r="AV60" s="3">
        <v>353.37007499999999</v>
      </c>
      <c r="AW60" s="3">
        <v>1936.21857</v>
      </c>
      <c r="AX60" s="3">
        <v>1234.460288</v>
      </c>
      <c r="AY60" s="3">
        <v>1445.298129</v>
      </c>
      <c r="AZ60" s="3">
        <v>824.10083999999995</v>
      </c>
      <c r="BA60" s="3">
        <v>432.78742799999998</v>
      </c>
      <c r="BB60" s="3">
        <v>730.96907699999997</v>
      </c>
      <c r="BC60" s="3">
        <v>200.693364</v>
      </c>
      <c r="BD60" s="3">
        <v>985.53185399999995</v>
      </c>
      <c r="BE60" s="48" t="s">
        <v>316</v>
      </c>
      <c r="BF60" s="49" t="s">
        <v>338</v>
      </c>
      <c r="BG60" s="3">
        <v>3.3000000000000002E-2</v>
      </c>
      <c r="BH60" s="3">
        <v>0.63100000000000001</v>
      </c>
      <c r="BI60" s="3">
        <v>0.47799999999999998</v>
      </c>
      <c r="BJ60" s="3">
        <v>1.9E-2</v>
      </c>
      <c r="BK60" s="3">
        <v>0.57699999999999996</v>
      </c>
      <c r="BL60" s="3">
        <v>0.51049999999999995</v>
      </c>
      <c r="BM60" s="3">
        <v>0.01</v>
      </c>
      <c r="BN60" s="3">
        <v>0.55700000000000005</v>
      </c>
      <c r="BO60" s="3">
        <v>0.36199999999999999</v>
      </c>
      <c r="BP60" s="3">
        <v>7.0000000000000001E-3</v>
      </c>
      <c r="BQ60" s="3">
        <v>0.72399999999999998</v>
      </c>
      <c r="BR60" s="3">
        <v>0.367666667</v>
      </c>
      <c r="BS60" s="3">
        <v>3.2000000000000001E-2</v>
      </c>
      <c r="BT60" s="3">
        <v>0.94099999999999995</v>
      </c>
      <c r="BU60" s="3">
        <v>0.49633333400000001</v>
      </c>
      <c r="BV60" s="3">
        <v>1.4999999999999999E-2</v>
      </c>
      <c r="BW60" s="3">
        <v>0.56399999999999995</v>
      </c>
      <c r="BX60" s="3">
        <v>0.39800000000000002</v>
      </c>
      <c r="BY60" s="3">
        <v>1E-3</v>
      </c>
      <c r="BZ60" s="3">
        <v>0.56399999999999995</v>
      </c>
      <c r="CA60" s="3">
        <v>0.38</v>
      </c>
      <c r="CB60" s="3">
        <v>2.1000000000000001E-2</v>
      </c>
      <c r="CC60" s="3">
        <v>0.88200000000000001</v>
      </c>
      <c r="CD60" s="3">
        <v>0.51466666699999997</v>
      </c>
      <c r="CE60" s="3">
        <v>5.5E-2</v>
      </c>
      <c r="CF60" s="3">
        <v>0.86099999999999999</v>
      </c>
      <c r="CG60" s="3">
        <v>0.44600000000000001</v>
      </c>
      <c r="CH60" s="3">
        <v>5.5E-2</v>
      </c>
      <c r="CI60" s="3">
        <v>0.83099999999999996</v>
      </c>
      <c r="CJ60" s="3">
        <v>0.97933333300000003</v>
      </c>
      <c r="CK60" s="3">
        <v>8.9999999999999993E-3</v>
      </c>
      <c r="CL60" s="3">
        <v>0.58799999999999997</v>
      </c>
      <c r="CM60" s="3">
        <v>0.01</v>
      </c>
      <c r="CN60" s="3">
        <v>2.9000000000000001E-2</v>
      </c>
      <c r="CO60" s="3">
        <v>0.83799999999999997</v>
      </c>
      <c r="CP60" s="3">
        <v>0.63300000000000001</v>
      </c>
      <c r="CQ60" s="3">
        <v>6.0000000000000001E-3</v>
      </c>
      <c r="CR60" s="3">
        <v>0.749</v>
      </c>
      <c r="CS60" s="3">
        <v>0.90100000000000002</v>
      </c>
      <c r="CT60" s="48" t="s">
        <v>316</v>
      </c>
      <c r="CU60" s="49" t="s">
        <v>338</v>
      </c>
      <c r="CV60" s="3">
        <v>1.921</v>
      </c>
      <c r="CW60" s="3">
        <v>2.1339999999999999</v>
      </c>
      <c r="CX60" s="3">
        <v>2.4929999999999999</v>
      </c>
      <c r="CY60" s="3">
        <v>2.4300000000000002</v>
      </c>
      <c r="CZ60" s="3">
        <v>3.0329999999999999</v>
      </c>
      <c r="DA60" s="3">
        <v>5.9710000000000001</v>
      </c>
      <c r="DB60" s="3">
        <v>1.3140000000000001</v>
      </c>
      <c r="DC60" s="3">
        <v>5.673</v>
      </c>
      <c r="DD60" s="3">
        <v>5.4119999999999999</v>
      </c>
      <c r="DE60" s="3">
        <v>4.3940000000000001</v>
      </c>
      <c r="DF60" s="3">
        <v>2.09</v>
      </c>
      <c r="DG60" s="3">
        <v>3.74</v>
      </c>
      <c r="DH60" s="3">
        <v>3.0259999999999998</v>
      </c>
    </row>
    <row r="61" spans="1:112" x14ac:dyDescent="0.3">
      <c r="A61" s="48" t="s">
        <v>316</v>
      </c>
      <c r="B61" s="49" t="s">
        <v>339</v>
      </c>
      <c r="C61" s="3">
        <v>62.789688599999998</v>
      </c>
      <c r="D61" s="3">
        <v>59.457127200000002</v>
      </c>
      <c r="E61" s="3">
        <v>37.381112000000002</v>
      </c>
      <c r="F61" s="3">
        <v>28.0534666</v>
      </c>
      <c r="G61" s="3">
        <v>28.0534666</v>
      </c>
      <c r="H61" s="3">
        <v>77.583439999999996</v>
      </c>
      <c r="I61" s="48" t="s">
        <v>316</v>
      </c>
      <c r="J61" s="49" t="s">
        <v>339</v>
      </c>
      <c r="K61" s="3">
        <v>45053</v>
      </c>
      <c r="L61" s="48" t="s">
        <v>316</v>
      </c>
      <c r="M61" s="49" t="s">
        <v>339</v>
      </c>
      <c r="N61" s="3">
        <v>6252.4902700000002</v>
      </c>
      <c r="O61" s="3">
        <v>8288.0513140000003</v>
      </c>
      <c r="P61" s="3">
        <v>5146.4099820000001</v>
      </c>
      <c r="Q61" s="3">
        <v>4813.122163</v>
      </c>
      <c r="R61" s="3">
        <v>6675.0569009999999</v>
      </c>
      <c r="S61" s="3">
        <v>8764.7166300000008</v>
      </c>
      <c r="T61" s="3">
        <v>6532.0635940000002</v>
      </c>
      <c r="U61" s="3">
        <v>7327.7182640000001</v>
      </c>
      <c r="V61" s="3">
        <v>5736.2615910000004</v>
      </c>
      <c r="W61" s="3">
        <v>3266.9439779999998</v>
      </c>
      <c r="X61" s="3">
        <v>6573.8354090000003</v>
      </c>
      <c r="Y61" s="3">
        <v>561.70996609999997</v>
      </c>
      <c r="Z61" s="3">
        <v>1710.5786439999999</v>
      </c>
      <c r="AA61" s="48" t="s">
        <v>316</v>
      </c>
      <c r="AB61" s="49" t="s">
        <v>339</v>
      </c>
      <c r="AC61" s="3">
        <v>1810.81305</v>
      </c>
      <c r="AD61" s="3">
        <v>1788.505793</v>
      </c>
      <c r="AE61" s="3">
        <v>1098.4689229999999</v>
      </c>
      <c r="AF61" s="3">
        <v>352.10232430000002</v>
      </c>
      <c r="AG61" s="3">
        <v>2964.035613</v>
      </c>
      <c r="AH61" s="3">
        <v>2407.057644</v>
      </c>
      <c r="AI61" s="3">
        <v>2587.899864</v>
      </c>
      <c r="AJ61" s="3">
        <v>2134.716723</v>
      </c>
      <c r="AK61" s="3">
        <v>865.47385359999998</v>
      </c>
      <c r="AL61" s="3">
        <v>1289.119506</v>
      </c>
      <c r="AM61" s="3">
        <v>2366.636379</v>
      </c>
      <c r="AN61" s="3">
        <v>293.07009019999998</v>
      </c>
      <c r="AO61" s="3">
        <v>894.4328021</v>
      </c>
      <c r="AP61" s="48" t="s">
        <v>316</v>
      </c>
      <c r="AQ61" s="49" t="s">
        <v>339</v>
      </c>
      <c r="AR61" s="3">
        <v>1048.0814660000001</v>
      </c>
      <c r="AS61" s="3">
        <v>1420.9596879999999</v>
      </c>
      <c r="AT61" s="3">
        <v>1318.293594</v>
      </c>
      <c r="AU61" s="3">
        <v>1270.9816530000001</v>
      </c>
      <c r="AV61" s="3">
        <v>337.43377750000002</v>
      </c>
      <c r="AW61" s="3">
        <v>1848.898909</v>
      </c>
      <c r="AX61" s="3">
        <v>1160.725666</v>
      </c>
      <c r="AY61" s="3">
        <v>1380.118017</v>
      </c>
      <c r="AZ61" s="3">
        <v>786.93550800000003</v>
      </c>
      <c r="BA61" s="3">
        <v>413.26956360000003</v>
      </c>
      <c r="BB61" s="3">
        <v>698.00380489999998</v>
      </c>
      <c r="BC61" s="3">
        <v>191.6424868</v>
      </c>
      <c r="BD61" s="3">
        <v>941.08629980000001</v>
      </c>
      <c r="BE61" s="48" t="s">
        <v>316</v>
      </c>
      <c r="BF61" s="49" t="s">
        <v>339</v>
      </c>
      <c r="BG61" s="3">
        <v>6.4000000000000001E-2</v>
      </c>
      <c r="BH61" s="3">
        <v>0.628</v>
      </c>
      <c r="BI61" s="3">
        <v>0.45250000000000001</v>
      </c>
      <c r="BJ61" s="3">
        <v>4.2000000000000003E-2</v>
      </c>
      <c r="BK61" s="3">
        <v>0.52</v>
      </c>
      <c r="BL61" s="3">
        <v>0.46750000000000003</v>
      </c>
      <c r="BM61" s="3">
        <v>3.5000000000000003E-2</v>
      </c>
      <c r="BN61" s="3">
        <v>0.503</v>
      </c>
      <c r="BO61" s="3">
        <v>0.318</v>
      </c>
      <c r="BP61" s="3">
        <v>2.7E-2</v>
      </c>
      <c r="BQ61" s="3">
        <v>0.71299999999999997</v>
      </c>
      <c r="BR61" s="3">
        <v>0.32066666700000002</v>
      </c>
      <c r="BS61" s="3">
        <v>8.2000000000000003E-2</v>
      </c>
      <c r="BT61" s="3">
        <v>0.94399999999999995</v>
      </c>
      <c r="BU61" s="3">
        <v>0.47875000000000001</v>
      </c>
      <c r="BV61" s="3">
        <v>3.6999999999999998E-2</v>
      </c>
      <c r="BW61" s="3">
        <v>0.53600000000000003</v>
      </c>
      <c r="BX61" s="3">
        <v>0.36</v>
      </c>
      <c r="BY61" s="3">
        <v>1.4999999999999999E-2</v>
      </c>
      <c r="BZ61" s="3">
        <v>0.53600000000000003</v>
      </c>
      <c r="CA61" s="3">
        <v>0.375</v>
      </c>
      <c r="CB61" s="3">
        <v>6.3E-2</v>
      </c>
      <c r="CC61" s="3">
        <v>0.86</v>
      </c>
      <c r="CD61" s="3">
        <v>0.505</v>
      </c>
      <c r="CE61" s="3">
        <v>0.09</v>
      </c>
      <c r="CF61" s="3">
        <v>0.84499999999999997</v>
      </c>
      <c r="CG61" s="3">
        <v>0.45550000000000002</v>
      </c>
      <c r="CH61" s="3">
        <v>8.7999999999999995E-2</v>
      </c>
      <c r="CI61" s="3">
        <v>0.81699999999999995</v>
      </c>
      <c r="CJ61" s="3">
        <v>0.97699999999999998</v>
      </c>
      <c r="CK61" s="3">
        <v>2.1000000000000001E-2</v>
      </c>
      <c r="CL61" s="3">
        <v>0.55400000000000005</v>
      </c>
      <c r="CM61" s="3">
        <v>0.01</v>
      </c>
      <c r="CN61" s="3">
        <v>5.8000000000000003E-2</v>
      </c>
      <c r="CO61" s="3">
        <v>0.81699999999999995</v>
      </c>
      <c r="CP61" s="3">
        <v>0.64700000000000002</v>
      </c>
      <c r="CQ61" s="3">
        <v>1.2E-2</v>
      </c>
      <c r="CR61" s="3">
        <v>0.73199999999999998</v>
      </c>
      <c r="CS61" s="3">
        <v>0.90200000000000002</v>
      </c>
      <c r="CT61" s="48" t="s">
        <v>316</v>
      </c>
      <c r="CU61" s="49" t="s">
        <v>339</v>
      </c>
      <c r="CV61" s="3">
        <v>2.8069999999999999</v>
      </c>
      <c r="CW61" s="3">
        <v>2.6539999999999999</v>
      </c>
      <c r="CX61" s="3">
        <v>2.8769999999999998</v>
      </c>
      <c r="CY61" s="3">
        <v>2.9209999999999998</v>
      </c>
      <c r="CZ61" s="3">
        <v>3.7429999999999999</v>
      </c>
      <c r="DA61" s="3">
        <v>6.0609999999999999</v>
      </c>
      <c r="DB61" s="3">
        <v>1.331</v>
      </c>
      <c r="DC61" s="3">
        <v>6.077</v>
      </c>
      <c r="DD61" s="3">
        <v>5.681</v>
      </c>
      <c r="DE61" s="3">
        <v>4.7919999999999998</v>
      </c>
      <c r="DF61" s="3">
        <v>2.6240000000000001</v>
      </c>
      <c r="DG61" s="3">
        <v>4.0640000000000001</v>
      </c>
      <c r="DH61" s="3">
        <v>3.306</v>
      </c>
    </row>
    <row r="62" spans="1:112" x14ac:dyDescent="0.3">
      <c r="A62" s="48" t="s">
        <v>316</v>
      </c>
      <c r="B62" s="49" t="s">
        <v>340</v>
      </c>
      <c r="C62" s="3">
        <v>68.361590199999995</v>
      </c>
      <c r="D62" s="3">
        <v>55.815995299999997</v>
      </c>
      <c r="E62" s="3">
        <v>35.2652</v>
      </c>
      <c r="F62" s="3">
        <v>27.806610200000001</v>
      </c>
      <c r="G62" s="3">
        <v>27.806610200000001</v>
      </c>
      <c r="H62" s="3">
        <v>71.870477600000001</v>
      </c>
      <c r="I62" s="48" t="s">
        <v>316</v>
      </c>
      <c r="J62" s="49" t="s">
        <v>340</v>
      </c>
      <c r="K62" s="3">
        <v>44871</v>
      </c>
      <c r="L62" s="48" t="s">
        <v>316</v>
      </c>
      <c r="M62" s="49" t="s">
        <v>340</v>
      </c>
      <c r="N62" s="3">
        <v>5016.3195340000002</v>
      </c>
      <c r="O62" s="3">
        <v>6970.7071569999998</v>
      </c>
      <c r="P62" s="3">
        <v>4698.8781179999996</v>
      </c>
      <c r="Q62" s="3">
        <v>4351.9695190000002</v>
      </c>
      <c r="R62" s="3">
        <v>5647.8070470000002</v>
      </c>
      <c r="S62" s="3">
        <v>7475.0273139999999</v>
      </c>
      <c r="T62" s="3">
        <v>5896.9064820000003</v>
      </c>
      <c r="U62" s="3">
        <v>6160.4142860000002</v>
      </c>
      <c r="V62" s="3">
        <v>4905.9630299999999</v>
      </c>
      <c r="W62" s="3">
        <v>3313.1221289999999</v>
      </c>
      <c r="X62" s="3">
        <v>5545.0570530000005</v>
      </c>
      <c r="Y62" s="3">
        <v>560.41514959999995</v>
      </c>
      <c r="Z62" s="3">
        <v>1522.9155780000001</v>
      </c>
      <c r="AA62" s="48" t="s">
        <v>316</v>
      </c>
      <c r="AB62" s="49" t="s">
        <v>340</v>
      </c>
      <c r="AC62" s="3">
        <v>1883.0256360000001</v>
      </c>
      <c r="AD62" s="3">
        <v>1859.828798</v>
      </c>
      <c r="AE62" s="3">
        <v>1168.205747</v>
      </c>
      <c r="AF62" s="3">
        <v>374.45570839999999</v>
      </c>
      <c r="AG62" s="3">
        <v>3082.2370329999999</v>
      </c>
      <c r="AH62" s="3">
        <v>2503.047595</v>
      </c>
      <c r="AI62" s="3">
        <v>2752.1939219999999</v>
      </c>
      <c r="AJ62" s="3">
        <v>2219.8461149999998</v>
      </c>
      <c r="AK62" s="3">
        <v>899.98768949999999</v>
      </c>
      <c r="AL62" s="3">
        <v>1340.5277129999999</v>
      </c>
      <c r="AM62" s="3">
        <v>2461.0143889999999</v>
      </c>
      <c r="AN62" s="3">
        <v>304.7572983</v>
      </c>
      <c r="AO62" s="3">
        <v>930.10147859999995</v>
      </c>
      <c r="AP62" s="48" t="s">
        <v>316</v>
      </c>
      <c r="AQ62" s="49" t="s">
        <v>340</v>
      </c>
      <c r="AR62" s="3">
        <v>987.82216200000005</v>
      </c>
      <c r="AS62" s="3">
        <v>1339.2618</v>
      </c>
      <c r="AT62" s="3">
        <v>1250.7580620000001</v>
      </c>
      <c r="AU62" s="3">
        <v>1205.8698879999999</v>
      </c>
      <c r="AV62" s="3">
        <v>318.03306750000002</v>
      </c>
      <c r="AW62" s="3">
        <v>1742.5967129999999</v>
      </c>
      <c r="AX62" s="3">
        <v>1101.2622610000001</v>
      </c>
      <c r="AY62" s="3">
        <v>1300.7683159999999</v>
      </c>
      <c r="AZ62" s="3">
        <v>741.69075599999996</v>
      </c>
      <c r="BA62" s="3">
        <v>389.5086852</v>
      </c>
      <c r="BB62" s="3">
        <v>657.8721693</v>
      </c>
      <c r="BC62" s="3">
        <v>180.62402760000001</v>
      </c>
      <c r="BD62" s="3">
        <v>886.97866859999999</v>
      </c>
      <c r="BE62" s="48" t="s">
        <v>316</v>
      </c>
      <c r="BF62" s="49" t="s">
        <v>340</v>
      </c>
      <c r="BG62" s="3">
        <v>8.1000000000000003E-2</v>
      </c>
      <c r="BH62" s="3">
        <v>0.63500000000000001</v>
      </c>
      <c r="BI62" s="3">
        <v>0.42599999999999999</v>
      </c>
      <c r="BJ62" s="3">
        <v>5.5E-2</v>
      </c>
      <c r="BK62" s="3">
        <v>0.50600000000000001</v>
      </c>
      <c r="BL62" s="3">
        <v>0.43099999999999999</v>
      </c>
      <c r="BM62" s="3">
        <v>5.1999999999999998E-2</v>
      </c>
      <c r="BN62" s="3">
        <v>0.51300000000000001</v>
      </c>
      <c r="BO62" s="3">
        <v>0.28449999999999998</v>
      </c>
      <c r="BP62" s="3">
        <v>4.3999999999999997E-2</v>
      </c>
      <c r="BQ62" s="3">
        <v>0.64700000000000002</v>
      </c>
      <c r="BR62" s="3">
        <v>0.28766666699999999</v>
      </c>
      <c r="BS62" s="3">
        <v>0.112</v>
      </c>
      <c r="BT62" s="3">
        <v>0.94399999999999995</v>
      </c>
      <c r="BU62" s="3">
        <v>0.46266666699999998</v>
      </c>
      <c r="BV62" s="3">
        <v>4.4999999999999998E-2</v>
      </c>
      <c r="BW62" s="3">
        <v>0.47599999999999998</v>
      </c>
      <c r="BX62" s="3">
        <v>0.33600000000000002</v>
      </c>
      <c r="BY62" s="3">
        <v>2.9000000000000001E-2</v>
      </c>
      <c r="BZ62" s="3">
        <v>0.47599999999999998</v>
      </c>
      <c r="CA62" s="3">
        <v>0.38400000000000001</v>
      </c>
      <c r="CB62" s="3">
        <v>9.2999999999999999E-2</v>
      </c>
      <c r="CC62" s="3">
        <v>0.85</v>
      </c>
      <c r="CD62" s="3">
        <v>0.49933333299999999</v>
      </c>
      <c r="CE62" s="3">
        <v>9.4E-2</v>
      </c>
      <c r="CF62" s="3">
        <v>0.82599999999999996</v>
      </c>
      <c r="CG62" s="3">
        <v>0.48199999999999998</v>
      </c>
      <c r="CH62" s="3">
        <v>9.1999999999999998E-2</v>
      </c>
      <c r="CI62" s="3">
        <v>0.80800000000000005</v>
      </c>
      <c r="CJ62" s="3">
        <v>0.96899999999999997</v>
      </c>
      <c r="CK62" s="3">
        <v>3.6999999999999998E-2</v>
      </c>
      <c r="CL62" s="3">
        <v>0.54200000000000004</v>
      </c>
      <c r="CM62" s="3">
        <v>0.01</v>
      </c>
      <c r="CN62" s="3">
        <v>5.5E-2</v>
      </c>
      <c r="CO62" s="3">
        <v>0.78800000000000003</v>
      </c>
      <c r="CP62" s="3">
        <v>0.65133333299999996</v>
      </c>
      <c r="CQ62" s="3">
        <v>0.02</v>
      </c>
      <c r="CR62" s="3">
        <v>0.71399999999999997</v>
      </c>
      <c r="CS62" s="3">
        <v>0.9</v>
      </c>
      <c r="CT62" s="48" t="s">
        <v>316</v>
      </c>
      <c r="CU62" s="49" t="s">
        <v>340</v>
      </c>
      <c r="CV62" s="3">
        <v>3.8039999999999998</v>
      </c>
      <c r="CW62" s="3">
        <v>3.3170000000000002</v>
      </c>
      <c r="CX62" s="3">
        <v>3.347</v>
      </c>
      <c r="CY62" s="3">
        <v>3.331</v>
      </c>
      <c r="CZ62" s="3">
        <v>4.3259999999999996</v>
      </c>
      <c r="DA62" s="3">
        <v>6.2530000000000001</v>
      </c>
      <c r="DB62" s="3">
        <v>1.4910000000000001</v>
      </c>
      <c r="DC62" s="3">
        <v>6.3209999999999997</v>
      </c>
      <c r="DD62" s="3">
        <v>5.9539999999999997</v>
      </c>
      <c r="DE62" s="3">
        <v>5.0880000000000001</v>
      </c>
      <c r="DF62" s="3">
        <v>3.258</v>
      </c>
      <c r="DG62" s="3">
        <v>4.3810000000000002</v>
      </c>
      <c r="DH62" s="3">
        <v>3.5550000000000002</v>
      </c>
    </row>
    <row r="63" spans="1:112" x14ac:dyDescent="0.3">
      <c r="A63" s="48" t="s">
        <v>316</v>
      </c>
      <c r="B63" s="49" t="s">
        <v>341</v>
      </c>
      <c r="C63" s="3">
        <v>63.239319899999998</v>
      </c>
      <c r="D63" s="3">
        <v>55.630853000000002</v>
      </c>
      <c r="E63" s="3">
        <v>37.381112000000002</v>
      </c>
      <c r="F63" s="3">
        <v>27.736079799999999</v>
      </c>
      <c r="G63" s="3">
        <v>27.736079799999999</v>
      </c>
      <c r="H63" s="3">
        <v>71.826396099999997</v>
      </c>
      <c r="I63" s="48" t="s">
        <v>316</v>
      </c>
      <c r="J63" s="49" t="s">
        <v>341</v>
      </c>
      <c r="K63" s="3">
        <v>44227</v>
      </c>
      <c r="L63" s="48" t="s">
        <v>316</v>
      </c>
      <c r="M63" s="49" t="s">
        <v>341</v>
      </c>
      <c r="N63" s="3">
        <v>4790.9623419999998</v>
      </c>
      <c r="O63" s="3">
        <v>6572.0605500000001</v>
      </c>
      <c r="P63" s="3">
        <v>4645.7570750000004</v>
      </c>
      <c r="Q63" s="3">
        <v>4316.9289369999997</v>
      </c>
      <c r="R63" s="3">
        <v>5587.0796060000002</v>
      </c>
      <c r="S63" s="3">
        <v>7278.9509239999998</v>
      </c>
      <c r="T63" s="3">
        <v>6023.6857040000004</v>
      </c>
      <c r="U63" s="3">
        <v>5879.1887630000001</v>
      </c>
      <c r="V63" s="3">
        <v>4589.5532489999996</v>
      </c>
      <c r="W63" s="3">
        <v>3328.5187289999999</v>
      </c>
      <c r="X63" s="3">
        <v>5401.1622200000002</v>
      </c>
      <c r="Y63" s="3">
        <v>590.66048590000003</v>
      </c>
      <c r="Z63" s="3">
        <v>1717.9273519999999</v>
      </c>
      <c r="AA63" s="48" t="s">
        <v>316</v>
      </c>
      <c r="AB63" s="49" t="s">
        <v>341</v>
      </c>
      <c r="AC63" s="3">
        <v>1786.25344</v>
      </c>
      <c r="AD63" s="3">
        <v>1764.2487309999999</v>
      </c>
      <c r="AE63" s="3">
        <v>1113.0544030000001</v>
      </c>
      <c r="AF63" s="3">
        <v>356.77754190000002</v>
      </c>
      <c r="AG63" s="3">
        <v>2923.8351299999999</v>
      </c>
      <c r="AH63" s="3">
        <v>2374.4113160000002</v>
      </c>
      <c r="AI63" s="3">
        <v>2622.2620200000001</v>
      </c>
      <c r="AJ63" s="3">
        <v>2105.764087</v>
      </c>
      <c r="AK63" s="3">
        <v>853.73564550000003</v>
      </c>
      <c r="AL63" s="3">
        <v>1271.6354960000001</v>
      </c>
      <c r="AM63" s="3">
        <v>2334.538274</v>
      </c>
      <c r="AN63" s="3">
        <v>289.09525300000001</v>
      </c>
      <c r="AO63" s="3">
        <v>882.30183090000003</v>
      </c>
      <c r="AP63" s="48" t="s">
        <v>316</v>
      </c>
      <c r="AQ63" s="49" t="s">
        <v>341</v>
      </c>
      <c r="AR63" s="3">
        <v>934.01921200000004</v>
      </c>
      <c r="AS63" s="3">
        <v>1266.317258</v>
      </c>
      <c r="AT63" s="3">
        <v>1210.236742</v>
      </c>
      <c r="AU63" s="3">
        <v>1166.802829</v>
      </c>
      <c r="AV63" s="3">
        <v>300.711005</v>
      </c>
      <c r="AW63" s="3">
        <v>1647.6840380000001</v>
      </c>
      <c r="AX63" s="3">
        <v>1065.584218</v>
      </c>
      <c r="AY63" s="3">
        <v>1229.9203689999999</v>
      </c>
      <c r="AZ63" s="3">
        <v>701.29365600000006</v>
      </c>
      <c r="BA63" s="3">
        <v>368.29361519999998</v>
      </c>
      <c r="BB63" s="3">
        <v>622.04035180000005</v>
      </c>
      <c r="BC63" s="3">
        <v>170.78611760000001</v>
      </c>
      <c r="BD63" s="3">
        <v>838.6682836</v>
      </c>
      <c r="BE63" s="48" t="s">
        <v>316</v>
      </c>
      <c r="BF63" s="49" t="s">
        <v>341</v>
      </c>
      <c r="BG63" s="3">
        <v>6.7000000000000004E-2</v>
      </c>
      <c r="BH63" s="3">
        <v>0.61899999999999999</v>
      </c>
      <c r="BI63" s="3">
        <v>0.4</v>
      </c>
      <c r="BJ63" s="3">
        <v>4.9000000000000002E-2</v>
      </c>
      <c r="BK63" s="3">
        <v>0.505</v>
      </c>
      <c r="BL63" s="3">
        <v>0.41499999999999998</v>
      </c>
      <c r="BM63" s="3">
        <v>5.0999999999999997E-2</v>
      </c>
      <c r="BN63" s="3">
        <v>0.52300000000000002</v>
      </c>
      <c r="BO63" s="3">
        <v>0.25850000000000001</v>
      </c>
      <c r="BP63" s="3">
        <v>4.4999999999999998E-2</v>
      </c>
      <c r="BQ63" s="3">
        <v>0.628</v>
      </c>
      <c r="BR63" s="3">
        <v>0.25966666700000002</v>
      </c>
      <c r="BS63" s="3">
        <v>0.09</v>
      </c>
      <c r="BT63" s="3">
        <v>0.93300000000000005</v>
      </c>
      <c r="BU63" s="3">
        <v>0.44066666700000001</v>
      </c>
      <c r="BV63" s="3">
        <v>3.5000000000000003E-2</v>
      </c>
      <c r="BW63" s="3">
        <v>0.41899999999999998</v>
      </c>
      <c r="BX63" s="3">
        <v>0.33300000000000002</v>
      </c>
      <c r="BY63" s="3">
        <v>3.9E-2</v>
      </c>
      <c r="BZ63" s="3">
        <v>0.41899999999999998</v>
      </c>
      <c r="CA63" s="3">
        <v>0.39750000000000002</v>
      </c>
      <c r="CB63" s="3">
        <v>9.0999999999999998E-2</v>
      </c>
      <c r="CC63" s="3">
        <v>0.84499999999999997</v>
      </c>
      <c r="CD63" s="3">
        <v>0.48133333299999997</v>
      </c>
      <c r="CE63" s="3">
        <v>6.9000000000000006E-2</v>
      </c>
      <c r="CF63" s="3">
        <v>0.80500000000000005</v>
      </c>
      <c r="CG63" s="3">
        <v>0.50849999999999995</v>
      </c>
      <c r="CH63" s="3">
        <v>6.7000000000000004E-2</v>
      </c>
      <c r="CI63" s="3">
        <v>0.78700000000000003</v>
      </c>
      <c r="CJ63" s="3">
        <v>0.94399999999999995</v>
      </c>
      <c r="CK63" s="3">
        <v>4.8000000000000001E-2</v>
      </c>
      <c r="CL63" s="3">
        <v>0.51800000000000002</v>
      </c>
      <c r="CM63" s="3">
        <v>0.01</v>
      </c>
      <c r="CN63" s="3">
        <v>4.2999999999999997E-2</v>
      </c>
      <c r="CO63" s="3">
        <v>0.76</v>
      </c>
      <c r="CP63" s="3">
        <v>0.61833333300000004</v>
      </c>
      <c r="CQ63" s="3">
        <v>3.2000000000000001E-2</v>
      </c>
      <c r="CR63" s="3">
        <v>0.70199999999999996</v>
      </c>
      <c r="CS63" s="3">
        <v>0.90500000000000003</v>
      </c>
      <c r="CT63" s="48" t="s">
        <v>316</v>
      </c>
      <c r="CU63" s="49" t="s">
        <v>341</v>
      </c>
      <c r="CV63" s="3">
        <v>4.3819999999999997</v>
      </c>
      <c r="CW63" s="3">
        <v>3.948</v>
      </c>
      <c r="CX63" s="3">
        <v>3.7130000000000001</v>
      </c>
      <c r="CY63" s="3">
        <v>3.468</v>
      </c>
      <c r="CZ63" s="3">
        <v>4.6760000000000002</v>
      </c>
      <c r="DA63" s="3">
        <v>6.4219999999999997</v>
      </c>
      <c r="DB63" s="3">
        <v>1.5649999999999999</v>
      </c>
      <c r="DC63" s="3">
        <v>6.399</v>
      </c>
      <c r="DD63" s="3">
        <v>6.0209999999999999</v>
      </c>
      <c r="DE63" s="3">
        <v>5.1829999999999998</v>
      </c>
      <c r="DF63" s="3">
        <v>3.7450000000000001</v>
      </c>
      <c r="DG63" s="3">
        <v>4.5519999999999996</v>
      </c>
      <c r="DH63" s="3">
        <v>3.66</v>
      </c>
    </row>
    <row r="64" spans="1:112" x14ac:dyDescent="0.3">
      <c r="A64" s="48" t="s">
        <v>316</v>
      </c>
      <c r="B64" s="49" t="s">
        <v>342</v>
      </c>
      <c r="C64" s="3">
        <v>62.666260399999999</v>
      </c>
      <c r="D64" s="3">
        <v>54.008653799999998</v>
      </c>
      <c r="E64" s="3">
        <v>36.234993000000003</v>
      </c>
      <c r="F64" s="3">
        <v>27.9917525</v>
      </c>
      <c r="G64" s="3">
        <v>27.9917525</v>
      </c>
      <c r="H64" s="3">
        <v>68.696609600000002</v>
      </c>
      <c r="I64" s="48" t="s">
        <v>316</v>
      </c>
      <c r="J64" s="49" t="s">
        <v>342</v>
      </c>
      <c r="K64" s="3">
        <v>44712</v>
      </c>
      <c r="L64" s="48" t="s">
        <v>316</v>
      </c>
      <c r="M64" s="49" t="s">
        <v>342</v>
      </c>
      <c r="N64" s="3">
        <v>4832.0452649999997</v>
      </c>
      <c r="O64" s="3">
        <v>6703.1703500000003</v>
      </c>
      <c r="P64" s="3">
        <v>4675.0692989999998</v>
      </c>
      <c r="Q64" s="3">
        <v>4441.3563100000001</v>
      </c>
      <c r="R64" s="3">
        <v>5627.4347580000003</v>
      </c>
      <c r="S64" s="3">
        <v>7281.7064520000004</v>
      </c>
      <c r="T64" s="3">
        <v>5982.9821119999997</v>
      </c>
      <c r="U64" s="3">
        <v>6007.0470349999996</v>
      </c>
      <c r="V64" s="3">
        <v>4594.5309770000003</v>
      </c>
      <c r="W64" s="3">
        <v>3354.6731340000001</v>
      </c>
      <c r="X64" s="3">
        <v>5261.0747300000003</v>
      </c>
      <c r="Y64" s="3">
        <v>642.50974510000003</v>
      </c>
      <c r="Z64" s="3">
        <v>1987.368213</v>
      </c>
      <c r="AA64" s="48" t="s">
        <v>316</v>
      </c>
      <c r="AB64" s="49" t="s">
        <v>342</v>
      </c>
      <c r="AC64" s="3">
        <v>1725.770818</v>
      </c>
      <c r="AD64" s="3">
        <v>1704.5111890000001</v>
      </c>
      <c r="AE64" s="3">
        <v>1113.0544030000001</v>
      </c>
      <c r="AF64" s="3">
        <v>356.77754190000002</v>
      </c>
      <c r="AG64" s="3">
        <v>2824.83394</v>
      </c>
      <c r="AH64" s="3">
        <v>2294.0136419999999</v>
      </c>
      <c r="AI64" s="3">
        <v>2622.2620200000001</v>
      </c>
      <c r="AJ64" s="3">
        <v>2034.46282</v>
      </c>
      <c r="AK64" s="3">
        <v>824.82811800000002</v>
      </c>
      <c r="AL64" s="3">
        <v>1228.577861</v>
      </c>
      <c r="AM64" s="3">
        <v>2255.4907029999999</v>
      </c>
      <c r="AN64" s="3">
        <v>279.30647470000002</v>
      </c>
      <c r="AO64" s="3">
        <v>852.42705100000001</v>
      </c>
      <c r="AP64" s="48" t="s">
        <v>316</v>
      </c>
      <c r="AQ64" s="49" t="s">
        <v>342</v>
      </c>
      <c r="AR64" s="3">
        <v>918.954386</v>
      </c>
      <c r="AS64" s="3">
        <v>1245.8927859999999</v>
      </c>
      <c r="AT64" s="3">
        <v>1175.1182659999999</v>
      </c>
      <c r="AU64" s="3">
        <v>1132.9447110000001</v>
      </c>
      <c r="AV64" s="3">
        <v>295.86082750000003</v>
      </c>
      <c r="AW64" s="3">
        <v>1621.108489</v>
      </c>
      <c r="AX64" s="3">
        <v>1034.663247</v>
      </c>
      <c r="AY64" s="3">
        <v>1210.0829429999999</v>
      </c>
      <c r="AZ64" s="3">
        <v>689.98246800000004</v>
      </c>
      <c r="BA64" s="3">
        <v>362.3533956</v>
      </c>
      <c r="BB64" s="3">
        <v>612.0074429</v>
      </c>
      <c r="BC64" s="3">
        <v>168.0315028</v>
      </c>
      <c r="BD64" s="3">
        <v>825.14137579999999</v>
      </c>
      <c r="BE64" s="48" t="s">
        <v>316</v>
      </c>
      <c r="BF64" s="49" t="s">
        <v>342</v>
      </c>
      <c r="BG64" s="3">
        <v>4.4999999999999998E-2</v>
      </c>
      <c r="BH64" s="3">
        <v>0.59399999999999997</v>
      </c>
      <c r="BI64" s="3">
        <v>0.378</v>
      </c>
      <c r="BJ64" s="3">
        <v>2.9000000000000001E-2</v>
      </c>
      <c r="BK64" s="3">
        <v>0.51</v>
      </c>
      <c r="BL64" s="3">
        <v>0.39300000000000002</v>
      </c>
      <c r="BM64" s="3">
        <v>3.1E-2</v>
      </c>
      <c r="BN64" s="3">
        <v>0.56899999999999995</v>
      </c>
      <c r="BO64" s="3">
        <v>0.23599999999999999</v>
      </c>
      <c r="BP64" s="3">
        <v>3.3000000000000002E-2</v>
      </c>
      <c r="BQ64" s="3">
        <v>0.58699999999999997</v>
      </c>
      <c r="BR64" s="3">
        <v>0.23400000000000001</v>
      </c>
      <c r="BS64" s="3">
        <v>5.1999999999999998E-2</v>
      </c>
      <c r="BT64" s="3">
        <v>0.91500000000000004</v>
      </c>
      <c r="BU64" s="3">
        <v>0.40749999999999997</v>
      </c>
      <c r="BV64" s="3">
        <v>0.02</v>
      </c>
      <c r="BW64" s="3">
        <v>0.38</v>
      </c>
      <c r="BX64" s="3">
        <v>0.32400000000000001</v>
      </c>
      <c r="BY64" s="3">
        <v>3.3000000000000002E-2</v>
      </c>
      <c r="BZ64" s="3">
        <v>0.38</v>
      </c>
      <c r="CA64" s="3">
        <v>0.439</v>
      </c>
      <c r="CB64" s="3">
        <v>0.06</v>
      </c>
      <c r="CC64" s="3">
        <v>0.81299999999999994</v>
      </c>
      <c r="CD64" s="3">
        <v>0.437</v>
      </c>
      <c r="CE64" s="3">
        <v>4.3999999999999997E-2</v>
      </c>
      <c r="CF64" s="3">
        <v>0.77900000000000003</v>
      </c>
      <c r="CG64" s="3">
        <v>0.52900000000000003</v>
      </c>
      <c r="CH64" s="3">
        <v>4.2999999999999997E-2</v>
      </c>
      <c r="CI64" s="3">
        <v>0.749</v>
      </c>
      <c r="CJ64" s="3">
        <v>0.90433333299999996</v>
      </c>
      <c r="CK64" s="3">
        <v>3.2000000000000001E-2</v>
      </c>
      <c r="CL64" s="3">
        <v>0.49199999999999999</v>
      </c>
      <c r="CM64" s="3">
        <v>0.01</v>
      </c>
      <c r="CN64" s="3">
        <v>0.03</v>
      </c>
      <c r="CO64" s="3">
        <v>0.71799999999999997</v>
      </c>
      <c r="CP64" s="3">
        <v>0.60033333300000002</v>
      </c>
      <c r="CQ64" s="3">
        <v>3.1E-2</v>
      </c>
      <c r="CR64" s="3">
        <v>0.70199999999999996</v>
      </c>
      <c r="CS64" s="3">
        <v>0.88600000000000001</v>
      </c>
      <c r="CT64" s="48" t="s">
        <v>316</v>
      </c>
      <c r="CU64" s="49" t="s">
        <v>342</v>
      </c>
      <c r="CV64" s="3">
        <v>4.5389999999999997</v>
      </c>
      <c r="CW64" s="3">
        <v>4.2619999999999996</v>
      </c>
      <c r="CX64" s="3">
        <v>3.93</v>
      </c>
      <c r="CY64" s="3">
        <v>3.3969999999999998</v>
      </c>
      <c r="CZ64" s="3">
        <v>4.7119999999999997</v>
      </c>
      <c r="DA64" s="3">
        <v>6.4850000000000003</v>
      </c>
      <c r="DB64" s="3">
        <v>1.7310000000000001</v>
      </c>
      <c r="DC64" s="3">
        <v>6.37</v>
      </c>
      <c r="DD64" s="3">
        <v>5.883</v>
      </c>
      <c r="DE64" s="3">
        <v>5.0979999999999999</v>
      </c>
      <c r="DF64" s="3">
        <v>3.8530000000000002</v>
      </c>
      <c r="DG64" s="3">
        <v>4.6239999999999997</v>
      </c>
      <c r="DH64" s="3">
        <v>3.61</v>
      </c>
    </row>
    <row r="65" spans="1:112" x14ac:dyDescent="0.3">
      <c r="A65" s="48" t="s">
        <v>316</v>
      </c>
      <c r="B65" s="49" t="s">
        <v>343</v>
      </c>
      <c r="C65" s="3">
        <v>59.651085799999997</v>
      </c>
      <c r="D65" s="3">
        <v>55.630853000000002</v>
      </c>
      <c r="E65" s="3">
        <v>50.25291</v>
      </c>
      <c r="F65" s="3">
        <v>28.6265261</v>
      </c>
      <c r="G65" s="3">
        <v>28.6265261</v>
      </c>
      <c r="H65" s="3">
        <v>69.966156799999993</v>
      </c>
      <c r="I65" s="48" t="s">
        <v>316</v>
      </c>
      <c r="J65" s="49" t="s">
        <v>343</v>
      </c>
      <c r="K65" s="3">
        <v>44872.5</v>
      </c>
      <c r="L65" s="48" t="s">
        <v>316</v>
      </c>
      <c r="M65" s="49" t="s">
        <v>343</v>
      </c>
      <c r="N65" s="3">
        <v>4717.2133130000002</v>
      </c>
      <c r="O65" s="3">
        <v>6853.7397609999998</v>
      </c>
      <c r="P65" s="3">
        <v>4741.9475199999997</v>
      </c>
      <c r="Q65" s="3">
        <v>4426.0362400000004</v>
      </c>
      <c r="R65" s="3">
        <v>5840.2715070000004</v>
      </c>
      <c r="S65" s="3">
        <v>7642.7226289999999</v>
      </c>
      <c r="T65" s="3">
        <v>5883.3083569999999</v>
      </c>
      <c r="U65" s="3">
        <v>5750.3228870000003</v>
      </c>
      <c r="V65" s="3">
        <v>4792.8252499999999</v>
      </c>
      <c r="W65" s="3">
        <v>4305.1798799999997</v>
      </c>
      <c r="X65" s="3">
        <v>5239.0245029999996</v>
      </c>
      <c r="Y65" s="3">
        <v>799.03039239999998</v>
      </c>
      <c r="Z65" s="3">
        <v>2937.9046079999998</v>
      </c>
      <c r="AA65" s="48" t="s">
        <v>316</v>
      </c>
      <c r="AB65" s="49" t="s">
        <v>343</v>
      </c>
      <c r="AC65" s="3">
        <v>1616.498881</v>
      </c>
      <c r="AD65" s="3">
        <v>1596.585364</v>
      </c>
      <c r="AE65" s="3">
        <v>1072.762596</v>
      </c>
      <c r="AF65" s="3">
        <v>343.86243919999998</v>
      </c>
      <c r="AG65" s="3">
        <v>2645.9717909999999</v>
      </c>
      <c r="AH65" s="3">
        <v>2148.7618430000002</v>
      </c>
      <c r="AI65" s="3">
        <v>2527.337931</v>
      </c>
      <c r="AJ65" s="3">
        <v>1905.6451979999999</v>
      </c>
      <c r="AK65" s="3">
        <v>772.60185160000003</v>
      </c>
      <c r="AL65" s="3">
        <v>1150.7870660000001</v>
      </c>
      <c r="AM65" s="3">
        <v>2112.6780910000002</v>
      </c>
      <c r="AN65" s="3">
        <v>261.6214152</v>
      </c>
      <c r="AO65" s="3">
        <v>798.45328219999999</v>
      </c>
      <c r="AP65" s="48" t="s">
        <v>316</v>
      </c>
      <c r="AQ65" s="49" t="s">
        <v>343</v>
      </c>
      <c r="AR65" s="3">
        <v>903.88955999999996</v>
      </c>
      <c r="AS65" s="3">
        <v>1225.468314</v>
      </c>
      <c r="AT65" s="3">
        <v>1137.2983670000001</v>
      </c>
      <c r="AU65" s="3">
        <v>1096.482123</v>
      </c>
      <c r="AV65" s="3">
        <v>291.01065</v>
      </c>
      <c r="AW65" s="3">
        <v>1594.5329400000001</v>
      </c>
      <c r="AX65" s="3">
        <v>1001.36374</v>
      </c>
      <c r="AY65" s="3">
        <v>1190.2455179999999</v>
      </c>
      <c r="AZ65" s="3">
        <v>678.67128000000002</v>
      </c>
      <c r="BA65" s="3">
        <v>356.41317600000002</v>
      </c>
      <c r="BB65" s="3">
        <v>601.97453399999995</v>
      </c>
      <c r="BC65" s="3">
        <v>165.27688800000001</v>
      </c>
      <c r="BD65" s="3">
        <v>811.61446799999999</v>
      </c>
      <c r="BE65" s="48" t="s">
        <v>316</v>
      </c>
      <c r="BF65" s="49" t="s">
        <v>343</v>
      </c>
      <c r="BG65" s="3">
        <v>1.7000000000000001E-2</v>
      </c>
      <c r="BH65" s="3">
        <v>0.57699999999999996</v>
      </c>
      <c r="BI65" s="3">
        <v>0.38200000000000001</v>
      </c>
      <c r="BJ65" s="3">
        <v>1.4E-2</v>
      </c>
      <c r="BK65" s="3">
        <v>0.51700000000000002</v>
      </c>
      <c r="BL65" s="3">
        <v>0.35949999999999999</v>
      </c>
      <c r="BM65" s="3">
        <v>1.2E-2</v>
      </c>
      <c r="BN65" s="3">
        <v>0.59799999999999998</v>
      </c>
      <c r="BO65" s="3">
        <v>0.17799999999999999</v>
      </c>
      <c r="BP65" s="3">
        <v>1.2999999999999999E-2</v>
      </c>
      <c r="BQ65" s="3">
        <v>0.53600000000000003</v>
      </c>
      <c r="BR65" s="3">
        <v>0.228333333</v>
      </c>
      <c r="BS65" s="3">
        <v>2.4E-2</v>
      </c>
      <c r="BT65" s="3">
        <v>0.90300000000000002</v>
      </c>
      <c r="BU65" s="3">
        <v>0.39116666700000002</v>
      </c>
      <c r="BV65" s="3">
        <v>8.0000000000000002E-3</v>
      </c>
      <c r="BW65" s="3">
        <v>0.39900000000000002</v>
      </c>
      <c r="BX65" s="3">
        <v>0.36199999999999999</v>
      </c>
      <c r="BY65" s="3">
        <v>1.2999999999999999E-2</v>
      </c>
      <c r="BZ65" s="3">
        <v>0.39900000000000002</v>
      </c>
      <c r="CA65" s="3">
        <v>0.498</v>
      </c>
      <c r="CB65" s="3">
        <v>0.03</v>
      </c>
      <c r="CC65" s="3">
        <v>0.76500000000000001</v>
      </c>
      <c r="CD65" s="3">
        <v>0.40033333300000001</v>
      </c>
      <c r="CE65" s="3">
        <v>2.1000000000000001E-2</v>
      </c>
      <c r="CF65" s="3">
        <v>0.72899999999999998</v>
      </c>
      <c r="CG65" s="3">
        <v>0.55400000000000005</v>
      </c>
      <c r="CH65" s="3">
        <v>2.1000000000000001E-2</v>
      </c>
      <c r="CI65" s="3">
        <v>0.70599999999999996</v>
      </c>
      <c r="CJ65" s="3">
        <v>0.85699999999999998</v>
      </c>
      <c r="CK65" s="3">
        <v>1.0999999999999999E-2</v>
      </c>
      <c r="CL65" s="3">
        <v>0.48299999999999998</v>
      </c>
      <c r="CM65" s="3">
        <v>0.01</v>
      </c>
      <c r="CN65" s="3">
        <v>1.4999999999999999E-2</v>
      </c>
      <c r="CO65" s="3">
        <v>0.68100000000000005</v>
      </c>
      <c r="CP65" s="3">
        <v>0.627</v>
      </c>
      <c r="CQ65" s="3">
        <v>8.9999999999999993E-3</v>
      </c>
      <c r="CR65" s="3">
        <v>0.748</v>
      </c>
      <c r="CS65" s="3">
        <v>0.873</v>
      </c>
      <c r="CT65" s="48" t="s">
        <v>316</v>
      </c>
      <c r="CU65" s="49" t="s">
        <v>343</v>
      </c>
      <c r="CV65" s="3">
        <v>4.1749999999999998</v>
      </c>
      <c r="CW65" s="3">
        <v>3.99</v>
      </c>
      <c r="CX65" s="3">
        <v>3.8610000000000002</v>
      </c>
      <c r="CY65" s="3">
        <v>3.2029999999999998</v>
      </c>
      <c r="CZ65" s="3">
        <v>4.3499999999999996</v>
      </c>
      <c r="DA65" s="3">
        <v>6.5289999999999999</v>
      </c>
      <c r="DB65" s="3">
        <v>1.621</v>
      </c>
      <c r="DC65" s="3">
        <v>6.1479999999999997</v>
      </c>
      <c r="DD65" s="3">
        <v>5.6529999999999996</v>
      </c>
      <c r="DE65" s="3">
        <v>4.8520000000000003</v>
      </c>
      <c r="DF65" s="3">
        <v>3.4340000000000002</v>
      </c>
      <c r="DG65" s="3">
        <v>4.5780000000000003</v>
      </c>
      <c r="DH65" s="3">
        <v>3.5139999999999998</v>
      </c>
    </row>
    <row r="66" spans="1:112" x14ac:dyDescent="0.3">
      <c r="A66" s="48" t="s">
        <v>316</v>
      </c>
      <c r="B66" s="49" t="s">
        <v>344</v>
      </c>
      <c r="C66" s="3">
        <v>61.493692500000002</v>
      </c>
      <c r="D66" s="3">
        <v>59.192638199999998</v>
      </c>
      <c r="E66" s="3">
        <v>50.25291</v>
      </c>
      <c r="F66" s="3">
        <v>29.278932300000001</v>
      </c>
      <c r="G66" s="3">
        <v>29.278932300000001</v>
      </c>
      <c r="H66" s="3">
        <v>74.559449099999995</v>
      </c>
      <c r="I66" s="48" t="s">
        <v>316</v>
      </c>
      <c r="J66" s="49" t="s">
        <v>344</v>
      </c>
      <c r="K66" s="3">
        <v>45407.5</v>
      </c>
      <c r="L66" s="48" t="s">
        <v>316</v>
      </c>
      <c r="M66" s="49" t="s">
        <v>344</v>
      </c>
      <c r="N66" s="3">
        <v>5121.2162609999996</v>
      </c>
      <c r="O66" s="3">
        <v>7222.5590069999998</v>
      </c>
      <c r="P66" s="3">
        <v>4981.2285959999999</v>
      </c>
      <c r="Q66" s="3">
        <v>4736.8537050000004</v>
      </c>
      <c r="R66" s="3">
        <v>5885.193021</v>
      </c>
      <c r="S66" s="3">
        <v>8238.9518609999996</v>
      </c>
      <c r="T66" s="3">
        <v>6034.8847420000002</v>
      </c>
      <c r="U66" s="3">
        <v>6319.6093520000004</v>
      </c>
      <c r="V66" s="3">
        <v>5075.6243329999998</v>
      </c>
      <c r="W66" s="3">
        <v>6545.5730899999999</v>
      </c>
      <c r="X66" s="3">
        <v>5605.5305699999999</v>
      </c>
      <c r="Y66" s="3">
        <v>1098.1970490000001</v>
      </c>
      <c r="Z66" s="3">
        <v>4027.210427</v>
      </c>
      <c r="AA66" s="48" t="s">
        <v>316</v>
      </c>
      <c r="AB66" s="49" t="s">
        <v>344</v>
      </c>
      <c r="AC66" s="3">
        <v>1624.9664479999999</v>
      </c>
      <c r="AD66" s="3">
        <v>1604.9486199999999</v>
      </c>
      <c r="AE66" s="3">
        <v>1057.903059</v>
      </c>
      <c r="AF66" s="3">
        <v>339.09937539999999</v>
      </c>
      <c r="AG66" s="3">
        <v>2659.8319580000002</v>
      </c>
      <c r="AH66" s="3">
        <v>2160.0175180000001</v>
      </c>
      <c r="AI66" s="3">
        <v>2492.3301179999999</v>
      </c>
      <c r="AJ66" s="3">
        <v>1915.627375</v>
      </c>
      <c r="AK66" s="3">
        <v>776.64890549999996</v>
      </c>
      <c r="AL66" s="3">
        <v>1156.8151350000001</v>
      </c>
      <c r="AM66" s="3">
        <v>2123.7447510000002</v>
      </c>
      <c r="AN66" s="3">
        <v>262.99184409999998</v>
      </c>
      <c r="AO66" s="3">
        <v>802.63575130000004</v>
      </c>
      <c r="AP66" s="48" t="s">
        <v>316</v>
      </c>
      <c r="AQ66" s="49" t="s">
        <v>344</v>
      </c>
      <c r="AR66" s="3">
        <v>908.19379600000002</v>
      </c>
      <c r="AS66" s="3">
        <v>1231.3038770000001</v>
      </c>
      <c r="AT66" s="3">
        <v>1121.0898400000001</v>
      </c>
      <c r="AU66" s="3">
        <v>1080.8552990000001</v>
      </c>
      <c r="AV66" s="3">
        <v>292.39641499999999</v>
      </c>
      <c r="AW66" s="3">
        <v>1602.1259540000001</v>
      </c>
      <c r="AX66" s="3">
        <v>987.09252300000003</v>
      </c>
      <c r="AY66" s="3">
        <v>1195.913354</v>
      </c>
      <c r="AZ66" s="3">
        <v>681.90304800000001</v>
      </c>
      <c r="BA66" s="3">
        <v>358.11038159999998</v>
      </c>
      <c r="BB66" s="3">
        <v>604.84107940000001</v>
      </c>
      <c r="BC66" s="3">
        <v>166.06392080000001</v>
      </c>
      <c r="BD66" s="3">
        <v>815.47929880000004</v>
      </c>
      <c r="BE66" s="48" t="s">
        <v>316</v>
      </c>
      <c r="BF66" s="49" t="s">
        <v>344</v>
      </c>
      <c r="BG66" s="3">
        <v>0</v>
      </c>
      <c r="BH66" s="3">
        <v>0.53900000000000003</v>
      </c>
      <c r="BI66" s="3">
        <v>0.39800000000000002</v>
      </c>
      <c r="BJ66" s="3">
        <v>0</v>
      </c>
      <c r="BK66" s="3">
        <v>0.52300000000000002</v>
      </c>
      <c r="BL66" s="3">
        <v>0.33600000000000002</v>
      </c>
      <c r="BM66" s="3">
        <v>0</v>
      </c>
      <c r="BN66" s="3">
        <v>0.57199999999999995</v>
      </c>
      <c r="BO66" s="3">
        <v>0.111</v>
      </c>
      <c r="BP66" s="3">
        <v>0</v>
      </c>
      <c r="BQ66" s="3">
        <v>0.46700000000000003</v>
      </c>
      <c r="BR66" s="3">
        <v>0.26366666700000002</v>
      </c>
      <c r="BS66" s="3">
        <v>1E-3</v>
      </c>
      <c r="BT66" s="3">
        <v>0.89800000000000002</v>
      </c>
      <c r="BU66" s="3">
        <v>0.40150000000000002</v>
      </c>
      <c r="BV66" s="3">
        <v>0</v>
      </c>
      <c r="BW66" s="3">
        <v>0.40300000000000002</v>
      </c>
      <c r="BX66" s="3">
        <v>0.433</v>
      </c>
      <c r="BY66" s="3">
        <v>0</v>
      </c>
      <c r="BZ66" s="3">
        <v>0.40300000000000002</v>
      </c>
      <c r="CA66" s="3">
        <v>0.53049999999999997</v>
      </c>
      <c r="CB66" s="3">
        <v>2E-3</v>
      </c>
      <c r="CC66" s="3">
        <v>0.71399999999999997</v>
      </c>
      <c r="CD66" s="3">
        <v>0.40500000000000003</v>
      </c>
      <c r="CE66" s="3">
        <v>4.0000000000000001E-3</v>
      </c>
      <c r="CF66" s="3">
        <v>0.65800000000000003</v>
      </c>
      <c r="CG66" s="3">
        <v>0.59699999999999998</v>
      </c>
      <c r="CH66" s="3">
        <v>4.0000000000000001E-3</v>
      </c>
      <c r="CI66" s="3">
        <v>0.65100000000000002</v>
      </c>
      <c r="CJ66" s="3">
        <v>0.81233333299999999</v>
      </c>
      <c r="CK66" s="3">
        <v>0</v>
      </c>
      <c r="CL66" s="3">
        <v>0.51300000000000001</v>
      </c>
      <c r="CM66" s="3">
        <v>0.01</v>
      </c>
      <c r="CN66" s="3">
        <v>1E-3</v>
      </c>
      <c r="CO66" s="3">
        <v>0.68899999999999995</v>
      </c>
      <c r="CP66" s="3">
        <v>0.622</v>
      </c>
      <c r="CQ66" s="3">
        <v>0</v>
      </c>
      <c r="CR66" s="3">
        <v>0.79900000000000004</v>
      </c>
      <c r="CS66" s="3">
        <v>0.80600000000000005</v>
      </c>
      <c r="CT66" s="48" t="s">
        <v>316</v>
      </c>
      <c r="CU66" s="49" t="s">
        <v>344</v>
      </c>
      <c r="CV66" s="3">
        <v>2.8929999999999998</v>
      </c>
      <c r="CW66" s="3">
        <v>3.0680000000000001</v>
      </c>
      <c r="CX66" s="3">
        <v>3.1059999999999999</v>
      </c>
      <c r="CY66" s="3">
        <v>2.7879999999999998</v>
      </c>
      <c r="CZ66" s="3">
        <v>3.294</v>
      </c>
      <c r="DA66" s="3">
        <v>6.52</v>
      </c>
      <c r="DB66" s="3">
        <v>1.181</v>
      </c>
      <c r="DC66" s="3">
        <v>5.6660000000000004</v>
      </c>
      <c r="DD66" s="3">
        <v>5.149</v>
      </c>
      <c r="DE66" s="3">
        <v>4.2990000000000004</v>
      </c>
      <c r="DF66" s="3">
        <v>2.5230000000000001</v>
      </c>
      <c r="DG66" s="3">
        <v>4.3390000000000004</v>
      </c>
      <c r="DH66" s="3">
        <v>3.504</v>
      </c>
    </row>
    <row r="67" spans="1:112" x14ac:dyDescent="0.3">
      <c r="A67" s="48" t="s">
        <v>316</v>
      </c>
      <c r="B67" s="49" t="s">
        <v>345</v>
      </c>
      <c r="C67" s="3">
        <v>67.312450499999997</v>
      </c>
      <c r="D67" s="3">
        <v>63.2040547</v>
      </c>
      <c r="E67" s="3">
        <v>70.618562999999995</v>
      </c>
      <c r="F67" s="3">
        <v>30.1429297</v>
      </c>
      <c r="G67" s="3">
        <v>30.1429297</v>
      </c>
      <c r="H67" s="3">
        <v>75.837812600000007</v>
      </c>
      <c r="I67" s="48" t="s">
        <v>316</v>
      </c>
      <c r="J67" s="49" t="s">
        <v>345</v>
      </c>
      <c r="K67" s="3">
        <v>48800</v>
      </c>
      <c r="L67" s="48" t="s">
        <v>316</v>
      </c>
      <c r="M67" s="49" t="s">
        <v>345</v>
      </c>
      <c r="N67" s="3">
        <v>6999.2939919999999</v>
      </c>
      <c r="O67" s="3">
        <v>9298.6022410000005</v>
      </c>
      <c r="P67" s="3">
        <v>6023.1340689999997</v>
      </c>
      <c r="Q67" s="3">
        <v>5494.0433050000001</v>
      </c>
      <c r="R67" s="3">
        <v>7700.6673479999999</v>
      </c>
      <c r="S67" s="3">
        <v>10259.77663</v>
      </c>
      <c r="T67" s="3">
        <v>7412.6522459999996</v>
      </c>
      <c r="U67" s="3">
        <v>8389.3696</v>
      </c>
      <c r="V67" s="3">
        <v>6399.808916</v>
      </c>
      <c r="W67" s="3">
        <v>7687.6928099999996</v>
      </c>
      <c r="X67" s="3">
        <v>7330.7635289999998</v>
      </c>
      <c r="Y67" s="3">
        <v>1259.4019599999999</v>
      </c>
      <c r="Z67" s="3">
        <v>4674.2308229999999</v>
      </c>
      <c r="AA67" s="48" t="s">
        <v>316</v>
      </c>
      <c r="AB67" s="49" t="s">
        <v>345</v>
      </c>
      <c r="AC67" s="3">
        <v>1282.964712</v>
      </c>
      <c r="AD67" s="3">
        <v>1267.159975</v>
      </c>
      <c r="AE67" s="3">
        <v>822.50502189999997</v>
      </c>
      <c r="AF67" s="3">
        <v>263.6450825</v>
      </c>
      <c r="AG67" s="3">
        <v>2100.025232</v>
      </c>
      <c r="AH67" s="3">
        <v>1705.4052139999999</v>
      </c>
      <c r="AI67" s="3">
        <v>1937.752256</v>
      </c>
      <c r="AJ67" s="3">
        <v>1512.4511199999999</v>
      </c>
      <c r="AK67" s="3">
        <v>613.18997730000001</v>
      </c>
      <c r="AL67" s="3">
        <v>913.34377930000005</v>
      </c>
      <c r="AM67" s="3">
        <v>1676.7666650000001</v>
      </c>
      <c r="AN67" s="3">
        <v>207.64075220000001</v>
      </c>
      <c r="AO67" s="3">
        <v>633.70745090000003</v>
      </c>
      <c r="AP67" s="48" t="s">
        <v>316</v>
      </c>
      <c r="AQ67" s="49" t="s">
        <v>345</v>
      </c>
      <c r="AR67" s="3">
        <v>910.34591399999999</v>
      </c>
      <c r="AS67" s="3">
        <v>1234.221659</v>
      </c>
      <c r="AT67" s="3">
        <v>1118.388418</v>
      </c>
      <c r="AU67" s="3">
        <v>1078.250828</v>
      </c>
      <c r="AV67" s="3">
        <v>293.08929749999999</v>
      </c>
      <c r="AW67" s="3">
        <v>1605.9224610000001</v>
      </c>
      <c r="AX67" s="3">
        <v>984.71398680000004</v>
      </c>
      <c r="AY67" s="3">
        <v>1198.7472720000001</v>
      </c>
      <c r="AZ67" s="3">
        <v>683.51893199999995</v>
      </c>
      <c r="BA67" s="3">
        <v>358.95898440000002</v>
      </c>
      <c r="BB67" s="3">
        <v>606.27435209999999</v>
      </c>
      <c r="BC67" s="3">
        <v>166.45743719999999</v>
      </c>
      <c r="BD67" s="3">
        <v>817.41171420000001</v>
      </c>
      <c r="BE67" s="48" t="s">
        <v>316</v>
      </c>
      <c r="BF67" s="49" t="s">
        <v>345</v>
      </c>
      <c r="BG67" s="3">
        <v>0</v>
      </c>
      <c r="BH67" s="3">
        <v>0.54400000000000004</v>
      </c>
      <c r="BI67" s="3">
        <v>0.40949999999999998</v>
      </c>
      <c r="BJ67" s="3">
        <v>0</v>
      </c>
      <c r="BK67" s="3">
        <v>0.53300000000000003</v>
      </c>
      <c r="BL67" s="3">
        <v>0.34899999999999998</v>
      </c>
      <c r="BM67" s="3">
        <v>0</v>
      </c>
      <c r="BN67" s="3">
        <v>0.51600000000000001</v>
      </c>
      <c r="BO67" s="3">
        <v>8.7999999999999995E-2</v>
      </c>
      <c r="BP67" s="3">
        <v>0</v>
      </c>
      <c r="BQ67" s="3">
        <v>0.45400000000000001</v>
      </c>
      <c r="BR67" s="3">
        <v>0.323333333</v>
      </c>
      <c r="BS67" s="3">
        <v>0</v>
      </c>
      <c r="BT67" s="3">
        <v>0.89700000000000002</v>
      </c>
      <c r="BU67" s="3">
        <v>0.42275000000000001</v>
      </c>
      <c r="BV67" s="3">
        <v>0</v>
      </c>
      <c r="BW67" s="3">
        <v>0.32300000000000001</v>
      </c>
      <c r="BX67" s="3">
        <v>0.49299999999999999</v>
      </c>
      <c r="BY67" s="3">
        <v>0</v>
      </c>
      <c r="BZ67" s="3">
        <v>0.32300000000000001</v>
      </c>
      <c r="CA67" s="3">
        <v>0.5615</v>
      </c>
      <c r="CB67" s="3">
        <v>0</v>
      </c>
      <c r="CC67" s="3">
        <v>0.65600000000000003</v>
      </c>
      <c r="CD67" s="3">
        <v>0.436</v>
      </c>
      <c r="CE67" s="3">
        <v>0</v>
      </c>
      <c r="CF67" s="3">
        <v>0.60699999999999998</v>
      </c>
      <c r="CG67" s="3">
        <v>0.64200000000000002</v>
      </c>
      <c r="CH67" s="3">
        <v>0</v>
      </c>
      <c r="CI67" s="3">
        <v>0.59599999999999997</v>
      </c>
      <c r="CJ67" s="3">
        <v>0.78733333299999997</v>
      </c>
      <c r="CK67" s="3">
        <v>0</v>
      </c>
      <c r="CL67" s="3">
        <v>0.55900000000000005</v>
      </c>
      <c r="CM67" s="3">
        <v>0.01</v>
      </c>
      <c r="CN67" s="3">
        <v>0</v>
      </c>
      <c r="CO67" s="3">
        <v>0.71599999999999997</v>
      </c>
      <c r="CP67" s="3">
        <v>0.59933333300000002</v>
      </c>
      <c r="CQ67" s="3">
        <v>0</v>
      </c>
      <c r="CR67" s="3">
        <v>0.75</v>
      </c>
      <c r="CS67" s="3">
        <v>0.72599999999999998</v>
      </c>
      <c r="CT67" s="48" t="s">
        <v>316</v>
      </c>
      <c r="CU67" s="49" t="s">
        <v>345</v>
      </c>
      <c r="CV67" s="3">
        <v>1.7569999999999999</v>
      </c>
      <c r="CW67" s="3">
        <v>2.2930000000000001</v>
      </c>
      <c r="CX67" s="3">
        <v>2.3109999999999999</v>
      </c>
      <c r="CY67" s="3">
        <v>2.54</v>
      </c>
      <c r="CZ67" s="3">
        <v>2.0710000000000002</v>
      </c>
      <c r="DA67" s="3">
        <v>6.4909999999999997</v>
      </c>
      <c r="DB67" s="3">
        <v>0.86199999999999999</v>
      </c>
      <c r="DC67" s="3">
        <v>5.1970000000000001</v>
      </c>
      <c r="DD67" s="3">
        <v>4.6680000000000001</v>
      </c>
      <c r="DE67" s="3">
        <v>3.4380000000000002</v>
      </c>
      <c r="DF67" s="3">
        <v>1.972</v>
      </c>
      <c r="DG67" s="3">
        <v>4.3639999999999999</v>
      </c>
      <c r="DH67" s="3">
        <v>3.7730000000000001</v>
      </c>
    </row>
    <row r="68" spans="1:112" x14ac:dyDescent="0.3">
      <c r="A68" s="48" t="s">
        <v>316</v>
      </c>
      <c r="B68" s="49" t="s">
        <v>346</v>
      </c>
      <c r="C68" s="3">
        <v>67.286001600000006</v>
      </c>
      <c r="D68" s="3">
        <v>66.571881300000001</v>
      </c>
      <c r="E68" s="3">
        <v>51.839843999999999</v>
      </c>
      <c r="F68" s="3">
        <v>28.5030979</v>
      </c>
      <c r="G68" s="3">
        <v>28.5030979</v>
      </c>
      <c r="H68" s="3">
        <v>85.500477399999994</v>
      </c>
      <c r="I68" s="48" t="s">
        <v>316</v>
      </c>
      <c r="J68" s="49" t="s">
        <v>346</v>
      </c>
      <c r="K68" s="3">
        <v>49497</v>
      </c>
      <c r="L68" s="48" t="s">
        <v>316</v>
      </c>
      <c r="M68" s="49" t="s">
        <v>346</v>
      </c>
      <c r="N68" s="3">
        <v>9248.6356599999999</v>
      </c>
      <c r="O68" s="3">
        <v>11935.26694</v>
      </c>
      <c r="P68" s="3">
        <v>7318.5971950000003</v>
      </c>
      <c r="Q68" s="3">
        <v>6433.3442619999996</v>
      </c>
      <c r="R68" s="3">
        <v>9717.5744400000003</v>
      </c>
      <c r="S68" s="3">
        <v>12773.70586</v>
      </c>
      <c r="T68" s="3">
        <v>8815.5568359999997</v>
      </c>
      <c r="U68" s="3">
        <v>11307.68903</v>
      </c>
      <c r="V68" s="3">
        <v>9077.2660649999998</v>
      </c>
      <c r="W68" s="3">
        <v>7426.1926119999998</v>
      </c>
      <c r="X68" s="3">
        <v>9208.8109609999992</v>
      </c>
      <c r="Y68" s="3">
        <v>1252.7898270000001</v>
      </c>
      <c r="Z68" s="3">
        <v>4618.424798</v>
      </c>
      <c r="AA68" s="48" t="s">
        <v>316</v>
      </c>
      <c r="AB68" s="49" t="s">
        <v>346</v>
      </c>
      <c r="AC68" s="3">
        <v>1289.6294640000001</v>
      </c>
      <c r="AD68" s="3">
        <v>1273.742624</v>
      </c>
      <c r="AE68" s="3">
        <v>828.72042510000006</v>
      </c>
      <c r="AF68" s="3">
        <v>265.63736269999998</v>
      </c>
      <c r="AG68" s="3">
        <v>2110.9344540000002</v>
      </c>
      <c r="AH68" s="3">
        <v>1714.264461</v>
      </c>
      <c r="AI68" s="3">
        <v>1952.3952200000001</v>
      </c>
      <c r="AJ68" s="3">
        <v>1520.3080090000001</v>
      </c>
      <c r="AK68" s="3">
        <v>616.37537970000005</v>
      </c>
      <c r="AL68" s="3">
        <v>918.08842230000005</v>
      </c>
      <c r="AM68" s="3">
        <v>1685.477142</v>
      </c>
      <c r="AN68" s="3">
        <v>208.71940549999999</v>
      </c>
      <c r="AO68" s="3">
        <v>636.99943759999996</v>
      </c>
      <c r="AP68" s="48" t="s">
        <v>316</v>
      </c>
      <c r="AQ68" s="49" t="s">
        <v>346</v>
      </c>
      <c r="AR68" s="3">
        <v>927.56285800000001</v>
      </c>
      <c r="AS68" s="3">
        <v>1257.563913</v>
      </c>
      <c r="AT68" s="3">
        <v>1150.805474</v>
      </c>
      <c r="AU68" s="3">
        <v>1109.5044760000001</v>
      </c>
      <c r="AV68" s="3">
        <v>298.63235750000001</v>
      </c>
      <c r="AW68" s="3">
        <v>1636.294517</v>
      </c>
      <c r="AX68" s="3">
        <v>1013.256421</v>
      </c>
      <c r="AY68" s="3">
        <v>1221.418615</v>
      </c>
      <c r="AZ68" s="3">
        <v>696.44600400000002</v>
      </c>
      <c r="BA68" s="3">
        <v>365.74780679999998</v>
      </c>
      <c r="BB68" s="3">
        <v>617.74053370000001</v>
      </c>
      <c r="BC68" s="3">
        <v>169.60556840000001</v>
      </c>
      <c r="BD68" s="3">
        <v>832.87103739999998</v>
      </c>
      <c r="BE68" s="48" t="s">
        <v>316</v>
      </c>
      <c r="BF68" s="49" t="s">
        <v>346</v>
      </c>
      <c r="BG68" s="3">
        <v>0</v>
      </c>
      <c r="BH68" s="3">
        <v>0.52</v>
      </c>
      <c r="BI68" s="3">
        <v>0.435</v>
      </c>
      <c r="BJ68" s="3">
        <v>0</v>
      </c>
      <c r="BK68" s="3">
        <v>0.51</v>
      </c>
      <c r="BL68" s="3">
        <v>0.36549999999999999</v>
      </c>
      <c r="BM68" s="3">
        <v>0</v>
      </c>
      <c r="BN68" s="3">
        <v>0.45500000000000002</v>
      </c>
      <c r="BO68" s="3">
        <v>0.10050000000000001</v>
      </c>
      <c r="BP68" s="3">
        <v>0</v>
      </c>
      <c r="BQ68" s="3">
        <v>0.46100000000000002</v>
      </c>
      <c r="BR68" s="3">
        <v>0.369666667</v>
      </c>
      <c r="BS68" s="3">
        <v>0</v>
      </c>
      <c r="BT68" s="3">
        <v>0.89800000000000002</v>
      </c>
      <c r="BU68" s="3">
        <v>0.45583333399999998</v>
      </c>
      <c r="BV68" s="3">
        <v>0</v>
      </c>
      <c r="BW68" s="3">
        <v>0.21099999999999999</v>
      </c>
      <c r="BX68" s="3">
        <v>0.53500000000000003</v>
      </c>
      <c r="BY68" s="3">
        <v>0</v>
      </c>
      <c r="BZ68" s="3">
        <v>0.21099999999999999</v>
      </c>
      <c r="CA68" s="3">
        <v>0.58250000000000002</v>
      </c>
      <c r="CB68" s="3">
        <v>0</v>
      </c>
      <c r="CC68" s="3">
        <v>0.61</v>
      </c>
      <c r="CD68" s="3">
        <v>0.47666666699999999</v>
      </c>
      <c r="CE68" s="3">
        <v>0</v>
      </c>
      <c r="CF68" s="3">
        <v>0.57199999999999995</v>
      </c>
      <c r="CG68" s="3">
        <v>0.66049999999999998</v>
      </c>
      <c r="CH68" s="3">
        <v>0</v>
      </c>
      <c r="CI68" s="3">
        <v>0.60899999999999999</v>
      </c>
      <c r="CJ68" s="3">
        <v>0.78933333299999997</v>
      </c>
      <c r="CK68" s="3">
        <v>0</v>
      </c>
      <c r="CL68" s="3">
        <v>0.56200000000000006</v>
      </c>
      <c r="CM68" s="3">
        <v>0.01</v>
      </c>
      <c r="CN68" s="3">
        <v>0</v>
      </c>
      <c r="CO68" s="3">
        <v>0.72299999999999998</v>
      </c>
      <c r="CP68" s="3">
        <v>0.57099999999999995</v>
      </c>
      <c r="CQ68" s="3">
        <v>0</v>
      </c>
      <c r="CR68" s="3">
        <v>0.72699999999999998</v>
      </c>
      <c r="CS68" s="3">
        <v>0.63900000000000001</v>
      </c>
      <c r="CT68" s="48" t="s">
        <v>316</v>
      </c>
      <c r="CU68" s="49" t="s">
        <v>346</v>
      </c>
      <c r="CV68" s="3">
        <v>1.6160000000000001</v>
      </c>
      <c r="CW68" s="3">
        <v>2.0099999999999998</v>
      </c>
      <c r="CX68" s="3">
        <v>2.044</v>
      </c>
      <c r="CY68" s="3">
        <v>2.34</v>
      </c>
      <c r="CZ68" s="3">
        <v>1.6919999999999999</v>
      </c>
      <c r="DA68" s="3">
        <v>6.4850000000000003</v>
      </c>
      <c r="DB68" s="3">
        <v>0.56200000000000006</v>
      </c>
      <c r="DC68" s="3">
        <v>4.9370000000000003</v>
      </c>
      <c r="DD68" s="3">
        <v>4.3070000000000004</v>
      </c>
      <c r="DE68" s="3">
        <v>2.9990000000000001</v>
      </c>
      <c r="DF68" s="3">
        <v>1.9870000000000001</v>
      </c>
      <c r="DG68" s="3">
        <v>4.7690000000000001</v>
      </c>
      <c r="DH68" s="3">
        <v>4.3120000000000003</v>
      </c>
    </row>
    <row r="69" spans="1:112" x14ac:dyDescent="0.3">
      <c r="A69" s="48" t="s">
        <v>316</v>
      </c>
      <c r="B69" s="49" t="s">
        <v>347</v>
      </c>
      <c r="C69" s="3">
        <v>67.2595527</v>
      </c>
      <c r="D69" s="3">
        <v>66.527799799999997</v>
      </c>
      <c r="E69" s="3">
        <v>50.605561999999999</v>
      </c>
      <c r="F69" s="3">
        <v>27.841875399999999</v>
      </c>
      <c r="G69" s="3">
        <v>27.841875399999999</v>
      </c>
      <c r="H69" s="3">
        <v>72.082068800000002</v>
      </c>
      <c r="I69" s="48" t="s">
        <v>316</v>
      </c>
      <c r="J69" s="49" t="s">
        <v>347</v>
      </c>
      <c r="K69" s="3">
        <v>49141.5</v>
      </c>
      <c r="L69" s="48" t="s">
        <v>316</v>
      </c>
      <c r="M69" s="49" t="s">
        <v>347</v>
      </c>
      <c r="N69" s="3">
        <v>10266.77634</v>
      </c>
      <c r="O69" s="3">
        <v>12713.710569999999</v>
      </c>
      <c r="P69" s="3">
        <v>7819.2634479999997</v>
      </c>
      <c r="Q69" s="3">
        <v>6654.8337609999999</v>
      </c>
      <c r="R69" s="3">
        <v>10832.05024</v>
      </c>
      <c r="S69" s="3">
        <v>14014.679539999999</v>
      </c>
      <c r="T69" s="3">
        <v>9582.4823560000004</v>
      </c>
      <c r="U69" s="3">
        <v>12675.46794</v>
      </c>
      <c r="V69" s="3">
        <v>9852.2930980000001</v>
      </c>
      <c r="W69" s="3">
        <v>6544.7522049999998</v>
      </c>
      <c r="X69" s="3">
        <v>9764.7419090000003</v>
      </c>
      <c r="Y69" s="3">
        <v>1171.4147009999999</v>
      </c>
      <c r="Z69" s="3">
        <v>4214.5540309999997</v>
      </c>
      <c r="AA69" s="48" t="s">
        <v>316</v>
      </c>
      <c r="AB69" s="49" t="s">
        <v>347</v>
      </c>
      <c r="AC69" s="3">
        <v>1232.9790740000001</v>
      </c>
      <c r="AD69" s="3">
        <v>1217.7901059999999</v>
      </c>
      <c r="AE69" s="3">
        <v>785.21260280000001</v>
      </c>
      <c r="AF69" s="3">
        <v>251.6914012</v>
      </c>
      <c r="AG69" s="3">
        <v>2018.2060670000001</v>
      </c>
      <c r="AH69" s="3">
        <v>1638.960855</v>
      </c>
      <c r="AI69" s="3">
        <v>1849.8944710000001</v>
      </c>
      <c r="AJ69" s="3">
        <v>1453.524453</v>
      </c>
      <c r="AK69" s="3">
        <v>589.29945869999995</v>
      </c>
      <c r="AL69" s="3">
        <v>877.7589567</v>
      </c>
      <c r="AM69" s="3">
        <v>1611.4380940000001</v>
      </c>
      <c r="AN69" s="3">
        <v>199.5508528</v>
      </c>
      <c r="AO69" s="3">
        <v>609.01755019999996</v>
      </c>
      <c r="AP69" s="48" t="s">
        <v>316</v>
      </c>
      <c r="AQ69" s="49" t="s">
        <v>347</v>
      </c>
      <c r="AR69" s="3">
        <v>918.954386</v>
      </c>
      <c r="AS69" s="3">
        <v>1245.8927859999999</v>
      </c>
      <c r="AT69" s="3">
        <v>1145.4026309999999</v>
      </c>
      <c r="AU69" s="3">
        <v>1104.2955340000001</v>
      </c>
      <c r="AV69" s="3">
        <v>295.86082750000003</v>
      </c>
      <c r="AW69" s="3">
        <v>1621.108489</v>
      </c>
      <c r="AX69" s="3">
        <v>1008.4993490000001</v>
      </c>
      <c r="AY69" s="3">
        <v>1210.0829429999999</v>
      </c>
      <c r="AZ69" s="3">
        <v>689.98246800000004</v>
      </c>
      <c r="BA69" s="3">
        <v>362.3533956</v>
      </c>
      <c r="BB69" s="3">
        <v>612.0074429</v>
      </c>
      <c r="BC69" s="3">
        <v>168.0315028</v>
      </c>
      <c r="BD69" s="3">
        <v>825.14137579999999</v>
      </c>
      <c r="BE69" s="48" t="s">
        <v>316</v>
      </c>
      <c r="BF69" s="49" t="s">
        <v>347</v>
      </c>
      <c r="BG69" s="3">
        <v>0</v>
      </c>
      <c r="BH69" s="3">
        <v>0.46</v>
      </c>
      <c r="BI69" s="3">
        <v>0.4395</v>
      </c>
      <c r="BJ69" s="3">
        <v>0</v>
      </c>
      <c r="BK69" s="3">
        <v>0.45400000000000001</v>
      </c>
      <c r="BL69" s="3">
        <v>0.3795</v>
      </c>
      <c r="BM69" s="3">
        <v>0</v>
      </c>
      <c r="BN69" s="3">
        <v>0.34</v>
      </c>
      <c r="BO69" s="3">
        <v>0.11700000000000001</v>
      </c>
      <c r="BP69" s="3">
        <v>0</v>
      </c>
      <c r="BQ69" s="3">
        <v>0.47699999999999998</v>
      </c>
      <c r="BR69" s="3">
        <v>0.40166666699999998</v>
      </c>
      <c r="BS69" s="3">
        <v>0</v>
      </c>
      <c r="BT69" s="3">
        <v>0.9</v>
      </c>
      <c r="BU69" s="3">
        <v>0.47891666700000002</v>
      </c>
      <c r="BV69" s="3">
        <v>0</v>
      </c>
      <c r="BW69" s="3">
        <v>8.6999999999999994E-2</v>
      </c>
      <c r="BX69" s="3">
        <v>0.56100000000000005</v>
      </c>
      <c r="BY69" s="3">
        <v>0</v>
      </c>
      <c r="BZ69" s="3">
        <v>8.6999999999999994E-2</v>
      </c>
      <c r="CA69" s="3">
        <v>0.58399999999999996</v>
      </c>
      <c r="CB69" s="3">
        <v>0</v>
      </c>
      <c r="CC69" s="3">
        <v>0.59</v>
      </c>
      <c r="CD69" s="3">
        <v>0.51833333299999995</v>
      </c>
      <c r="CE69" s="3">
        <v>0</v>
      </c>
      <c r="CF69" s="3">
        <v>0.58699999999999997</v>
      </c>
      <c r="CG69" s="3">
        <v>0.66</v>
      </c>
      <c r="CH69" s="3">
        <v>0</v>
      </c>
      <c r="CI69" s="3">
        <v>0.61299999999999999</v>
      </c>
      <c r="CJ69" s="3">
        <v>0.81566666700000001</v>
      </c>
      <c r="CK69" s="3">
        <v>0</v>
      </c>
      <c r="CL69" s="3">
        <v>0.59399999999999997</v>
      </c>
      <c r="CM69" s="3">
        <v>0.01</v>
      </c>
      <c r="CN69" s="3">
        <v>0</v>
      </c>
      <c r="CO69" s="3">
        <v>0.72699999999999998</v>
      </c>
      <c r="CP69" s="3">
        <v>0.52</v>
      </c>
      <c r="CQ69" s="3">
        <v>0</v>
      </c>
      <c r="CR69" s="3">
        <v>0.70199999999999996</v>
      </c>
      <c r="CS69" s="3">
        <v>0.61599999999999999</v>
      </c>
      <c r="CT69" s="48" t="s">
        <v>316</v>
      </c>
      <c r="CU69" s="49" t="s">
        <v>347</v>
      </c>
      <c r="CV69" s="3">
        <v>1.4530000000000001</v>
      </c>
      <c r="CW69" s="3">
        <v>1.923</v>
      </c>
      <c r="CX69" s="3">
        <v>1.8460000000000001</v>
      </c>
      <c r="CY69" s="3">
        <v>2.1139999999999999</v>
      </c>
      <c r="CZ69" s="3">
        <v>1.466</v>
      </c>
      <c r="DA69" s="3">
        <v>6.4980000000000002</v>
      </c>
      <c r="DB69" s="3">
        <v>0.40400000000000003</v>
      </c>
      <c r="DC69" s="3">
        <v>4.6760000000000002</v>
      </c>
      <c r="DD69" s="3">
        <v>3.972</v>
      </c>
      <c r="DE69" s="3">
        <v>3.1230000000000002</v>
      </c>
      <c r="DF69" s="3">
        <v>2.5720000000000001</v>
      </c>
      <c r="DG69" s="3">
        <v>5.0659999999999998</v>
      </c>
      <c r="DH69" s="3">
        <v>4.3940000000000001</v>
      </c>
    </row>
    <row r="70" spans="1:112" x14ac:dyDescent="0.3">
      <c r="A70" s="48" t="s">
        <v>316</v>
      </c>
      <c r="B70" s="49" t="s">
        <v>348</v>
      </c>
      <c r="C70" s="3">
        <v>56.953297999999997</v>
      </c>
      <c r="D70" s="3">
        <v>62.595730000000003</v>
      </c>
      <c r="E70" s="3">
        <v>62.595730000000003</v>
      </c>
      <c r="F70" s="3">
        <v>26.836817199999999</v>
      </c>
      <c r="G70" s="3">
        <v>26.836817199999999</v>
      </c>
      <c r="H70" s="3">
        <v>62.595730000000003</v>
      </c>
      <c r="I70" s="48" t="s">
        <v>316</v>
      </c>
      <c r="J70" s="49" t="s">
        <v>348</v>
      </c>
      <c r="K70" s="3">
        <v>47891.5</v>
      </c>
      <c r="L70" s="48" t="s">
        <v>316</v>
      </c>
      <c r="M70" s="49" t="s">
        <v>348</v>
      </c>
      <c r="N70" s="3">
        <v>10561.177960000001</v>
      </c>
      <c r="O70" s="3">
        <v>12792.848819999999</v>
      </c>
      <c r="P70" s="3">
        <v>7805.1002259999996</v>
      </c>
      <c r="Q70" s="3">
        <v>6640.875207</v>
      </c>
      <c r="R70" s="3">
        <v>11755.51957</v>
      </c>
      <c r="S70" s="3">
        <v>14262.90178</v>
      </c>
      <c r="T70" s="3">
        <v>9877.6323570000004</v>
      </c>
      <c r="U70" s="3">
        <v>13270.637119999999</v>
      </c>
      <c r="V70" s="3">
        <v>9673.3876280000004</v>
      </c>
      <c r="W70" s="3">
        <v>5944.8031330000003</v>
      </c>
      <c r="X70" s="3">
        <v>10236.60549</v>
      </c>
      <c r="Y70" s="3">
        <v>1097.9605200000001</v>
      </c>
      <c r="Z70" s="3">
        <v>3747.697721</v>
      </c>
      <c r="AA70" s="48" t="s">
        <v>316</v>
      </c>
      <c r="AB70" s="49" t="s">
        <v>348</v>
      </c>
      <c r="AC70" s="3">
        <v>839.75872049999998</v>
      </c>
      <c r="AD70" s="3">
        <v>829.41380189999995</v>
      </c>
      <c r="AE70" s="3">
        <v>539.49699669999995</v>
      </c>
      <c r="AF70" s="3">
        <v>172.9299231</v>
      </c>
      <c r="AG70" s="3">
        <v>1374.56197</v>
      </c>
      <c r="AH70" s="3">
        <v>1116.2652310000001</v>
      </c>
      <c r="AI70" s="3">
        <v>1271.009288</v>
      </c>
      <c r="AJ70" s="3">
        <v>989.96800559999997</v>
      </c>
      <c r="AK70" s="3">
        <v>401.36071240000001</v>
      </c>
      <c r="AL70" s="3">
        <v>597.82501920000004</v>
      </c>
      <c r="AM70" s="3">
        <v>1097.5199990000001</v>
      </c>
      <c r="AN70" s="3">
        <v>135.91031050000001</v>
      </c>
      <c r="AO70" s="3">
        <v>414.79033149999998</v>
      </c>
      <c r="AP70" s="48" t="s">
        <v>316</v>
      </c>
      <c r="AQ70" s="49" t="s">
        <v>348</v>
      </c>
      <c r="AR70" s="3">
        <v>899.58532400000001</v>
      </c>
      <c r="AS70" s="3">
        <v>1219.6327510000001</v>
      </c>
      <c r="AT70" s="3">
        <v>1126.4926820000001</v>
      </c>
      <c r="AU70" s="3">
        <v>1086.0642399999999</v>
      </c>
      <c r="AV70" s="3">
        <v>289.62488500000001</v>
      </c>
      <c r="AW70" s="3">
        <v>1586.939926</v>
      </c>
      <c r="AX70" s="3">
        <v>991.8495954</v>
      </c>
      <c r="AY70" s="3">
        <v>1184.5776820000001</v>
      </c>
      <c r="AZ70" s="3">
        <v>675.43951200000004</v>
      </c>
      <c r="BA70" s="3">
        <v>354.7159704</v>
      </c>
      <c r="BB70" s="3">
        <v>599.1079886</v>
      </c>
      <c r="BC70" s="3">
        <v>164.48985519999999</v>
      </c>
      <c r="BD70" s="3">
        <v>807.74963720000005</v>
      </c>
      <c r="BE70" s="48" t="s">
        <v>316</v>
      </c>
      <c r="BF70" s="49" t="s">
        <v>348</v>
      </c>
      <c r="BG70" s="3">
        <v>0</v>
      </c>
      <c r="BH70" s="3">
        <v>0.48899999999999999</v>
      </c>
      <c r="BI70" s="3">
        <v>0.45</v>
      </c>
      <c r="BJ70" s="3">
        <v>0</v>
      </c>
      <c r="BK70" s="3">
        <v>0.35099999999999998</v>
      </c>
      <c r="BL70" s="3">
        <v>0.39600000000000002</v>
      </c>
      <c r="BM70" s="3">
        <v>0</v>
      </c>
      <c r="BN70" s="3">
        <v>0.28499999999999998</v>
      </c>
      <c r="BO70" s="3">
        <v>0.125</v>
      </c>
      <c r="BP70" s="3">
        <v>0</v>
      </c>
      <c r="BQ70" s="3">
        <v>0.47099999999999997</v>
      </c>
      <c r="BR70" s="3">
        <v>0.43033333299999998</v>
      </c>
      <c r="BS70" s="3">
        <v>0</v>
      </c>
      <c r="BT70" s="3">
        <v>0.89700000000000002</v>
      </c>
      <c r="BU70" s="3">
        <v>0.488166667</v>
      </c>
      <c r="BV70" s="3">
        <v>0</v>
      </c>
      <c r="BW70" s="3">
        <v>6.5000000000000002E-2</v>
      </c>
      <c r="BX70" s="3">
        <v>0.58599999999999997</v>
      </c>
      <c r="BY70" s="3">
        <v>0</v>
      </c>
      <c r="BZ70" s="3">
        <v>6.5000000000000002E-2</v>
      </c>
      <c r="CA70" s="3">
        <v>0.59350000000000003</v>
      </c>
      <c r="CB70" s="3">
        <v>0</v>
      </c>
      <c r="CC70" s="3">
        <v>0.61599999999999999</v>
      </c>
      <c r="CD70" s="3">
        <v>0.52633333299999996</v>
      </c>
      <c r="CE70" s="3">
        <v>0</v>
      </c>
      <c r="CF70" s="3">
        <v>0.57499999999999996</v>
      </c>
      <c r="CG70" s="3">
        <v>0.64349999999999996</v>
      </c>
      <c r="CH70" s="3">
        <v>0</v>
      </c>
      <c r="CI70" s="3">
        <v>0.61799999999999999</v>
      </c>
      <c r="CJ70" s="3">
        <v>0.84266666700000004</v>
      </c>
      <c r="CK70" s="3">
        <v>0</v>
      </c>
      <c r="CL70" s="3">
        <v>0.74199999999999999</v>
      </c>
      <c r="CM70" s="3">
        <v>0.01</v>
      </c>
      <c r="CN70" s="3">
        <v>0</v>
      </c>
      <c r="CO70" s="3">
        <v>0.71199999999999997</v>
      </c>
      <c r="CP70" s="3">
        <v>0.47733333300000003</v>
      </c>
      <c r="CQ70" s="3">
        <v>0</v>
      </c>
      <c r="CR70" s="3">
        <v>0.65400000000000003</v>
      </c>
      <c r="CS70" s="3">
        <v>0.621</v>
      </c>
      <c r="CT70" s="48" t="s">
        <v>316</v>
      </c>
      <c r="CU70" s="49" t="s">
        <v>348</v>
      </c>
      <c r="CV70" s="3">
        <v>1.5720000000000001</v>
      </c>
      <c r="CW70" s="3">
        <v>1.605</v>
      </c>
      <c r="CX70" s="3">
        <v>1.4730000000000001</v>
      </c>
      <c r="CY70" s="3">
        <v>1.9530000000000001</v>
      </c>
      <c r="CZ70" s="3">
        <v>1.494</v>
      </c>
      <c r="DA70" s="3">
        <v>6.4560000000000004</v>
      </c>
      <c r="DB70" s="3">
        <v>0.20799999999999999</v>
      </c>
      <c r="DC70" s="3">
        <v>4.5709999999999997</v>
      </c>
      <c r="DD70" s="3">
        <v>3.835</v>
      </c>
      <c r="DE70" s="3">
        <v>3.6230000000000002</v>
      </c>
      <c r="DF70" s="3">
        <v>3.5550000000000002</v>
      </c>
      <c r="DG70" s="3">
        <v>5.0869999999999997</v>
      </c>
      <c r="DH70" s="3">
        <v>4.242</v>
      </c>
    </row>
    <row r="71" spans="1:112" x14ac:dyDescent="0.3">
      <c r="A71" s="48" t="s">
        <v>316</v>
      </c>
      <c r="B71" s="49" t="s">
        <v>349</v>
      </c>
      <c r="C71" s="3">
        <v>66.466085699999994</v>
      </c>
      <c r="D71" s="3">
        <v>51.989721099999997</v>
      </c>
      <c r="E71" s="3">
        <v>51.989721099999997</v>
      </c>
      <c r="F71" s="3">
        <v>26.510614100000002</v>
      </c>
      <c r="G71" s="3">
        <v>26.510614100000002</v>
      </c>
      <c r="H71" s="3">
        <v>51.989721099999997</v>
      </c>
      <c r="I71" s="48" t="s">
        <v>316</v>
      </c>
      <c r="J71" s="49" t="s">
        <v>349</v>
      </c>
      <c r="K71" s="3">
        <v>45149</v>
      </c>
      <c r="L71" s="48" t="s">
        <v>316</v>
      </c>
      <c r="M71" s="49" t="s">
        <v>349</v>
      </c>
      <c r="N71" s="3">
        <v>9744.2118559999999</v>
      </c>
      <c r="O71" s="3">
        <v>11567.804690000001</v>
      </c>
      <c r="P71" s="3">
        <v>7272.426684</v>
      </c>
      <c r="Q71" s="3">
        <v>6228.8633550000004</v>
      </c>
      <c r="R71" s="3">
        <v>11264.12854</v>
      </c>
      <c r="S71" s="3">
        <v>13058.382149999999</v>
      </c>
      <c r="T71" s="3">
        <v>9358.6593840000005</v>
      </c>
      <c r="U71" s="3">
        <v>12288.03</v>
      </c>
      <c r="V71" s="3">
        <v>8498.4507790000007</v>
      </c>
      <c r="W71" s="3">
        <v>4703.9797429999999</v>
      </c>
      <c r="X71" s="3">
        <v>9417.9520869999997</v>
      </c>
      <c r="Y71" s="3">
        <v>853.78537340000003</v>
      </c>
      <c r="Z71" s="3">
        <v>3057.2846869999998</v>
      </c>
      <c r="AA71" s="48" t="s">
        <v>316</v>
      </c>
      <c r="AB71" s="49" t="s">
        <v>349</v>
      </c>
      <c r="AC71" s="3">
        <v>818.76475249999999</v>
      </c>
      <c r="AD71" s="3">
        <v>808.67845690000001</v>
      </c>
      <c r="AE71" s="3">
        <v>530.79543230000002</v>
      </c>
      <c r="AF71" s="3">
        <v>170.1407308</v>
      </c>
      <c r="AG71" s="3">
        <v>1340.197921</v>
      </c>
      <c r="AH71" s="3">
        <v>1088.3586</v>
      </c>
      <c r="AI71" s="3">
        <v>1250.509139</v>
      </c>
      <c r="AJ71" s="3">
        <v>965.21880539999995</v>
      </c>
      <c r="AK71" s="3">
        <v>391.3266946</v>
      </c>
      <c r="AL71" s="3">
        <v>582.87939370000004</v>
      </c>
      <c r="AM71" s="3">
        <v>1070.081999</v>
      </c>
      <c r="AN71" s="3">
        <v>132.51255280000001</v>
      </c>
      <c r="AO71" s="3">
        <v>404.42057319999998</v>
      </c>
      <c r="AP71" s="48" t="s">
        <v>316</v>
      </c>
      <c r="AQ71" s="49" t="s">
        <v>349</v>
      </c>
      <c r="AR71" s="3">
        <v>858.69508199999996</v>
      </c>
      <c r="AS71" s="3">
        <v>1164.194898</v>
      </c>
      <c r="AT71" s="3">
        <v>1061.6585709999999</v>
      </c>
      <c r="AU71" s="3">
        <v>1023.556946</v>
      </c>
      <c r="AV71" s="3">
        <v>276.46011750000002</v>
      </c>
      <c r="AW71" s="3">
        <v>1514.8062930000001</v>
      </c>
      <c r="AX71" s="3">
        <v>934.76472660000002</v>
      </c>
      <c r="AY71" s="3">
        <v>1130.733242</v>
      </c>
      <c r="AZ71" s="3">
        <v>644.73771599999998</v>
      </c>
      <c r="BA71" s="3">
        <v>338.59251719999997</v>
      </c>
      <c r="BB71" s="3">
        <v>571.87580730000002</v>
      </c>
      <c r="BC71" s="3">
        <v>157.0130436</v>
      </c>
      <c r="BD71" s="3">
        <v>771.03374459999998</v>
      </c>
      <c r="BE71" s="48" t="s">
        <v>316</v>
      </c>
      <c r="BF71" s="49" t="s">
        <v>349</v>
      </c>
      <c r="BG71" s="3">
        <v>0</v>
      </c>
      <c r="BH71" s="3">
        <v>0.47599999999999998</v>
      </c>
      <c r="BI71" s="3">
        <v>0.47149999999999997</v>
      </c>
      <c r="BJ71" s="3">
        <v>0</v>
      </c>
      <c r="BK71" s="3">
        <v>0.36099999999999999</v>
      </c>
      <c r="BL71" s="3">
        <v>0.39300000000000002</v>
      </c>
      <c r="BM71" s="3">
        <v>0</v>
      </c>
      <c r="BN71" s="3">
        <v>0.30499999999999999</v>
      </c>
      <c r="BO71" s="3">
        <v>0.124</v>
      </c>
      <c r="BP71" s="3">
        <v>0</v>
      </c>
      <c r="BQ71" s="3">
        <v>0.502</v>
      </c>
      <c r="BR71" s="3">
        <v>0.44766666700000002</v>
      </c>
      <c r="BS71" s="3">
        <v>0</v>
      </c>
      <c r="BT71" s="3">
        <v>0.878</v>
      </c>
      <c r="BU71" s="3">
        <v>0.49208333399999998</v>
      </c>
      <c r="BV71" s="3">
        <v>0</v>
      </c>
      <c r="BW71" s="3">
        <v>0.156</v>
      </c>
      <c r="BX71" s="3">
        <v>0.627</v>
      </c>
      <c r="BY71" s="3">
        <v>0</v>
      </c>
      <c r="BZ71" s="3">
        <v>0.156</v>
      </c>
      <c r="CA71" s="3">
        <v>0.60850000000000004</v>
      </c>
      <c r="CB71" s="3">
        <v>0</v>
      </c>
      <c r="CC71" s="3">
        <v>0.625</v>
      </c>
      <c r="CD71" s="3">
        <v>0.51266666699999996</v>
      </c>
      <c r="CE71" s="3">
        <v>0</v>
      </c>
      <c r="CF71" s="3">
        <v>0.56899999999999995</v>
      </c>
      <c r="CG71" s="3">
        <v>0.625</v>
      </c>
      <c r="CH71" s="3">
        <v>0</v>
      </c>
      <c r="CI71" s="3">
        <v>0.65800000000000003</v>
      </c>
      <c r="CJ71" s="3">
        <v>0.85333333300000003</v>
      </c>
      <c r="CK71" s="3">
        <v>0</v>
      </c>
      <c r="CL71" s="3">
        <v>0.70199999999999996</v>
      </c>
      <c r="CM71" s="3">
        <v>0.01</v>
      </c>
      <c r="CN71" s="3">
        <v>0</v>
      </c>
      <c r="CO71" s="3">
        <v>0.68100000000000005</v>
      </c>
      <c r="CP71" s="3">
        <v>0.44366666700000001</v>
      </c>
      <c r="CQ71" s="3">
        <v>0</v>
      </c>
      <c r="CR71" s="3">
        <v>0.62</v>
      </c>
      <c r="CS71" s="3">
        <v>0.61599999999999999</v>
      </c>
      <c r="CT71" s="48" t="s">
        <v>316</v>
      </c>
      <c r="CU71" s="49" t="s">
        <v>349</v>
      </c>
      <c r="CV71" s="3">
        <v>1.371</v>
      </c>
      <c r="CW71" s="3">
        <v>1.6339999999999999</v>
      </c>
      <c r="CX71" s="3">
        <v>1.2929999999999999</v>
      </c>
      <c r="CY71" s="3">
        <v>1.62</v>
      </c>
      <c r="CZ71" s="3">
        <v>1.7250000000000001</v>
      </c>
      <c r="DA71" s="3">
        <v>6.415</v>
      </c>
      <c r="DB71" s="3">
        <v>0.19600000000000001</v>
      </c>
      <c r="DC71" s="3">
        <v>4.5659999999999998</v>
      </c>
      <c r="DD71" s="3">
        <v>3.871</v>
      </c>
      <c r="DE71" s="3">
        <v>4.048</v>
      </c>
      <c r="DF71" s="3">
        <v>3.8109999999999999</v>
      </c>
      <c r="DG71" s="3">
        <v>4.9050000000000002</v>
      </c>
      <c r="DH71" s="3">
        <v>4.0869999999999997</v>
      </c>
    </row>
    <row r="72" spans="1:112" x14ac:dyDescent="0.3">
      <c r="A72" s="48" t="s">
        <v>316</v>
      </c>
      <c r="B72" s="49" t="s">
        <v>350</v>
      </c>
      <c r="C72" s="3">
        <v>63.733032700000003</v>
      </c>
      <c r="D72" s="3">
        <v>53.805878900000003</v>
      </c>
      <c r="E72" s="3">
        <v>36.587645000000002</v>
      </c>
      <c r="F72" s="3">
        <v>25.937554599999999</v>
      </c>
      <c r="G72" s="3">
        <v>25.937554599999999</v>
      </c>
      <c r="H72" s="3">
        <v>53.805878900000003</v>
      </c>
      <c r="I72" s="48" t="s">
        <v>316</v>
      </c>
      <c r="J72" s="49" t="s">
        <v>350</v>
      </c>
      <c r="K72" s="3">
        <v>40933.5</v>
      </c>
      <c r="L72" s="48" t="s">
        <v>316</v>
      </c>
      <c r="M72" s="49" t="s">
        <v>350</v>
      </c>
      <c r="N72" s="3">
        <v>8865.1317409999992</v>
      </c>
      <c r="O72" s="3">
        <v>10323.76374</v>
      </c>
      <c r="P72" s="3">
        <v>6511.9559140000001</v>
      </c>
      <c r="Q72" s="3">
        <v>5586.7335979999998</v>
      </c>
      <c r="R72" s="3">
        <v>10577.146280000001</v>
      </c>
      <c r="S72" s="3">
        <v>11821.871719999999</v>
      </c>
      <c r="T72" s="3">
        <v>8679.2015240000001</v>
      </c>
      <c r="U72" s="3">
        <v>11218.32861</v>
      </c>
      <c r="V72" s="3">
        <v>7457.120062</v>
      </c>
      <c r="W72" s="3">
        <v>2985.1260539999998</v>
      </c>
      <c r="X72" s="3">
        <v>8549.1633139999994</v>
      </c>
      <c r="Y72" s="3">
        <v>561.0060962</v>
      </c>
      <c r="Z72" s="3">
        <v>2113.507697</v>
      </c>
      <c r="AA72" s="48" t="s">
        <v>316</v>
      </c>
      <c r="AB72" s="49" t="s">
        <v>350</v>
      </c>
      <c r="AC72" s="3">
        <v>746.45219599999996</v>
      </c>
      <c r="AD72" s="3">
        <v>737.25671279999995</v>
      </c>
      <c r="AE72" s="3">
        <v>475.68552399999999</v>
      </c>
      <c r="AF72" s="3">
        <v>152.47584620000001</v>
      </c>
      <c r="AG72" s="3">
        <v>1221.832862</v>
      </c>
      <c r="AH72" s="3">
        <v>992.23576060000005</v>
      </c>
      <c r="AI72" s="3">
        <v>1120.6748560000001</v>
      </c>
      <c r="AJ72" s="3">
        <v>879.97156050000001</v>
      </c>
      <c r="AK72" s="3">
        <v>356.76507770000001</v>
      </c>
      <c r="AL72" s="3">
        <v>531.40001700000005</v>
      </c>
      <c r="AM72" s="3">
        <v>975.57333259999996</v>
      </c>
      <c r="AN72" s="3">
        <v>120.8091649</v>
      </c>
      <c r="AO72" s="3">
        <v>368.70251689999998</v>
      </c>
      <c r="AP72" s="48" t="s">
        <v>316</v>
      </c>
      <c r="AQ72" s="49" t="s">
        <v>350</v>
      </c>
      <c r="AR72" s="3">
        <v>817.80484000000001</v>
      </c>
      <c r="AS72" s="3">
        <v>1108.7570459999999</v>
      </c>
      <c r="AT72" s="3">
        <v>1010.331566</v>
      </c>
      <c r="AU72" s="3">
        <v>974.07200439999997</v>
      </c>
      <c r="AV72" s="3">
        <v>263.29534999999998</v>
      </c>
      <c r="AW72" s="3">
        <v>1442.67266</v>
      </c>
      <c r="AX72" s="3">
        <v>889.57253879999996</v>
      </c>
      <c r="AY72" s="3">
        <v>1076.8888019999999</v>
      </c>
      <c r="AZ72" s="3">
        <v>614.03592000000003</v>
      </c>
      <c r="BA72" s="3">
        <v>322.469064</v>
      </c>
      <c r="BB72" s="3">
        <v>544.64362600000004</v>
      </c>
      <c r="BC72" s="3">
        <v>149.53623200000001</v>
      </c>
      <c r="BD72" s="3">
        <v>734.31785200000002</v>
      </c>
      <c r="BE72" s="48" t="s">
        <v>316</v>
      </c>
      <c r="BF72" s="49" t="s">
        <v>350</v>
      </c>
      <c r="BG72" s="3">
        <v>0</v>
      </c>
      <c r="BH72" s="3">
        <v>0.498</v>
      </c>
      <c r="BI72" s="3">
        <v>0.46350000000000002</v>
      </c>
      <c r="BJ72" s="3">
        <v>0</v>
      </c>
      <c r="BK72" s="3">
        <v>0.38200000000000001</v>
      </c>
      <c r="BL72" s="3">
        <v>0.36399999999999999</v>
      </c>
      <c r="BM72" s="3">
        <v>0</v>
      </c>
      <c r="BN72" s="3">
        <v>0.36399999999999999</v>
      </c>
      <c r="BO72" s="3">
        <v>0.111</v>
      </c>
      <c r="BP72" s="3">
        <v>0</v>
      </c>
      <c r="BQ72" s="3">
        <v>0.55100000000000005</v>
      </c>
      <c r="BR72" s="3">
        <v>0.45533333300000001</v>
      </c>
      <c r="BS72" s="3">
        <v>0</v>
      </c>
      <c r="BT72" s="3">
        <v>0.83899999999999997</v>
      </c>
      <c r="BU72" s="3">
        <v>0.47075</v>
      </c>
      <c r="BV72" s="3">
        <v>0</v>
      </c>
      <c r="BW72" s="3">
        <v>0.32100000000000001</v>
      </c>
      <c r="BX72" s="3">
        <v>0.628</v>
      </c>
      <c r="BY72" s="3">
        <v>0</v>
      </c>
      <c r="BZ72" s="3">
        <v>0.32100000000000001</v>
      </c>
      <c r="CA72" s="3">
        <v>0.62749999999999995</v>
      </c>
      <c r="CB72" s="3">
        <v>0</v>
      </c>
      <c r="CC72" s="3">
        <v>0.61899999999999999</v>
      </c>
      <c r="CD72" s="3">
        <v>0.47799999999999998</v>
      </c>
      <c r="CE72" s="3">
        <v>0</v>
      </c>
      <c r="CF72" s="3">
        <v>0.55900000000000005</v>
      </c>
      <c r="CG72" s="3">
        <v>0.59799999999999998</v>
      </c>
      <c r="CH72" s="3">
        <v>0</v>
      </c>
      <c r="CI72" s="3">
        <v>0.64700000000000002</v>
      </c>
      <c r="CJ72" s="3">
        <v>0.84299999999999997</v>
      </c>
      <c r="CK72" s="3">
        <v>0</v>
      </c>
      <c r="CL72" s="3">
        <v>0.61199999999999999</v>
      </c>
      <c r="CM72" s="3">
        <v>0.01</v>
      </c>
      <c r="CN72" s="3">
        <v>0</v>
      </c>
      <c r="CO72" s="3">
        <v>0.65800000000000003</v>
      </c>
      <c r="CP72" s="3">
        <v>0.41633333300000003</v>
      </c>
      <c r="CQ72" s="3">
        <v>0</v>
      </c>
      <c r="CR72" s="3">
        <v>0.66100000000000003</v>
      </c>
      <c r="CS72" s="3">
        <v>0.61299999999999999</v>
      </c>
      <c r="CT72" s="48" t="s">
        <v>316</v>
      </c>
      <c r="CU72" s="49" t="s">
        <v>350</v>
      </c>
      <c r="CV72" s="3">
        <v>1.387</v>
      </c>
      <c r="CW72" s="3">
        <v>1.806</v>
      </c>
      <c r="CX72" s="3">
        <v>1.48</v>
      </c>
      <c r="CY72" s="3">
        <v>1.26</v>
      </c>
      <c r="CZ72" s="3">
        <v>2.077</v>
      </c>
      <c r="DA72" s="3">
        <v>6.4109999999999996</v>
      </c>
      <c r="DB72" s="3">
        <v>-1.9E-2</v>
      </c>
      <c r="DC72" s="3">
        <v>4.68</v>
      </c>
      <c r="DD72" s="3">
        <v>4.0090000000000003</v>
      </c>
      <c r="DE72" s="3">
        <v>4.1870000000000003</v>
      </c>
      <c r="DF72" s="3">
        <v>3.4420000000000002</v>
      </c>
      <c r="DG72" s="3">
        <v>4.6619999999999999</v>
      </c>
      <c r="DH72" s="3">
        <v>3.9009999999999998</v>
      </c>
    </row>
    <row r="73" spans="1:112" x14ac:dyDescent="0.3">
      <c r="A73" s="48" t="s">
        <v>316</v>
      </c>
      <c r="B73" s="49" t="s">
        <v>351</v>
      </c>
      <c r="C73" s="3">
        <v>50.455684900000001</v>
      </c>
      <c r="D73" s="3">
        <v>48.242793599999999</v>
      </c>
      <c r="E73" s="3">
        <v>48.242793599999999</v>
      </c>
      <c r="F73" s="3">
        <v>24.914863799999999</v>
      </c>
      <c r="G73" s="3">
        <v>24.914863799999999</v>
      </c>
      <c r="H73" s="3">
        <v>48.242793599999999</v>
      </c>
      <c r="I73" s="48" t="s">
        <v>316</v>
      </c>
      <c r="J73" s="49" t="s">
        <v>351</v>
      </c>
      <c r="K73" s="3">
        <v>36147.5</v>
      </c>
      <c r="L73" s="48" t="s">
        <v>316</v>
      </c>
      <c r="M73" s="49" t="s">
        <v>351</v>
      </c>
      <c r="N73" s="3">
        <v>7374.6840629999997</v>
      </c>
      <c r="O73" s="3">
        <v>8411.6200100000005</v>
      </c>
      <c r="P73" s="3">
        <v>5215.6290090000002</v>
      </c>
      <c r="Q73" s="3">
        <v>4537.7368990000004</v>
      </c>
      <c r="R73" s="3">
        <v>9198.9183840000005</v>
      </c>
      <c r="S73" s="3">
        <v>9729.9887280000003</v>
      </c>
      <c r="T73" s="3">
        <v>7419.8800090000004</v>
      </c>
      <c r="U73" s="3">
        <v>9448.4165649999995</v>
      </c>
      <c r="V73" s="3">
        <v>6098.0452800000003</v>
      </c>
      <c r="W73" s="3">
        <v>1742.876088</v>
      </c>
      <c r="X73" s="3">
        <v>7089.7925109999996</v>
      </c>
      <c r="Y73" s="3">
        <v>346.41232400000001</v>
      </c>
      <c r="Z73" s="3">
        <v>1290.9693729999999</v>
      </c>
      <c r="AA73" s="48" t="s">
        <v>316</v>
      </c>
      <c r="AB73" s="49" t="s">
        <v>351</v>
      </c>
      <c r="AC73" s="3">
        <v>648.48034529999995</v>
      </c>
      <c r="AD73" s="3">
        <v>640.49176920000002</v>
      </c>
      <c r="AE73" s="3">
        <v>437.97874460000003</v>
      </c>
      <c r="AF73" s="3">
        <v>140.38934620000001</v>
      </c>
      <c r="AG73" s="3">
        <v>1061.4672989999999</v>
      </c>
      <c r="AH73" s="3">
        <v>862.004817</v>
      </c>
      <c r="AI73" s="3">
        <v>1031.840874</v>
      </c>
      <c r="AJ73" s="3">
        <v>764.47529320000001</v>
      </c>
      <c r="AK73" s="3">
        <v>309.93966119999999</v>
      </c>
      <c r="AL73" s="3">
        <v>461.65376479999998</v>
      </c>
      <c r="AM73" s="3">
        <v>847.52933270000005</v>
      </c>
      <c r="AN73" s="3">
        <v>104.952962</v>
      </c>
      <c r="AO73" s="3">
        <v>320.31031150000001</v>
      </c>
      <c r="AP73" s="48" t="s">
        <v>316</v>
      </c>
      <c r="AQ73" s="49" t="s">
        <v>351</v>
      </c>
      <c r="AR73" s="3">
        <v>716.65529400000003</v>
      </c>
      <c r="AS73" s="3">
        <v>971.62130609999997</v>
      </c>
      <c r="AT73" s="3">
        <v>923.8860846</v>
      </c>
      <c r="AU73" s="3">
        <v>890.7289452</v>
      </c>
      <c r="AV73" s="3">
        <v>230.7298725</v>
      </c>
      <c r="AW73" s="3">
        <v>1264.2368309999999</v>
      </c>
      <c r="AX73" s="3">
        <v>813.45938039999999</v>
      </c>
      <c r="AY73" s="3">
        <v>943.69466069999999</v>
      </c>
      <c r="AZ73" s="3">
        <v>538.08937200000003</v>
      </c>
      <c r="BA73" s="3">
        <v>282.58473240000001</v>
      </c>
      <c r="BB73" s="3">
        <v>477.27980910000002</v>
      </c>
      <c r="BC73" s="3">
        <v>131.0409612</v>
      </c>
      <c r="BD73" s="3">
        <v>643.49432820000004</v>
      </c>
      <c r="BE73" s="48" t="s">
        <v>316</v>
      </c>
      <c r="BF73" s="49" t="s">
        <v>351</v>
      </c>
      <c r="BG73" s="3">
        <v>0</v>
      </c>
      <c r="BH73" s="3">
        <v>0.52100000000000002</v>
      </c>
      <c r="BI73" s="3">
        <v>0.42</v>
      </c>
      <c r="BJ73" s="3">
        <v>0</v>
      </c>
      <c r="BK73" s="3">
        <v>0.35199999999999998</v>
      </c>
      <c r="BL73" s="3">
        <v>0.316</v>
      </c>
      <c r="BM73" s="3">
        <v>0</v>
      </c>
      <c r="BN73" s="3">
        <v>0.34300000000000003</v>
      </c>
      <c r="BO73" s="3">
        <v>9.7000000000000003E-2</v>
      </c>
      <c r="BP73" s="3">
        <v>0</v>
      </c>
      <c r="BQ73" s="3">
        <v>0.55900000000000005</v>
      </c>
      <c r="BR73" s="3">
        <v>0.47266666699999998</v>
      </c>
      <c r="BS73" s="3">
        <v>0</v>
      </c>
      <c r="BT73" s="3">
        <v>0.77300000000000002</v>
      </c>
      <c r="BU73" s="3">
        <v>0.42849999999999999</v>
      </c>
      <c r="BV73" s="3">
        <v>0</v>
      </c>
      <c r="BW73" s="3">
        <v>0.45</v>
      </c>
      <c r="BX73" s="3">
        <v>0.629</v>
      </c>
      <c r="BY73" s="3">
        <v>0</v>
      </c>
      <c r="BZ73" s="3">
        <v>0.45</v>
      </c>
      <c r="CA73" s="3">
        <v>0.65100000000000002</v>
      </c>
      <c r="CB73" s="3">
        <v>0</v>
      </c>
      <c r="CC73" s="3">
        <v>0.628</v>
      </c>
      <c r="CD73" s="3">
        <v>0.437</v>
      </c>
      <c r="CE73" s="3">
        <v>0</v>
      </c>
      <c r="CF73" s="3">
        <v>0.55200000000000005</v>
      </c>
      <c r="CG73" s="3">
        <v>0.5595</v>
      </c>
      <c r="CH73" s="3">
        <v>0</v>
      </c>
      <c r="CI73" s="3">
        <v>0.626</v>
      </c>
      <c r="CJ73" s="3">
        <v>0.820333333</v>
      </c>
      <c r="CK73" s="3">
        <v>0</v>
      </c>
      <c r="CL73" s="3">
        <v>0.57399999999999995</v>
      </c>
      <c r="CM73" s="3">
        <v>0.01</v>
      </c>
      <c r="CN73" s="3">
        <v>0</v>
      </c>
      <c r="CO73" s="3">
        <v>0.66400000000000003</v>
      </c>
      <c r="CP73" s="3">
        <v>0.39466666700000003</v>
      </c>
      <c r="CQ73" s="3">
        <v>0</v>
      </c>
      <c r="CR73" s="3">
        <v>0.69799999999999995</v>
      </c>
      <c r="CS73" s="3">
        <v>0.65500000000000003</v>
      </c>
      <c r="CT73" s="48" t="s">
        <v>316</v>
      </c>
      <c r="CU73" s="49" t="s">
        <v>351</v>
      </c>
      <c r="CV73" s="3">
        <v>1.873</v>
      </c>
      <c r="CW73" s="3">
        <v>1.5389999999999999</v>
      </c>
      <c r="CX73" s="3">
        <v>1.39</v>
      </c>
      <c r="CY73" s="3">
        <v>1.1339999999999999</v>
      </c>
      <c r="CZ73" s="3">
        <v>2.3519999999999999</v>
      </c>
      <c r="DA73" s="3">
        <v>6.2629999999999999</v>
      </c>
      <c r="DB73" s="3">
        <v>-0.60099999999999998</v>
      </c>
      <c r="DC73" s="3">
        <v>4.8159999999999998</v>
      </c>
      <c r="DD73" s="3">
        <v>4.1890000000000001</v>
      </c>
      <c r="DE73" s="3">
        <v>4.2050000000000001</v>
      </c>
      <c r="DF73" s="3">
        <v>3.1139999999999999</v>
      </c>
      <c r="DG73" s="3">
        <v>4.3769999999999998</v>
      </c>
      <c r="DH73" s="3">
        <v>3.7360000000000002</v>
      </c>
    </row>
    <row r="74" spans="1:112" x14ac:dyDescent="0.3">
      <c r="A74" s="48" t="s">
        <v>316</v>
      </c>
      <c r="B74" s="49" t="s">
        <v>352</v>
      </c>
      <c r="C74" s="3">
        <v>40.863550500000002</v>
      </c>
      <c r="D74" s="3">
        <v>42.521014899999997</v>
      </c>
      <c r="E74" s="3">
        <v>34.207244000000003</v>
      </c>
      <c r="F74" s="3">
        <v>25.267515800000002</v>
      </c>
      <c r="G74" s="3">
        <v>25.267515800000002</v>
      </c>
      <c r="H74" s="3">
        <v>42.521014899999997</v>
      </c>
      <c r="I74" s="48" t="s">
        <v>316</v>
      </c>
      <c r="J74" s="49" t="s">
        <v>352</v>
      </c>
      <c r="K74" s="3">
        <v>32057.5</v>
      </c>
      <c r="L74" s="48" t="s">
        <v>316</v>
      </c>
      <c r="M74" s="49" t="s">
        <v>352</v>
      </c>
      <c r="N74" s="3">
        <v>4924.5015530000001</v>
      </c>
      <c r="O74" s="3">
        <v>5579.2722100000001</v>
      </c>
      <c r="P74" s="3">
        <v>3483.826552</v>
      </c>
      <c r="Q74" s="3">
        <v>3220.2277629999999</v>
      </c>
      <c r="R74" s="3">
        <v>6543.6923820000002</v>
      </c>
      <c r="S74" s="3">
        <v>6552.328289</v>
      </c>
      <c r="T74" s="3">
        <v>5158.2296130000004</v>
      </c>
      <c r="U74" s="3">
        <v>6287.5922970000001</v>
      </c>
      <c r="V74" s="3">
        <v>3942.719587</v>
      </c>
      <c r="W74" s="3">
        <v>1319.5599199999999</v>
      </c>
      <c r="X74" s="3">
        <v>4746.8724469999997</v>
      </c>
      <c r="Y74" s="3">
        <v>235.58460819999999</v>
      </c>
      <c r="Z74" s="3">
        <v>959.40012279999996</v>
      </c>
      <c r="AA74" s="48" t="s">
        <v>316</v>
      </c>
      <c r="AB74" s="49" t="s">
        <v>352</v>
      </c>
      <c r="AC74" s="3">
        <v>671.80697640000005</v>
      </c>
      <c r="AD74" s="3">
        <v>663.53104150000001</v>
      </c>
      <c r="AE74" s="3">
        <v>455.38187360000001</v>
      </c>
      <c r="AF74" s="3">
        <v>145.9677308</v>
      </c>
      <c r="AG74" s="3">
        <v>1099.649576</v>
      </c>
      <c r="AH74" s="3">
        <v>893.01218449999999</v>
      </c>
      <c r="AI74" s="3">
        <v>1072.8411739999999</v>
      </c>
      <c r="AJ74" s="3">
        <v>791.97440440000003</v>
      </c>
      <c r="AK74" s="3">
        <v>321.08856989999998</v>
      </c>
      <c r="AL74" s="3">
        <v>478.26001530000002</v>
      </c>
      <c r="AM74" s="3">
        <v>878.01599940000006</v>
      </c>
      <c r="AN74" s="3">
        <v>108.7282484</v>
      </c>
      <c r="AO74" s="3">
        <v>331.83226519999999</v>
      </c>
      <c r="AP74" s="48" t="s">
        <v>316</v>
      </c>
      <c r="AQ74" s="49" t="s">
        <v>352</v>
      </c>
      <c r="AR74" s="3">
        <v>649.93963599999995</v>
      </c>
      <c r="AS74" s="3">
        <v>881.17007339999998</v>
      </c>
      <c r="AT74" s="3">
        <v>837.44060300000001</v>
      </c>
      <c r="AU74" s="3">
        <v>807.38588600000003</v>
      </c>
      <c r="AV74" s="3">
        <v>209.25051500000001</v>
      </c>
      <c r="AW74" s="3">
        <v>1146.545114</v>
      </c>
      <c r="AX74" s="3">
        <v>737.34622200000001</v>
      </c>
      <c r="AY74" s="3">
        <v>855.84320579999996</v>
      </c>
      <c r="AZ74" s="3">
        <v>487.99696799999998</v>
      </c>
      <c r="BA74" s="3">
        <v>256.27804559999998</v>
      </c>
      <c r="BB74" s="3">
        <v>432.8483554</v>
      </c>
      <c r="BC74" s="3">
        <v>118.8419528</v>
      </c>
      <c r="BD74" s="3">
        <v>583.58945080000001</v>
      </c>
      <c r="BE74" s="48" t="s">
        <v>316</v>
      </c>
      <c r="BF74" s="49" t="s">
        <v>352</v>
      </c>
      <c r="BG74" s="3">
        <v>0</v>
      </c>
      <c r="BH74" s="3">
        <v>0.54400000000000004</v>
      </c>
      <c r="BI74" s="3">
        <v>0.36349999999999999</v>
      </c>
      <c r="BJ74" s="3">
        <v>0</v>
      </c>
      <c r="BK74" s="3">
        <v>0.28799999999999998</v>
      </c>
      <c r="BL74" s="3">
        <v>0.27650000000000002</v>
      </c>
      <c r="BM74" s="3">
        <v>0</v>
      </c>
      <c r="BN74" s="3">
        <v>0.29099999999999998</v>
      </c>
      <c r="BO74" s="3">
        <v>9.4500000000000001E-2</v>
      </c>
      <c r="BP74" s="3">
        <v>0</v>
      </c>
      <c r="BQ74" s="3">
        <v>0.46300000000000002</v>
      </c>
      <c r="BR74" s="3">
        <v>0.47466666699999999</v>
      </c>
      <c r="BS74" s="3">
        <v>0</v>
      </c>
      <c r="BT74" s="3">
        <v>0.64200000000000002</v>
      </c>
      <c r="BU74" s="3">
        <v>0.37991666699999999</v>
      </c>
      <c r="BV74" s="3">
        <v>0</v>
      </c>
      <c r="BW74" s="3">
        <v>0.505</v>
      </c>
      <c r="BX74" s="3">
        <v>0.6</v>
      </c>
      <c r="BY74" s="3">
        <v>0</v>
      </c>
      <c r="BZ74" s="3">
        <v>0.505</v>
      </c>
      <c r="CA74" s="3">
        <v>0.68899999999999995</v>
      </c>
      <c r="CB74" s="3">
        <v>0</v>
      </c>
      <c r="CC74" s="3">
        <v>0.63</v>
      </c>
      <c r="CD74" s="3">
        <v>0.39633333300000001</v>
      </c>
      <c r="CE74" s="3">
        <v>0</v>
      </c>
      <c r="CF74" s="3">
        <v>0.52500000000000002</v>
      </c>
      <c r="CG74" s="3">
        <v>0.52900000000000003</v>
      </c>
      <c r="CH74" s="3">
        <v>0</v>
      </c>
      <c r="CI74" s="3">
        <v>0.61199999999999999</v>
      </c>
      <c r="CJ74" s="3">
        <v>0.799666667</v>
      </c>
      <c r="CK74" s="3">
        <v>0</v>
      </c>
      <c r="CL74" s="3">
        <v>0.55300000000000005</v>
      </c>
      <c r="CM74" s="3">
        <v>0.01</v>
      </c>
      <c r="CN74" s="3">
        <v>0</v>
      </c>
      <c r="CO74" s="3">
        <v>0.70299999999999996</v>
      </c>
      <c r="CP74" s="3">
        <v>0.38766666700000002</v>
      </c>
      <c r="CQ74" s="3">
        <v>0</v>
      </c>
      <c r="CR74" s="3">
        <v>0.72499999999999998</v>
      </c>
      <c r="CS74" s="3">
        <v>0.69</v>
      </c>
      <c r="CT74" s="48" t="s">
        <v>316</v>
      </c>
      <c r="CU74" s="49" t="s">
        <v>352</v>
      </c>
      <c r="CV74" s="3">
        <v>2.1680000000000001</v>
      </c>
      <c r="CW74" s="3">
        <v>1.42</v>
      </c>
      <c r="CX74" s="3">
        <v>1.369</v>
      </c>
      <c r="CY74" s="3">
        <v>1.589</v>
      </c>
      <c r="CZ74" s="3">
        <v>2.36</v>
      </c>
      <c r="DA74" s="3">
        <v>5.7519999999999998</v>
      </c>
      <c r="DB74" s="3">
        <v>-1.1040000000000001</v>
      </c>
      <c r="DC74" s="3">
        <v>4.8499999999999996</v>
      </c>
      <c r="DD74" s="3">
        <v>4.1349999999999998</v>
      </c>
      <c r="DE74" s="3">
        <v>4.1020000000000003</v>
      </c>
      <c r="DF74" s="3">
        <v>2.8340000000000001</v>
      </c>
      <c r="DG74" s="3">
        <v>4.2380000000000004</v>
      </c>
      <c r="DH74" s="3">
        <v>3.7829999999999999</v>
      </c>
    </row>
    <row r="75" spans="1:112" x14ac:dyDescent="0.3">
      <c r="A75" s="48" t="s">
        <v>317</v>
      </c>
      <c r="B75" s="49" t="s">
        <v>329</v>
      </c>
      <c r="C75" s="3">
        <v>27.883925999999999</v>
      </c>
      <c r="D75" s="3">
        <v>28.103418000000001</v>
      </c>
      <c r="E75" s="3">
        <v>25.326000000000001</v>
      </c>
      <c r="F75" s="3">
        <v>25.587702</v>
      </c>
      <c r="G75" s="3">
        <v>25.587702</v>
      </c>
      <c r="H75" s="3">
        <v>30.247686000000002</v>
      </c>
      <c r="I75" s="48" t="s">
        <v>317</v>
      </c>
      <c r="J75" s="49" t="s">
        <v>329</v>
      </c>
      <c r="K75" s="3">
        <v>27411</v>
      </c>
      <c r="L75" s="48" t="s">
        <v>317</v>
      </c>
      <c r="M75" s="49" t="s">
        <v>329</v>
      </c>
      <c r="N75" s="3">
        <v>1614.87898</v>
      </c>
      <c r="O75" s="3">
        <v>1936.741612</v>
      </c>
      <c r="P75" s="3">
        <v>1043.5414619999999</v>
      </c>
      <c r="Q75" s="3">
        <v>941.09306600000002</v>
      </c>
      <c r="R75" s="3">
        <v>2355.2976100000001</v>
      </c>
      <c r="S75" s="3">
        <v>2207.8968209999998</v>
      </c>
      <c r="T75" s="3">
        <v>2060.5438180000001</v>
      </c>
      <c r="U75" s="3">
        <v>2171.7769579999999</v>
      </c>
      <c r="V75" s="3">
        <v>1495.5146099999999</v>
      </c>
      <c r="W75" s="3">
        <v>737.59925639999994</v>
      </c>
      <c r="X75" s="3">
        <v>1438.795877</v>
      </c>
      <c r="Y75" s="3">
        <v>148.00525060000001</v>
      </c>
      <c r="Z75" s="3">
        <v>573.28422950000004</v>
      </c>
      <c r="AA75" s="48" t="s">
        <v>317</v>
      </c>
      <c r="AB75" s="49" t="s">
        <v>329</v>
      </c>
      <c r="AC75" s="3">
        <v>598.65679050000006</v>
      </c>
      <c r="AD75" s="3">
        <v>594.87218270000005</v>
      </c>
      <c r="AE75" s="3">
        <v>381.91360300000002</v>
      </c>
      <c r="AF75" s="3">
        <v>123.4570552</v>
      </c>
      <c r="AG75" s="3">
        <v>1081.2283179999999</v>
      </c>
      <c r="AH75" s="3">
        <v>889.39482450000003</v>
      </c>
      <c r="AI75" s="3">
        <v>1043.989108</v>
      </c>
      <c r="AJ75" s="3">
        <v>770.07391959999995</v>
      </c>
      <c r="AK75" s="3">
        <v>327.43745619999999</v>
      </c>
      <c r="AL75" s="3">
        <v>530.03437710000003</v>
      </c>
      <c r="AM75" s="3">
        <v>899.13478959999998</v>
      </c>
      <c r="AN75" s="3">
        <v>117.0008053</v>
      </c>
      <c r="AO75" s="3">
        <v>361.18876210000002</v>
      </c>
      <c r="AP75" s="48" t="s">
        <v>317</v>
      </c>
      <c r="AQ75" s="49" t="s">
        <v>329</v>
      </c>
      <c r="AR75" s="3">
        <v>421.016368</v>
      </c>
      <c r="AS75" s="3">
        <v>896.91804000000002</v>
      </c>
      <c r="AT75" s="3">
        <v>838.59488999999996</v>
      </c>
      <c r="AU75" s="3">
        <v>663.48767999999995</v>
      </c>
      <c r="AV75" s="3">
        <v>282.89984079999999</v>
      </c>
      <c r="AW75" s="3">
        <v>1209.7567200000001</v>
      </c>
      <c r="AX75" s="3">
        <v>721.89192000000003</v>
      </c>
      <c r="AY75" s="3">
        <v>507.92249800000002</v>
      </c>
      <c r="AZ75" s="3">
        <v>469.09205839999998</v>
      </c>
      <c r="BA75" s="3">
        <v>282.8682</v>
      </c>
      <c r="BB75" s="3">
        <v>450.39240000000001</v>
      </c>
      <c r="BC75" s="3">
        <v>132.70434</v>
      </c>
      <c r="BD75" s="3">
        <v>733.44224999999994</v>
      </c>
      <c r="BE75" s="48" t="s">
        <v>317</v>
      </c>
      <c r="BF75" s="49" t="s">
        <v>329</v>
      </c>
      <c r="BG75" s="3">
        <v>0</v>
      </c>
      <c r="BH75" s="3">
        <v>0.30399999999999999</v>
      </c>
      <c r="BI75" s="3">
        <v>0.36849999999999999</v>
      </c>
      <c r="BJ75" s="3">
        <v>0</v>
      </c>
      <c r="BK75" s="3">
        <v>0.13500000000000001</v>
      </c>
      <c r="BL75" s="3">
        <v>0.61799999999999999</v>
      </c>
      <c r="BM75" s="3">
        <v>0</v>
      </c>
      <c r="BN75" s="3">
        <v>0.25</v>
      </c>
      <c r="BO75" s="3">
        <v>0.72499999999999998</v>
      </c>
      <c r="BP75" s="3">
        <v>0</v>
      </c>
      <c r="BQ75" s="3">
        <v>0.24199999999999999</v>
      </c>
      <c r="BR75" s="3">
        <v>0.48499999999999999</v>
      </c>
      <c r="BS75" s="3">
        <v>0</v>
      </c>
      <c r="BT75" s="3">
        <v>0.40300000000000002</v>
      </c>
      <c r="BU75" s="3">
        <v>0.47891666700000002</v>
      </c>
      <c r="BV75" s="3">
        <v>0</v>
      </c>
      <c r="BW75" s="3">
        <v>0.46600000000000003</v>
      </c>
      <c r="BX75" s="3">
        <v>0.38500000000000001</v>
      </c>
      <c r="BY75" s="3">
        <v>0</v>
      </c>
      <c r="BZ75" s="3">
        <v>0.46600000000000003</v>
      </c>
      <c r="CA75" s="3">
        <v>0.91600000000000004</v>
      </c>
      <c r="CB75" s="3">
        <v>0</v>
      </c>
      <c r="CC75" s="3">
        <v>0.46300000000000002</v>
      </c>
      <c r="CD75" s="3">
        <v>0.58933333300000001</v>
      </c>
      <c r="CE75" s="3">
        <v>0</v>
      </c>
      <c r="CF75" s="3">
        <v>0.30299999999999999</v>
      </c>
      <c r="CG75" s="3">
        <v>0.44350000000000001</v>
      </c>
      <c r="CH75" s="3">
        <v>0</v>
      </c>
      <c r="CI75" s="3">
        <v>0.158</v>
      </c>
      <c r="CJ75" s="3">
        <v>0.78600000000000003</v>
      </c>
      <c r="CK75" s="3">
        <v>0</v>
      </c>
      <c r="CL75" s="3">
        <v>0.254</v>
      </c>
      <c r="CM75" s="3">
        <v>0.01</v>
      </c>
      <c r="CN75" s="3">
        <v>0</v>
      </c>
      <c r="CO75" s="3">
        <v>0.13700000000000001</v>
      </c>
      <c r="CP75" s="3">
        <v>0.21766666700000001</v>
      </c>
      <c r="CQ75" s="3">
        <v>0</v>
      </c>
      <c r="CR75" s="3">
        <v>0.113</v>
      </c>
      <c r="CS75" s="3">
        <v>0.435</v>
      </c>
      <c r="CT75" s="48" t="s">
        <v>317</v>
      </c>
      <c r="CU75" s="49" t="s">
        <v>329</v>
      </c>
      <c r="CV75" s="3">
        <v>0.74199999999999999</v>
      </c>
      <c r="CW75" s="3">
        <v>1.266</v>
      </c>
      <c r="CX75" s="3">
        <v>2.0110000000000001</v>
      </c>
      <c r="CY75" s="3">
        <v>3.387</v>
      </c>
      <c r="CZ75" s="3">
        <v>0.218</v>
      </c>
      <c r="DA75" s="3">
        <v>6.3170000000000002</v>
      </c>
      <c r="DB75" s="3">
        <v>3.7570000000000001</v>
      </c>
      <c r="DC75" s="3">
        <v>4.87</v>
      </c>
      <c r="DD75" s="3">
        <v>2.8039999999999998</v>
      </c>
      <c r="DE75" s="3">
        <v>1.2030000000000001</v>
      </c>
      <c r="DF75" s="3">
        <v>-5.2999999999999999E-2</v>
      </c>
      <c r="DG75" s="3">
        <v>1.641</v>
      </c>
      <c r="DH75" s="3">
        <v>0.8</v>
      </c>
    </row>
    <row r="76" spans="1:112" x14ac:dyDescent="0.3">
      <c r="A76" s="48" t="s">
        <v>317</v>
      </c>
      <c r="B76" s="49" t="s">
        <v>330</v>
      </c>
      <c r="C76" s="3">
        <v>31.075002000000001</v>
      </c>
      <c r="D76" s="3">
        <v>26.203968</v>
      </c>
      <c r="E76" s="3">
        <v>26.203968</v>
      </c>
      <c r="F76" s="3">
        <v>25.579260000000001</v>
      </c>
      <c r="G76" s="3">
        <v>25.579260000000001</v>
      </c>
      <c r="H76" s="3">
        <v>26.203968</v>
      </c>
      <c r="I76" s="48" t="s">
        <v>317</v>
      </c>
      <c r="J76" s="49" t="s">
        <v>330</v>
      </c>
      <c r="K76" s="3">
        <v>27617</v>
      </c>
      <c r="L76" s="48" t="s">
        <v>317</v>
      </c>
      <c r="M76" s="49" t="s">
        <v>330</v>
      </c>
      <c r="N76" s="3">
        <v>1127.7005349999999</v>
      </c>
      <c r="O76" s="3">
        <v>1364.3332069999999</v>
      </c>
      <c r="P76" s="3">
        <v>929.7199134</v>
      </c>
      <c r="Q76" s="3">
        <v>863.28828269999997</v>
      </c>
      <c r="R76" s="3">
        <v>1470.869774</v>
      </c>
      <c r="S76" s="3">
        <v>1362.0394570000001</v>
      </c>
      <c r="T76" s="3">
        <v>1355.049595</v>
      </c>
      <c r="U76" s="3">
        <v>1410.0724580000001</v>
      </c>
      <c r="V76" s="3">
        <v>1140.790266</v>
      </c>
      <c r="W76" s="3">
        <v>677.84124329999997</v>
      </c>
      <c r="X76" s="3">
        <v>788.13108239999997</v>
      </c>
      <c r="Y76" s="3">
        <v>122.6860835</v>
      </c>
      <c r="Z76" s="3">
        <v>505.49753529999998</v>
      </c>
      <c r="AA76" s="48" t="s">
        <v>317</v>
      </c>
      <c r="AB76" s="49" t="s">
        <v>330</v>
      </c>
      <c r="AC76" s="3">
        <v>692.4761383</v>
      </c>
      <c r="AD76" s="3">
        <v>647.84025380000003</v>
      </c>
      <c r="AE76" s="3">
        <v>415.91960879999999</v>
      </c>
      <c r="AF76" s="3">
        <v>134.44980659999999</v>
      </c>
      <c r="AG76" s="3">
        <v>1250.6745470000001</v>
      </c>
      <c r="AH76" s="3">
        <v>968.58751440000003</v>
      </c>
      <c r="AI76" s="3">
        <v>1136.947042</v>
      </c>
      <c r="AJ76" s="3">
        <v>890.75714579999999</v>
      </c>
      <c r="AK76" s="3">
        <v>378.75228149999998</v>
      </c>
      <c r="AL76" s="3">
        <v>577.22921889999998</v>
      </c>
      <c r="AM76" s="3">
        <v>979.19473660000006</v>
      </c>
      <c r="AN76" s="3">
        <v>127.41868530000001</v>
      </c>
      <c r="AO76" s="3">
        <v>393.3494053</v>
      </c>
      <c r="AP76" s="48" t="s">
        <v>317</v>
      </c>
      <c r="AQ76" s="49" t="s">
        <v>330</v>
      </c>
      <c r="AR76" s="3">
        <v>458.07766800000002</v>
      </c>
      <c r="AS76" s="3">
        <v>932.79476160000002</v>
      </c>
      <c r="AT76" s="3">
        <v>872.13868560000003</v>
      </c>
      <c r="AU76" s="3">
        <v>690.02718719999996</v>
      </c>
      <c r="AV76" s="3">
        <v>307.80299580000002</v>
      </c>
      <c r="AW76" s="3">
        <v>1258.1469890000001</v>
      </c>
      <c r="AX76" s="3">
        <v>750.76759679999998</v>
      </c>
      <c r="AY76" s="3">
        <v>552.63398549999999</v>
      </c>
      <c r="AZ76" s="3">
        <v>510.38537339999999</v>
      </c>
      <c r="BA76" s="3">
        <v>294.182928</v>
      </c>
      <c r="BB76" s="3">
        <v>468.408096</v>
      </c>
      <c r="BC76" s="3">
        <v>138.01251360000001</v>
      </c>
      <c r="BD76" s="3">
        <v>762.77994000000001</v>
      </c>
      <c r="BE76" s="48" t="s">
        <v>317</v>
      </c>
      <c r="BF76" s="49" t="s">
        <v>330</v>
      </c>
      <c r="BG76" s="3">
        <v>0</v>
      </c>
      <c r="BH76" s="3">
        <v>0.29799999999999999</v>
      </c>
      <c r="BI76" s="3">
        <v>0.4405</v>
      </c>
      <c r="BJ76" s="3">
        <v>0</v>
      </c>
      <c r="BK76" s="3">
        <v>0.187</v>
      </c>
      <c r="BL76" s="3">
        <v>0.70350000000000001</v>
      </c>
      <c r="BM76" s="3">
        <v>0</v>
      </c>
      <c r="BN76" s="3">
        <v>0.34599999999999997</v>
      </c>
      <c r="BO76" s="3">
        <v>0.69299999999999995</v>
      </c>
      <c r="BP76" s="3">
        <v>0</v>
      </c>
      <c r="BQ76" s="3">
        <v>0.23499999999999999</v>
      </c>
      <c r="BR76" s="3">
        <v>0.421666667</v>
      </c>
      <c r="BS76" s="3">
        <v>0</v>
      </c>
      <c r="BT76" s="3">
        <v>0.41299999999999998</v>
      </c>
      <c r="BU76" s="3">
        <v>0.54425000000000001</v>
      </c>
      <c r="BV76" s="3">
        <v>0</v>
      </c>
      <c r="BW76" s="3">
        <v>0.49299999999999999</v>
      </c>
      <c r="BX76" s="3">
        <v>0.32100000000000001</v>
      </c>
      <c r="BY76" s="3">
        <v>0</v>
      </c>
      <c r="BZ76" s="3">
        <v>0.49299999999999999</v>
      </c>
      <c r="CA76" s="3">
        <v>0.93400000000000005</v>
      </c>
      <c r="CB76" s="3">
        <v>0</v>
      </c>
      <c r="CC76" s="3">
        <v>0.438</v>
      </c>
      <c r="CD76" s="3">
        <v>0.64800000000000002</v>
      </c>
      <c r="CE76" s="3">
        <v>0</v>
      </c>
      <c r="CF76" s="3">
        <v>0.28799999999999998</v>
      </c>
      <c r="CG76" s="3">
        <v>0.54049999999999998</v>
      </c>
      <c r="CH76" s="3">
        <v>0</v>
      </c>
      <c r="CI76" s="3">
        <v>0.157</v>
      </c>
      <c r="CJ76" s="3">
        <v>0.71366666700000003</v>
      </c>
      <c r="CK76" s="3">
        <v>0</v>
      </c>
      <c r="CL76" s="3">
        <v>0.26500000000000001</v>
      </c>
      <c r="CM76" s="3">
        <v>0.01</v>
      </c>
      <c r="CN76" s="3">
        <v>0</v>
      </c>
      <c r="CO76" s="3">
        <v>0.111</v>
      </c>
      <c r="CP76" s="3">
        <v>0.25233333299999999</v>
      </c>
      <c r="CQ76" s="3">
        <v>0</v>
      </c>
      <c r="CR76" s="3">
        <v>0.14000000000000001</v>
      </c>
      <c r="CS76" s="3">
        <v>0.33700000000000002</v>
      </c>
      <c r="CT76" s="48" t="s">
        <v>317</v>
      </c>
      <c r="CU76" s="49" t="s">
        <v>330</v>
      </c>
      <c r="CV76" s="3">
        <v>0.35499999999999998</v>
      </c>
      <c r="CW76" s="3">
        <v>1.028</v>
      </c>
      <c r="CX76" s="3">
        <v>2.2469999999999999</v>
      </c>
      <c r="CY76" s="3">
        <v>3.387</v>
      </c>
      <c r="CZ76" s="3">
        <v>-0.32</v>
      </c>
      <c r="DA76" s="3">
        <v>6.1849999999999996</v>
      </c>
      <c r="DB76" s="3">
        <v>3.714</v>
      </c>
      <c r="DC76" s="3">
        <v>4.5430000000000001</v>
      </c>
      <c r="DD76" s="3">
        <v>2.3079999999999998</v>
      </c>
      <c r="DE76" s="3">
        <v>0.67400000000000004</v>
      </c>
      <c r="DF76" s="3">
        <v>-0.38</v>
      </c>
      <c r="DG76" s="3">
        <v>1.4770000000000001</v>
      </c>
      <c r="DH76" s="3">
        <v>0.60199999999999998</v>
      </c>
    </row>
    <row r="77" spans="1:112" x14ac:dyDescent="0.3">
      <c r="A77" s="48" t="s">
        <v>317</v>
      </c>
      <c r="B77" s="49" t="s">
        <v>331</v>
      </c>
      <c r="C77" s="3">
        <v>33.683579999999999</v>
      </c>
      <c r="D77" s="3">
        <v>26.609183999999999</v>
      </c>
      <c r="E77" s="3">
        <v>26.609183999999999</v>
      </c>
      <c r="F77" s="3">
        <v>25.942266</v>
      </c>
      <c r="G77" s="3">
        <v>25.967592</v>
      </c>
      <c r="H77" s="3">
        <v>26.609183999999999</v>
      </c>
      <c r="I77" s="48" t="s">
        <v>317</v>
      </c>
      <c r="J77" s="49" t="s">
        <v>331</v>
      </c>
      <c r="K77" s="3">
        <v>26957</v>
      </c>
      <c r="L77" s="48" t="s">
        <v>317</v>
      </c>
      <c r="M77" s="49" t="s">
        <v>331</v>
      </c>
      <c r="N77" s="3">
        <v>968.18546330000004</v>
      </c>
      <c r="O77" s="3">
        <v>1179.979495</v>
      </c>
      <c r="P77" s="3">
        <v>900.83190139999999</v>
      </c>
      <c r="Q77" s="3">
        <v>872.35948589999998</v>
      </c>
      <c r="R77" s="3">
        <v>1125.006566</v>
      </c>
      <c r="S77" s="3">
        <v>1090.131065</v>
      </c>
      <c r="T77" s="3">
        <v>1099.6352609999999</v>
      </c>
      <c r="U77" s="3">
        <v>1523.1602150000001</v>
      </c>
      <c r="V77" s="3">
        <v>1162.034498</v>
      </c>
      <c r="W77" s="3">
        <v>691.50599609999995</v>
      </c>
      <c r="X77" s="3">
        <v>682.7099144</v>
      </c>
      <c r="Y77" s="3">
        <v>108.12978459999999</v>
      </c>
      <c r="Z77" s="3">
        <v>397.77683450000001</v>
      </c>
      <c r="AA77" s="48" t="s">
        <v>317</v>
      </c>
      <c r="AB77" s="49" t="s">
        <v>331</v>
      </c>
      <c r="AC77" s="3">
        <v>710.34649030000003</v>
      </c>
      <c r="AD77" s="3">
        <v>647.84025380000003</v>
      </c>
      <c r="AE77" s="3">
        <v>415.91960879999999</v>
      </c>
      <c r="AF77" s="3">
        <v>134.44980659999999</v>
      </c>
      <c r="AG77" s="3">
        <v>1282.9500190000001</v>
      </c>
      <c r="AH77" s="3">
        <v>968.58751440000003</v>
      </c>
      <c r="AI77" s="3">
        <v>1136.947042</v>
      </c>
      <c r="AJ77" s="3">
        <v>913.74442699999997</v>
      </c>
      <c r="AK77" s="3">
        <v>388.5265339</v>
      </c>
      <c r="AL77" s="3">
        <v>577.22921889999998</v>
      </c>
      <c r="AM77" s="3">
        <v>979.19473660000006</v>
      </c>
      <c r="AN77" s="3">
        <v>127.41868530000001</v>
      </c>
      <c r="AO77" s="3">
        <v>393.3494053</v>
      </c>
      <c r="AP77" s="48" t="s">
        <v>317</v>
      </c>
      <c r="AQ77" s="49" t="s">
        <v>331</v>
      </c>
      <c r="AR77" s="3">
        <v>474.38463999999999</v>
      </c>
      <c r="AS77" s="3">
        <v>959.70230279999998</v>
      </c>
      <c r="AT77" s="3">
        <v>897.29653229999997</v>
      </c>
      <c r="AU77" s="3">
        <v>709.93181760000004</v>
      </c>
      <c r="AV77" s="3">
        <v>318.76038399999999</v>
      </c>
      <c r="AW77" s="3">
        <v>1294.4396899999999</v>
      </c>
      <c r="AX77" s="3">
        <v>772.42435439999997</v>
      </c>
      <c r="AY77" s="3">
        <v>572.30704000000003</v>
      </c>
      <c r="AZ77" s="3">
        <v>528.55443200000002</v>
      </c>
      <c r="BA77" s="3">
        <v>302.66897399999999</v>
      </c>
      <c r="BB77" s="3">
        <v>481.91986800000001</v>
      </c>
      <c r="BC77" s="3">
        <v>141.9936438</v>
      </c>
      <c r="BD77" s="3">
        <v>784.7832075</v>
      </c>
      <c r="BE77" s="48" t="s">
        <v>317</v>
      </c>
      <c r="BF77" s="49" t="s">
        <v>331</v>
      </c>
      <c r="BG77" s="3">
        <v>0</v>
      </c>
      <c r="BH77" s="3">
        <v>0.30199999999999999</v>
      </c>
      <c r="BI77" s="3">
        <v>0.46050000000000002</v>
      </c>
      <c r="BJ77" s="3">
        <v>0</v>
      </c>
      <c r="BK77" s="3">
        <v>0.254</v>
      </c>
      <c r="BL77" s="3">
        <v>0.74050000000000005</v>
      </c>
      <c r="BM77" s="3">
        <v>0</v>
      </c>
      <c r="BN77" s="3">
        <v>0.40100000000000002</v>
      </c>
      <c r="BO77" s="3">
        <v>0.65200000000000002</v>
      </c>
      <c r="BP77" s="3">
        <v>0</v>
      </c>
      <c r="BQ77" s="3">
        <v>0.23200000000000001</v>
      </c>
      <c r="BR77" s="3">
        <v>0.35299999999999998</v>
      </c>
      <c r="BS77" s="3">
        <v>0</v>
      </c>
      <c r="BT77" s="3">
        <v>0.442</v>
      </c>
      <c r="BU77" s="3">
        <v>0.577083334</v>
      </c>
      <c r="BV77" s="3">
        <v>0</v>
      </c>
      <c r="BW77" s="3">
        <v>0.53900000000000003</v>
      </c>
      <c r="BX77" s="3">
        <v>0.23699999999999999</v>
      </c>
      <c r="BY77" s="3">
        <v>0</v>
      </c>
      <c r="BZ77" s="3">
        <v>0.53900000000000003</v>
      </c>
      <c r="CA77" s="3">
        <v>0.9405</v>
      </c>
      <c r="CB77" s="3">
        <v>0</v>
      </c>
      <c r="CC77" s="3">
        <v>0.41099999999999998</v>
      </c>
      <c r="CD77" s="3">
        <v>0.69366666700000001</v>
      </c>
      <c r="CE77" s="3">
        <v>0</v>
      </c>
      <c r="CF77" s="3">
        <v>0.27</v>
      </c>
      <c r="CG77" s="3">
        <v>0.59699999999999998</v>
      </c>
      <c r="CH77" s="3">
        <v>0</v>
      </c>
      <c r="CI77" s="3">
        <v>0.158</v>
      </c>
      <c r="CJ77" s="3">
        <v>0.62466666699999995</v>
      </c>
      <c r="CK77" s="3">
        <v>0</v>
      </c>
      <c r="CL77" s="3">
        <v>0.27500000000000002</v>
      </c>
      <c r="CM77" s="3">
        <v>0.01</v>
      </c>
      <c r="CN77" s="3">
        <v>0</v>
      </c>
      <c r="CO77" s="3">
        <v>0.10100000000000001</v>
      </c>
      <c r="CP77" s="3">
        <v>0.27</v>
      </c>
      <c r="CQ77" s="3">
        <v>0</v>
      </c>
      <c r="CR77" s="3">
        <v>0.18099999999999999</v>
      </c>
      <c r="CS77" s="3">
        <v>0.251</v>
      </c>
      <c r="CT77" s="48" t="s">
        <v>317</v>
      </c>
      <c r="CU77" s="49" t="s">
        <v>331</v>
      </c>
      <c r="CV77" s="3">
        <v>7.0999999999999994E-2</v>
      </c>
      <c r="CW77" s="3">
        <v>1.2130000000000001</v>
      </c>
      <c r="CX77" s="3">
        <v>2.6549999999999998</v>
      </c>
      <c r="CY77" s="3">
        <v>3.41</v>
      </c>
      <c r="CZ77" s="3">
        <v>-0.748</v>
      </c>
      <c r="DA77" s="3">
        <v>6.0540000000000003</v>
      </c>
      <c r="DB77" s="3">
        <v>3.7240000000000002</v>
      </c>
      <c r="DC77" s="3">
        <v>4.2300000000000004</v>
      </c>
      <c r="DD77" s="3">
        <v>1.92</v>
      </c>
      <c r="DE77" s="3">
        <v>0.19700000000000001</v>
      </c>
      <c r="DF77" s="3">
        <v>-0.45</v>
      </c>
      <c r="DG77" s="3">
        <v>1.367</v>
      </c>
      <c r="DH77" s="3">
        <v>1.165</v>
      </c>
    </row>
    <row r="78" spans="1:112" x14ac:dyDescent="0.3">
      <c r="A78" s="48" t="s">
        <v>317</v>
      </c>
      <c r="B78" s="49" t="s">
        <v>332</v>
      </c>
      <c r="C78" s="3">
        <v>35.194698000000002</v>
      </c>
      <c r="D78" s="3">
        <v>28.390446000000001</v>
      </c>
      <c r="E78" s="3">
        <v>26.862444</v>
      </c>
      <c r="F78" s="3">
        <v>26.001359999999998</v>
      </c>
      <c r="G78" s="3">
        <v>27.419616000000001</v>
      </c>
      <c r="H78" s="3">
        <v>29.462579999999999</v>
      </c>
      <c r="I78" s="48" t="s">
        <v>317</v>
      </c>
      <c r="J78" s="49" t="s">
        <v>332</v>
      </c>
      <c r="K78" s="3">
        <v>26695</v>
      </c>
      <c r="L78" s="48" t="s">
        <v>317</v>
      </c>
      <c r="M78" s="49" t="s">
        <v>332</v>
      </c>
      <c r="N78" s="3">
        <v>812.69687550000003</v>
      </c>
      <c r="O78" s="3">
        <v>1030.6522600000001</v>
      </c>
      <c r="P78" s="3">
        <v>939.09124959999997</v>
      </c>
      <c r="Q78" s="3">
        <v>865.36496190000003</v>
      </c>
      <c r="R78" s="3">
        <v>865.91148469999996</v>
      </c>
      <c r="S78" s="3">
        <v>914.53086129999997</v>
      </c>
      <c r="T78" s="3">
        <v>946.28007149999996</v>
      </c>
      <c r="U78" s="3">
        <v>1354.0646079999999</v>
      </c>
      <c r="V78" s="3">
        <v>1192.5470290000001</v>
      </c>
      <c r="W78" s="3">
        <v>704.60358650000001</v>
      </c>
      <c r="X78" s="3">
        <v>471.36383530000001</v>
      </c>
      <c r="Y78" s="3">
        <v>109.9738121</v>
      </c>
      <c r="Z78" s="3">
        <v>406.4531331</v>
      </c>
      <c r="AA78" s="48" t="s">
        <v>317</v>
      </c>
      <c r="AB78" s="49" t="s">
        <v>332</v>
      </c>
      <c r="AC78" s="3">
        <v>797.46445610000001</v>
      </c>
      <c r="AD78" s="3">
        <v>739.51576139999997</v>
      </c>
      <c r="AE78" s="3">
        <v>474.7761572</v>
      </c>
      <c r="AF78" s="3">
        <v>153.47572270000001</v>
      </c>
      <c r="AG78" s="3">
        <v>1440.292946</v>
      </c>
      <c r="AH78" s="3">
        <v>1105.651785</v>
      </c>
      <c r="AI78" s="3">
        <v>1297.835775</v>
      </c>
      <c r="AJ78" s="3">
        <v>1025.807423</v>
      </c>
      <c r="AK78" s="3">
        <v>436.17601450000001</v>
      </c>
      <c r="AL78" s="3">
        <v>658.91259890000003</v>
      </c>
      <c r="AM78" s="3">
        <v>1117.7600299999999</v>
      </c>
      <c r="AN78" s="3">
        <v>145.44963129999999</v>
      </c>
      <c r="AO78" s="3">
        <v>449.01205700000003</v>
      </c>
      <c r="AP78" s="48" t="s">
        <v>317</v>
      </c>
      <c r="AQ78" s="49" t="s">
        <v>332</v>
      </c>
      <c r="AR78" s="3">
        <v>520.34065199999998</v>
      </c>
      <c r="AS78" s="3">
        <v>1043.414653</v>
      </c>
      <c r="AT78" s="3">
        <v>975.56538869999997</v>
      </c>
      <c r="AU78" s="3">
        <v>771.85733440000001</v>
      </c>
      <c r="AV78" s="3">
        <v>349.64029620000002</v>
      </c>
      <c r="AW78" s="3">
        <v>1407.350318</v>
      </c>
      <c r="AX78" s="3">
        <v>839.80093360000001</v>
      </c>
      <c r="AY78" s="3">
        <v>627.74928450000004</v>
      </c>
      <c r="AZ78" s="3">
        <v>579.75814260000004</v>
      </c>
      <c r="BA78" s="3">
        <v>329.07000599999998</v>
      </c>
      <c r="BB78" s="3">
        <v>523.95649200000003</v>
      </c>
      <c r="BC78" s="3">
        <v>154.37938220000001</v>
      </c>
      <c r="BD78" s="3">
        <v>853.23781750000001</v>
      </c>
      <c r="BE78" s="48" t="s">
        <v>317</v>
      </c>
      <c r="BF78" s="49" t="s">
        <v>332</v>
      </c>
      <c r="BG78" s="3">
        <v>0</v>
      </c>
      <c r="BH78" s="3">
        <v>0.309</v>
      </c>
      <c r="BI78" s="3">
        <v>0.44500000000000001</v>
      </c>
      <c r="BJ78" s="3">
        <v>0</v>
      </c>
      <c r="BK78" s="3">
        <v>0.32</v>
      </c>
      <c r="BL78" s="3">
        <v>0.72250000000000003</v>
      </c>
      <c r="BM78" s="3">
        <v>0</v>
      </c>
      <c r="BN78" s="3">
        <v>0.41</v>
      </c>
      <c r="BO78" s="3">
        <v>0.61050000000000004</v>
      </c>
      <c r="BP78" s="3">
        <v>0</v>
      </c>
      <c r="BQ78" s="3">
        <v>0.23200000000000001</v>
      </c>
      <c r="BR78" s="3">
        <v>0.28199999999999997</v>
      </c>
      <c r="BS78" s="3">
        <v>0</v>
      </c>
      <c r="BT78" s="3">
        <v>0.47299999999999998</v>
      </c>
      <c r="BU78" s="3">
        <v>0.56916666699999996</v>
      </c>
      <c r="BV78" s="3">
        <v>0</v>
      </c>
      <c r="BW78" s="3">
        <v>0.55600000000000005</v>
      </c>
      <c r="BX78" s="3">
        <v>0.14299999999999999</v>
      </c>
      <c r="BY78" s="3">
        <v>0</v>
      </c>
      <c r="BZ78" s="3">
        <v>0.55600000000000005</v>
      </c>
      <c r="CA78" s="3">
        <v>0.93300000000000005</v>
      </c>
      <c r="CB78" s="3">
        <v>0</v>
      </c>
      <c r="CC78" s="3">
        <v>0.38100000000000001</v>
      </c>
      <c r="CD78" s="3">
        <v>0.693333333</v>
      </c>
      <c r="CE78" s="3">
        <v>0</v>
      </c>
      <c r="CF78" s="3">
        <v>0.246</v>
      </c>
      <c r="CG78" s="3">
        <v>0.60350000000000004</v>
      </c>
      <c r="CH78" s="3">
        <v>0</v>
      </c>
      <c r="CI78" s="3">
        <v>0.153</v>
      </c>
      <c r="CJ78" s="3">
        <v>0.51466666699999997</v>
      </c>
      <c r="CK78" s="3">
        <v>0</v>
      </c>
      <c r="CL78" s="3">
        <v>0.28699999999999998</v>
      </c>
      <c r="CM78" s="3">
        <v>0.01</v>
      </c>
      <c r="CN78" s="3">
        <v>0</v>
      </c>
      <c r="CO78" s="3">
        <v>0.10100000000000001</v>
      </c>
      <c r="CP78" s="3">
        <v>0.27300000000000002</v>
      </c>
      <c r="CQ78" s="3">
        <v>0</v>
      </c>
      <c r="CR78" s="3">
        <v>0.20599999999999999</v>
      </c>
      <c r="CS78" s="3">
        <v>0.184</v>
      </c>
      <c r="CT78" s="48" t="s">
        <v>317</v>
      </c>
      <c r="CU78" s="49" t="s">
        <v>332</v>
      </c>
      <c r="CV78" s="3">
        <v>-0.157</v>
      </c>
      <c r="CW78" s="3">
        <v>1.613</v>
      </c>
      <c r="CX78" s="3">
        <v>2.9060000000000001</v>
      </c>
      <c r="CY78" s="3">
        <v>3.4510000000000001</v>
      </c>
      <c r="CZ78" s="3">
        <v>-1.095</v>
      </c>
      <c r="DA78" s="3">
        <v>6.0490000000000004</v>
      </c>
      <c r="DB78" s="3">
        <v>3.56</v>
      </c>
      <c r="DC78" s="3">
        <v>3.9430000000000001</v>
      </c>
      <c r="DD78" s="3">
        <v>1.601</v>
      </c>
      <c r="DE78" s="3">
        <v>-0.22800000000000001</v>
      </c>
      <c r="DF78" s="3">
        <v>-0.14499999999999999</v>
      </c>
      <c r="DG78" s="3">
        <v>1.355</v>
      </c>
      <c r="DH78" s="3">
        <v>2.0880000000000001</v>
      </c>
    </row>
    <row r="79" spans="1:112" x14ac:dyDescent="0.3">
      <c r="A79" s="48" t="s">
        <v>317</v>
      </c>
      <c r="B79" s="49" t="s">
        <v>333</v>
      </c>
      <c r="C79" s="3">
        <v>34.966763999999998</v>
      </c>
      <c r="D79" s="3">
        <v>34.873902000000001</v>
      </c>
      <c r="E79" s="3">
        <v>34.629083999999999</v>
      </c>
      <c r="F79" s="3">
        <v>31.395797999999999</v>
      </c>
      <c r="G79" s="3">
        <v>34.654409999999999</v>
      </c>
      <c r="H79" s="3">
        <v>34.983648000000002</v>
      </c>
      <c r="I79" s="48" t="s">
        <v>317</v>
      </c>
      <c r="J79" s="49" t="s">
        <v>333</v>
      </c>
      <c r="K79" s="3">
        <v>27530.5</v>
      </c>
      <c r="L79" s="48" t="s">
        <v>317</v>
      </c>
      <c r="M79" s="49" t="s">
        <v>333</v>
      </c>
      <c r="N79" s="3">
        <v>629.34449689999997</v>
      </c>
      <c r="O79" s="3">
        <v>968.59278689999996</v>
      </c>
      <c r="P79" s="3">
        <v>1088.096137</v>
      </c>
      <c r="Q79" s="3">
        <v>1039.269098</v>
      </c>
      <c r="R79" s="3">
        <v>591.18794230000003</v>
      </c>
      <c r="S79" s="3">
        <v>696.18408650000003</v>
      </c>
      <c r="T79" s="3">
        <v>694.8125086</v>
      </c>
      <c r="U79" s="3">
        <v>1214.9937600000001</v>
      </c>
      <c r="V79" s="3">
        <v>1287.029841</v>
      </c>
      <c r="W79" s="3">
        <v>833.23133199999995</v>
      </c>
      <c r="X79" s="3">
        <v>298.19937970000001</v>
      </c>
      <c r="Y79" s="3">
        <v>98.53440191</v>
      </c>
      <c r="Z79" s="3">
        <v>541.84173480000004</v>
      </c>
      <c r="AA79" s="48" t="s">
        <v>317</v>
      </c>
      <c r="AB79" s="49" t="s">
        <v>333</v>
      </c>
      <c r="AC79" s="3">
        <v>1099.0266449999999</v>
      </c>
      <c r="AD79" s="3">
        <v>939.16464470000005</v>
      </c>
      <c r="AE79" s="3">
        <v>602.95264039999995</v>
      </c>
      <c r="AF79" s="3">
        <v>194.90993979999999</v>
      </c>
      <c r="AG79" s="3">
        <v>1984.9415389999999</v>
      </c>
      <c r="AH79" s="3">
        <v>1404.147309</v>
      </c>
      <c r="AI79" s="3">
        <v>1648.2156809999999</v>
      </c>
      <c r="AJ79" s="3">
        <v>1413.717793</v>
      </c>
      <c r="AK79" s="3">
        <v>601.11652409999999</v>
      </c>
      <c r="AL79" s="3">
        <v>836.80084880000004</v>
      </c>
      <c r="AM79" s="3">
        <v>1419.524445</v>
      </c>
      <c r="AN79" s="3">
        <v>184.71702490000001</v>
      </c>
      <c r="AO79" s="3">
        <v>570.23294290000001</v>
      </c>
      <c r="AP79" s="48" t="s">
        <v>317</v>
      </c>
      <c r="AQ79" s="49" t="s">
        <v>333</v>
      </c>
      <c r="AR79" s="3">
        <v>597.42815599999994</v>
      </c>
      <c r="AS79" s="3">
        <v>1139.0859109999999</v>
      </c>
      <c r="AT79" s="3">
        <v>1065.0155099999999</v>
      </c>
      <c r="AU79" s="3">
        <v>842.62935359999994</v>
      </c>
      <c r="AV79" s="3">
        <v>401.4388586</v>
      </c>
      <c r="AW79" s="3">
        <v>1536.391034</v>
      </c>
      <c r="AX79" s="3">
        <v>916.80273839999995</v>
      </c>
      <c r="AY79" s="3">
        <v>720.74917849999997</v>
      </c>
      <c r="AZ79" s="3">
        <v>665.64823779999995</v>
      </c>
      <c r="BA79" s="3">
        <v>359.242614</v>
      </c>
      <c r="BB79" s="3">
        <v>571.99834799999996</v>
      </c>
      <c r="BC79" s="3">
        <v>168.53451179999999</v>
      </c>
      <c r="BD79" s="3">
        <v>931.47165749999999</v>
      </c>
      <c r="BE79" s="48" t="s">
        <v>317</v>
      </c>
      <c r="BF79" s="49" t="s">
        <v>333</v>
      </c>
      <c r="BG79" s="3">
        <v>0</v>
      </c>
      <c r="BH79" s="3">
        <v>0.314</v>
      </c>
      <c r="BI79" s="3">
        <v>0.41549999999999998</v>
      </c>
      <c r="BJ79" s="3">
        <v>0</v>
      </c>
      <c r="BK79" s="3">
        <v>0.35199999999999998</v>
      </c>
      <c r="BL79" s="3">
        <v>0.66849999999999998</v>
      </c>
      <c r="BM79" s="3">
        <v>0</v>
      </c>
      <c r="BN79" s="3">
        <v>0.39800000000000002</v>
      </c>
      <c r="BO79" s="3">
        <v>0.55549999999999999</v>
      </c>
      <c r="BP79" s="3">
        <v>0</v>
      </c>
      <c r="BQ79" s="3">
        <v>0.23</v>
      </c>
      <c r="BR79" s="3">
        <v>0.21766666700000001</v>
      </c>
      <c r="BS79" s="3">
        <v>0</v>
      </c>
      <c r="BT79" s="3">
        <v>0.51300000000000001</v>
      </c>
      <c r="BU79" s="3">
        <v>0.53674999999999995</v>
      </c>
      <c r="BV79" s="3">
        <v>0</v>
      </c>
      <c r="BW79" s="3">
        <v>0.54200000000000004</v>
      </c>
      <c r="BX79" s="3">
        <v>6.8000000000000005E-2</v>
      </c>
      <c r="BY79" s="3">
        <v>0</v>
      </c>
      <c r="BZ79" s="3">
        <v>0.54200000000000004</v>
      </c>
      <c r="CA79" s="3">
        <v>0.91900000000000004</v>
      </c>
      <c r="CB79" s="3">
        <v>0</v>
      </c>
      <c r="CC79" s="3">
        <v>0.34899999999999998</v>
      </c>
      <c r="CD79" s="3">
        <v>0.65800000000000003</v>
      </c>
      <c r="CE79" s="3">
        <v>0</v>
      </c>
      <c r="CF79" s="3">
        <v>0.218</v>
      </c>
      <c r="CG79" s="3">
        <v>0.58950000000000002</v>
      </c>
      <c r="CH79" s="3">
        <v>0</v>
      </c>
      <c r="CI79" s="3">
        <v>0.13900000000000001</v>
      </c>
      <c r="CJ79" s="3">
        <v>0.39066666700000002</v>
      </c>
      <c r="CK79" s="3">
        <v>0</v>
      </c>
      <c r="CL79" s="3">
        <v>0.29699999999999999</v>
      </c>
      <c r="CM79" s="3">
        <v>0.01</v>
      </c>
      <c r="CN79" s="3">
        <v>0</v>
      </c>
      <c r="CO79" s="3">
        <v>0.107</v>
      </c>
      <c r="CP79" s="3">
        <v>0.26766666700000002</v>
      </c>
      <c r="CQ79" s="3">
        <v>0</v>
      </c>
      <c r="CR79" s="3">
        <v>0.189</v>
      </c>
      <c r="CS79" s="3">
        <v>0.125</v>
      </c>
      <c r="CT79" s="48" t="s">
        <v>317</v>
      </c>
      <c r="CU79" s="49" t="s">
        <v>333</v>
      </c>
      <c r="CV79" s="3">
        <v>-0.21299999999999999</v>
      </c>
      <c r="CW79" s="3">
        <v>1.9390000000000001</v>
      </c>
      <c r="CX79" s="3">
        <v>3.117</v>
      </c>
      <c r="CY79" s="3">
        <v>3.492</v>
      </c>
      <c r="CZ79" s="3">
        <v>-1.3620000000000001</v>
      </c>
      <c r="DA79" s="3">
        <v>6.1769999999999996</v>
      </c>
      <c r="DB79" s="3">
        <v>3.3620000000000001</v>
      </c>
      <c r="DC79" s="3">
        <v>3.7080000000000002</v>
      </c>
      <c r="DD79" s="3">
        <v>1.355</v>
      </c>
      <c r="DE79" s="3">
        <v>-0.67100000000000004</v>
      </c>
      <c r="DF79" s="3">
        <v>0.153</v>
      </c>
      <c r="DG79" s="3">
        <v>1.5129999999999999</v>
      </c>
      <c r="DH79" s="3">
        <v>2.726</v>
      </c>
    </row>
    <row r="80" spans="1:112" x14ac:dyDescent="0.3">
      <c r="A80" s="48" t="s">
        <v>317</v>
      </c>
      <c r="B80" s="49" t="s">
        <v>334</v>
      </c>
      <c r="C80" s="3">
        <v>40.082616000000002</v>
      </c>
      <c r="D80" s="3">
        <v>43.501626000000002</v>
      </c>
      <c r="E80" s="3">
        <v>34.342055999999999</v>
      </c>
      <c r="F80" s="3">
        <v>33.244596000000001</v>
      </c>
      <c r="G80" s="3">
        <v>37.963673999999997</v>
      </c>
      <c r="H80" s="3">
        <v>46.608282000000003</v>
      </c>
      <c r="I80" s="48" t="s">
        <v>317</v>
      </c>
      <c r="J80" s="49" t="s">
        <v>334</v>
      </c>
      <c r="K80" s="3">
        <v>30856</v>
      </c>
      <c r="L80" s="48" t="s">
        <v>317</v>
      </c>
      <c r="M80" s="49" t="s">
        <v>334</v>
      </c>
      <c r="N80" s="3">
        <v>1010.109945</v>
      </c>
      <c r="O80" s="3">
        <v>1253.7989669999999</v>
      </c>
      <c r="P80" s="3">
        <v>2027.5855039999999</v>
      </c>
      <c r="Q80" s="3">
        <v>1771.7484959999999</v>
      </c>
      <c r="R80" s="3">
        <v>897.77459950000002</v>
      </c>
      <c r="S80" s="3">
        <v>965.7895254</v>
      </c>
      <c r="T80" s="3">
        <v>944.25974220000001</v>
      </c>
      <c r="U80" s="3">
        <v>1501.658678</v>
      </c>
      <c r="V80" s="3">
        <v>1660.3609739999999</v>
      </c>
      <c r="W80" s="3">
        <v>1760.3340109999999</v>
      </c>
      <c r="X80" s="3">
        <v>505.04830049999998</v>
      </c>
      <c r="Y80" s="3">
        <v>204.9201443</v>
      </c>
      <c r="Z80" s="3">
        <v>841.87710179999999</v>
      </c>
      <c r="AA80" s="48" t="s">
        <v>317</v>
      </c>
      <c r="AB80" s="49" t="s">
        <v>334</v>
      </c>
      <c r="AC80" s="3">
        <v>1288.8991349999999</v>
      </c>
      <c r="AD80" s="3">
        <v>1020.653985</v>
      </c>
      <c r="AE80" s="3">
        <v>655.26957230000005</v>
      </c>
      <c r="AF80" s="3">
        <v>211.82186519999999</v>
      </c>
      <c r="AG80" s="3">
        <v>2327.8684309999999</v>
      </c>
      <c r="AH80" s="3">
        <v>1525.9822160000001</v>
      </c>
      <c r="AI80" s="3">
        <v>1791.2278879999999</v>
      </c>
      <c r="AJ80" s="3">
        <v>1657.9576549999999</v>
      </c>
      <c r="AK80" s="3">
        <v>704.9679562</v>
      </c>
      <c r="AL80" s="3">
        <v>909.40829770000005</v>
      </c>
      <c r="AM80" s="3">
        <v>1542.6935940000001</v>
      </c>
      <c r="AN80" s="3">
        <v>200.7445324</v>
      </c>
      <c r="AO80" s="3">
        <v>619.71085559999995</v>
      </c>
      <c r="AP80" s="48" t="s">
        <v>317</v>
      </c>
      <c r="AQ80" s="49" t="s">
        <v>334</v>
      </c>
      <c r="AR80" s="3">
        <v>689.34018000000003</v>
      </c>
      <c r="AS80" s="3">
        <v>1381.253782</v>
      </c>
      <c r="AT80" s="3">
        <v>1291.4361309999999</v>
      </c>
      <c r="AU80" s="3">
        <v>1021.771027</v>
      </c>
      <c r="AV80" s="3">
        <v>463.19868300000002</v>
      </c>
      <c r="AW80" s="3">
        <v>1863.025349</v>
      </c>
      <c r="AX80" s="3">
        <v>1111.713557</v>
      </c>
      <c r="AY80" s="3">
        <v>831.6336675</v>
      </c>
      <c r="AZ80" s="3">
        <v>768.05565899999999</v>
      </c>
      <c r="BA80" s="3">
        <v>435.617028</v>
      </c>
      <c r="BB80" s="3">
        <v>693.60429599999998</v>
      </c>
      <c r="BC80" s="3">
        <v>204.36468360000001</v>
      </c>
      <c r="BD80" s="3">
        <v>1129.5010649999999</v>
      </c>
      <c r="BE80" s="48" t="s">
        <v>317</v>
      </c>
      <c r="BF80" s="49" t="s">
        <v>334</v>
      </c>
      <c r="BG80" s="3">
        <v>2.5000000000000001E-2</v>
      </c>
      <c r="BH80" s="3">
        <v>0.28899999999999998</v>
      </c>
      <c r="BI80" s="3">
        <v>0.36699999999999999</v>
      </c>
      <c r="BJ80" s="3">
        <v>2.1000000000000001E-2</v>
      </c>
      <c r="BK80" s="3">
        <v>0.32400000000000001</v>
      </c>
      <c r="BL80" s="3">
        <v>0.56200000000000006</v>
      </c>
      <c r="BM80" s="3">
        <v>0.02</v>
      </c>
      <c r="BN80" s="3">
        <v>0.38900000000000001</v>
      </c>
      <c r="BO80" s="3">
        <v>0.46700000000000003</v>
      </c>
      <c r="BP80" s="3">
        <v>0.02</v>
      </c>
      <c r="BQ80" s="3">
        <v>0.21199999999999999</v>
      </c>
      <c r="BR80" s="3">
        <v>0.169333333</v>
      </c>
      <c r="BS80" s="3">
        <v>0.02</v>
      </c>
      <c r="BT80" s="3">
        <v>0.58299999999999996</v>
      </c>
      <c r="BU80" s="3">
        <v>0.48149999999999998</v>
      </c>
      <c r="BV80" s="3">
        <v>1.9E-2</v>
      </c>
      <c r="BW80" s="3">
        <v>0.52100000000000002</v>
      </c>
      <c r="BX80" s="3">
        <v>2.1000000000000001E-2</v>
      </c>
      <c r="BY80" s="3">
        <v>2.1999999999999999E-2</v>
      </c>
      <c r="BZ80" s="3">
        <v>0.52100000000000002</v>
      </c>
      <c r="CA80" s="3">
        <v>0.877</v>
      </c>
      <c r="CB80" s="3">
        <v>2.3E-2</v>
      </c>
      <c r="CC80" s="3">
        <v>0.3</v>
      </c>
      <c r="CD80" s="3">
        <v>0.59599999999999997</v>
      </c>
      <c r="CE80" s="3">
        <v>1.7999999999999999E-2</v>
      </c>
      <c r="CF80" s="3">
        <v>0.185</v>
      </c>
      <c r="CG80" s="3">
        <v>0.54449999999999998</v>
      </c>
      <c r="CH80" s="3">
        <v>1.7999999999999999E-2</v>
      </c>
      <c r="CI80" s="3">
        <v>0.11600000000000001</v>
      </c>
      <c r="CJ80" s="3">
        <v>0.28699999999999998</v>
      </c>
      <c r="CK80" s="3">
        <v>1.2999999999999999E-2</v>
      </c>
      <c r="CL80" s="3">
        <v>0.28599999999999998</v>
      </c>
      <c r="CM80" s="3">
        <v>0.01</v>
      </c>
      <c r="CN80" s="3">
        <v>1.9E-2</v>
      </c>
      <c r="CO80" s="3">
        <v>0.125</v>
      </c>
      <c r="CP80" s="3">
        <v>0.24933333299999999</v>
      </c>
      <c r="CQ80" s="3">
        <v>1.4E-2</v>
      </c>
      <c r="CR80" s="3">
        <v>0.191</v>
      </c>
      <c r="CS80" s="3">
        <v>7.5999999999999998E-2</v>
      </c>
      <c r="CT80" s="48" t="s">
        <v>317</v>
      </c>
      <c r="CU80" s="49" t="s">
        <v>334</v>
      </c>
      <c r="CV80" s="3">
        <v>1.3049999999999999</v>
      </c>
      <c r="CW80" s="3">
        <v>2.65</v>
      </c>
      <c r="CX80" s="3">
        <v>3.512</v>
      </c>
      <c r="CY80" s="3">
        <v>3.6850000000000001</v>
      </c>
      <c r="CZ80" s="3">
        <v>3.3000000000000002E-2</v>
      </c>
      <c r="DA80" s="3">
        <v>6.3680000000000003</v>
      </c>
      <c r="DB80" s="3">
        <v>3.6549999999999998</v>
      </c>
      <c r="DC80" s="3">
        <v>4.2809999999999997</v>
      </c>
      <c r="DD80" s="3">
        <v>2.234</v>
      </c>
      <c r="DE80" s="3">
        <v>-0.04</v>
      </c>
      <c r="DF80" s="3">
        <v>1.3109999999999999</v>
      </c>
      <c r="DG80" s="3">
        <v>2.2440000000000002</v>
      </c>
      <c r="DH80" s="3">
        <v>3.1920000000000002</v>
      </c>
    </row>
    <row r="81" spans="1:112" x14ac:dyDescent="0.3">
      <c r="A81" s="48" t="s">
        <v>317</v>
      </c>
      <c r="B81" s="49" t="s">
        <v>335</v>
      </c>
      <c r="C81" s="3">
        <v>29.487905999999999</v>
      </c>
      <c r="D81" s="3">
        <v>46.718027999999997</v>
      </c>
      <c r="E81" s="3">
        <v>33.286805999999999</v>
      </c>
      <c r="F81" s="3">
        <v>32.214672</v>
      </c>
      <c r="G81" s="3">
        <v>38.774106000000003</v>
      </c>
      <c r="H81" s="3">
        <v>48.499290000000002</v>
      </c>
      <c r="I81" s="48" t="s">
        <v>317</v>
      </c>
      <c r="J81" s="49" t="s">
        <v>335</v>
      </c>
      <c r="K81" s="3">
        <v>35776</v>
      </c>
      <c r="L81" s="48" t="s">
        <v>317</v>
      </c>
      <c r="M81" s="49" t="s">
        <v>335</v>
      </c>
      <c r="N81" s="3">
        <v>3195.7629489999999</v>
      </c>
      <c r="O81" s="3">
        <v>3342.900275</v>
      </c>
      <c r="P81" s="3">
        <v>4177.736296</v>
      </c>
      <c r="Q81" s="3">
        <v>3508.888524</v>
      </c>
      <c r="R81" s="3">
        <v>3351.7408540000001</v>
      </c>
      <c r="S81" s="3">
        <v>2708.0049899999999</v>
      </c>
      <c r="T81" s="3">
        <v>1896.7072250000001</v>
      </c>
      <c r="U81" s="3">
        <v>4066.4017939999999</v>
      </c>
      <c r="V81" s="3">
        <v>3084.2534810000002</v>
      </c>
      <c r="W81" s="3">
        <v>4191.8489250000002</v>
      </c>
      <c r="X81" s="3">
        <v>2302.978517</v>
      </c>
      <c r="Y81" s="3">
        <v>504.88791209999999</v>
      </c>
      <c r="Z81" s="3">
        <v>1721.1187809999999</v>
      </c>
      <c r="AA81" s="48" t="s">
        <v>317</v>
      </c>
      <c r="AB81" s="49" t="s">
        <v>335</v>
      </c>
      <c r="AC81" s="3">
        <v>1722.2551699999999</v>
      </c>
      <c r="AD81" s="3">
        <v>1261.047538</v>
      </c>
      <c r="AE81" s="3">
        <v>809.60452150000003</v>
      </c>
      <c r="AF81" s="3">
        <v>261.71204499999999</v>
      </c>
      <c r="AG81" s="3">
        <v>3110.5486310000001</v>
      </c>
      <c r="AH81" s="3">
        <v>1885.3951930000001</v>
      </c>
      <c r="AI81" s="3">
        <v>2213.1138970000002</v>
      </c>
      <c r="AJ81" s="3">
        <v>2215.3992239999998</v>
      </c>
      <c r="AK81" s="3">
        <v>941.99357750000001</v>
      </c>
      <c r="AL81" s="3">
        <v>1123.6002719999999</v>
      </c>
      <c r="AM81" s="3">
        <v>1906.0425849999999</v>
      </c>
      <c r="AN81" s="3">
        <v>248.02567980000001</v>
      </c>
      <c r="AO81" s="3">
        <v>765.67069779999997</v>
      </c>
      <c r="AP81" s="48" t="s">
        <v>317</v>
      </c>
      <c r="AQ81" s="49" t="s">
        <v>335</v>
      </c>
      <c r="AR81" s="3">
        <v>796.07672400000001</v>
      </c>
      <c r="AS81" s="3">
        <v>1578.57575</v>
      </c>
      <c r="AT81" s="3">
        <v>1475.9270059999999</v>
      </c>
      <c r="AU81" s="3">
        <v>1167.7383170000001</v>
      </c>
      <c r="AV81" s="3">
        <v>534.91976939999995</v>
      </c>
      <c r="AW81" s="3">
        <v>2129.1718270000001</v>
      </c>
      <c r="AX81" s="3">
        <v>1270.529779</v>
      </c>
      <c r="AY81" s="3">
        <v>960.40275150000002</v>
      </c>
      <c r="AZ81" s="3">
        <v>886.98040619999995</v>
      </c>
      <c r="BA81" s="3">
        <v>497.84803199999999</v>
      </c>
      <c r="BB81" s="3">
        <v>792.69062399999996</v>
      </c>
      <c r="BC81" s="3">
        <v>233.55963840000001</v>
      </c>
      <c r="BD81" s="3">
        <v>1290.8583599999999</v>
      </c>
      <c r="BE81" s="48" t="s">
        <v>317</v>
      </c>
      <c r="BF81" s="49" t="s">
        <v>335</v>
      </c>
      <c r="BG81" s="3">
        <v>0.16</v>
      </c>
      <c r="BH81" s="3">
        <v>0.193</v>
      </c>
      <c r="BI81" s="3">
        <v>0.28999999999999998</v>
      </c>
      <c r="BJ81" s="3">
        <v>0.14499999999999999</v>
      </c>
      <c r="BK81" s="3">
        <v>0.26500000000000001</v>
      </c>
      <c r="BL81" s="3">
        <v>0.39750000000000002</v>
      </c>
      <c r="BM81" s="3">
        <v>0.151</v>
      </c>
      <c r="BN81" s="3">
        <v>0.38500000000000001</v>
      </c>
      <c r="BO81" s="3">
        <v>0.33550000000000002</v>
      </c>
      <c r="BP81" s="3">
        <v>0.14000000000000001</v>
      </c>
      <c r="BQ81" s="3">
        <v>0.13</v>
      </c>
      <c r="BR81" s="3">
        <v>0.123</v>
      </c>
      <c r="BS81" s="3">
        <v>0.14699999999999999</v>
      </c>
      <c r="BT81" s="3">
        <v>0.67400000000000004</v>
      </c>
      <c r="BU81" s="3">
        <v>0.39633333399999998</v>
      </c>
      <c r="BV81" s="3">
        <v>0.129</v>
      </c>
      <c r="BW81" s="3">
        <v>0.53900000000000003</v>
      </c>
      <c r="BX81" s="3">
        <v>4.0000000000000001E-3</v>
      </c>
      <c r="BY81" s="3">
        <v>0.11600000000000001</v>
      </c>
      <c r="BZ81" s="3">
        <v>0.53900000000000003</v>
      </c>
      <c r="CA81" s="3">
        <v>0.78600000000000003</v>
      </c>
      <c r="CB81" s="3">
        <v>0.151</v>
      </c>
      <c r="CC81" s="3">
        <v>0.20899999999999999</v>
      </c>
      <c r="CD81" s="3">
        <v>0.50266666699999996</v>
      </c>
      <c r="CE81" s="3">
        <v>0.13200000000000001</v>
      </c>
      <c r="CF81" s="3">
        <v>0.126</v>
      </c>
      <c r="CG81" s="3">
        <v>0.46400000000000002</v>
      </c>
      <c r="CH81" s="3">
        <v>0.13100000000000001</v>
      </c>
      <c r="CI81" s="3">
        <v>7.5999999999999998E-2</v>
      </c>
      <c r="CJ81" s="3">
        <v>0.20633333300000001</v>
      </c>
      <c r="CK81" s="3">
        <v>0.107</v>
      </c>
      <c r="CL81" s="3">
        <v>0.21</v>
      </c>
      <c r="CM81" s="3">
        <v>0.01</v>
      </c>
      <c r="CN81" s="3">
        <v>0.127</v>
      </c>
      <c r="CO81" s="3">
        <v>0.14299999999999999</v>
      </c>
      <c r="CP81" s="3">
        <v>0.21133333300000001</v>
      </c>
      <c r="CQ81" s="3">
        <v>0.10299999999999999</v>
      </c>
      <c r="CR81" s="3">
        <v>0.18099999999999999</v>
      </c>
      <c r="CS81" s="3">
        <v>4.3999999999999997E-2</v>
      </c>
      <c r="CT81" s="48" t="s">
        <v>317</v>
      </c>
      <c r="CU81" s="49" t="s">
        <v>335</v>
      </c>
      <c r="CV81" s="3">
        <v>2.629</v>
      </c>
      <c r="CW81" s="3">
        <v>3.524</v>
      </c>
      <c r="CX81" s="3">
        <v>4.29</v>
      </c>
      <c r="CY81" s="3">
        <v>4.3479999999999999</v>
      </c>
      <c r="CZ81" s="3">
        <v>2.1320000000000001</v>
      </c>
      <c r="DA81" s="3">
        <v>6.383</v>
      </c>
      <c r="DB81" s="3">
        <v>4.4489999999999998</v>
      </c>
      <c r="DC81" s="3">
        <v>5.1340000000000003</v>
      </c>
      <c r="DD81" s="3">
        <v>4.1740000000000004</v>
      </c>
      <c r="DE81" s="3">
        <v>2.8740000000000001</v>
      </c>
      <c r="DF81" s="3">
        <v>3.2149999999999999</v>
      </c>
      <c r="DG81" s="3">
        <v>4.2480000000000002</v>
      </c>
      <c r="DH81" s="3">
        <v>4.1399999999999997</v>
      </c>
    </row>
    <row r="82" spans="1:112" x14ac:dyDescent="0.3">
      <c r="A82" s="48" t="s">
        <v>317</v>
      </c>
      <c r="B82" s="49" t="s">
        <v>336</v>
      </c>
      <c r="C82" s="3">
        <v>114.920946</v>
      </c>
      <c r="D82" s="3">
        <v>46.430999999999997</v>
      </c>
      <c r="E82" s="3">
        <v>36.866213999999999</v>
      </c>
      <c r="F82" s="3">
        <v>31.944527999999998</v>
      </c>
      <c r="G82" s="3">
        <v>36.866213999999999</v>
      </c>
      <c r="H82" s="3">
        <v>46.430999999999997</v>
      </c>
      <c r="I82" s="48" t="s">
        <v>317</v>
      </c>
      <c r="J82" s="49" t="s">
        <v>336</v>
      </c>
      <c r="K82" s="3">
        <v>36442</v>
      </c>
      <c r="L82" s="48" t="s">
        <v>317</v>
      </c>
      <c r="M82" s="49" t="s">
        <v>336</v>
      </c>
      <c r="N82" s="3">
        <v>7055.542719</v>
      </c>
      <c r="O82" s="3">
        <v>7442.7063589999998</v>
      </c>
      <c r="P82" s="3">
        <v>5095.0943589999997</v>
      </c>
      <c r="Q82" s="3">
        <v>4386.4046449999996</v>
      </c>
      <c r="R82" s="3">
        <v>6964.3245580000003</v>
      </c>
      <c r="S82" s="3">
        <v>6556.0004410000001</v>
      </c>
      <c r="T82" s="3">
        <v>4881.0393480000002</v>
      </c>
      <c r="U82" s="3">
        <v>8611.2837720000007</v>
      </c>
      <c r="V82" s="3">
        <v>6618.7600510000002</v>
      </c>
      <c r="W82" s="3">
        <v>5026.028327</v>
      </c>
      <c r="X82" s="3">
        <v>5816.7020709999997</v>
      </c>
      <c r="Y82" s="3">
        <v>734.24790110000004</v>
      </c>
      <c r="Z82" s="3">
        <v>2426.6389859999999</v>
      </c>
      <c r="AA82" s="48" t="s">
        <v>317</v>
      </c>
      <c r="AB82" s="49" t="s">
        <v>336</v>
      </c>
      <c r="AC82" s="3">
        <v>1521.21371</v>
      </c>
      <c r="AD82" s="3">
        <v>1244.7496699999999</v>
      </c>
      <c r="AE82" s="3">
        <v>799.14113510000004</v>
      </c>
      <c r="AF82" s="3">
        <v>258.32965990000002</v>
      </c>
      <c r="AG82" s="3">
        <v>2747.4495689999999</v>
      </c>
      <c r="AH82" s="3">
        <v>1861.0282119999999</v>
      </c>
      <c r="AI82" s="3">
        <v>2184.5114560000002</v>
      </c>
      <c r="AJ82" s="3">
        <v>1956.7923109999999</v>
      </c>
      <c r="AK82" s="3">
        <v>832.03323769999997</v>
      </c>
      <c r="AL82" s="3">
        <v>1109.078782</v>
      </c>
      <c r="AM82" s="3">
        <v>1881.4087549999999</v>
      </c>
      <c r="AN82" s="3">
        <v>244.82017830000001</v>
      </c>
      <c r="AO82" s="3">
        <v>755.77511530000004</v>
      </c>
      <c r="AP82" s="48" t="s">
        <v>317</v>
      </c>
      <c r="AQ82" s="49" t="s">
        <v>336</v>
      </c>
      <c r="AR82" s="3">
        <v>843.51518799999997</v>
      </c>
      <c r="AS82" s="3">
        <v>1626.4113789999999</v>
      </c>
      <c r="AT82" s="3">
        <v>1520.652067</v>
      </c>
      <c r="AU82" s="3">
        <v>1203.1243260000001</v>
      </c>
      <c r="AV82" s="3">
        <v>566.79580780000003</v>
      </c>
      <c r="AW82" s="3">
        <v>2193.6921860000002</v>
      </c>
      <c r="AX82" s="3">
        <v>1309.0306820000001</v>
      </c>
      <c r="AY82" s="3">
        <v>1017.633456</v>
      </c>
      <c r="AZ82" s="3">
        <v>939.83584940000003</v>
      </c>
      <c r="BA82" s="3">
        <v>512.93433600000003</v>
      </c>
      <c r="BB82" s="3">
        <v>816.71155199999998</v>
      </c>
      <c r="BC82" s="3">
        <v>240.63720319999999</v>
      </c>
      <c r="BD82" s="3">
        <v>1329.9752800000001</v>
      </c>
      <c r="BE82" s="48" t="s">
        <v>317</v>
      </c>
      <c r="BF82" s="49" t="s">
        <v>336</v>
      </c>
      <c r="BG82" s="3">
        <v>0.36</v>
      </c>
      <c r="BH82" s="3">
        <v>0.16700000000000001</v>
      </c>
      <c r="BI82" s="3">
        <v>0.21299999999999999</v>
      </c>
      <c r="BJ82" s="3">
        <v>0.35199999999999998</v>
      </c>
      <c r="BK82" s="3">
        <v>0.26500000000000001</v>
      </c>
      <c r="BL82" s="3">
        <v>0.25800000000000001</v>
      </c>
      <c r="BM82" s="3">
        <v>0.35499999999999998</v>
      </c>
      <c r="BN82" s="3">
        <v>0.40400000000000003</v>
      </c>
      <c r="BO82" s="3">
        <v>0.25700000000000001</v>
      </c>
      <c r="BP82" s="3">
        <v>0.34200000000000003</v>
      </c>
      <c r="BQ82" s="3">
        <v>0.125</v>
      </c>
      <c r="BR82" s="3">
        <v>0.13266666699999999</v>
      </c>
      <c r="BS82" s="3">
        <v>0.34899999999999998</v>
      </c>
      <c r="BT82" s="3">
        <v>0.749</v>
      </c>
      <c r="BU82" s="3">
        <v>0.32716666700000002</v>
      </c>
      <c r="BV82" s="3">
        <v>0.32400000000000001</v>
      </c>
      <c r="BW82" s="3">
        <v>0.63700000000000001</v>
      </c>
      <c r="BX82" s="3">
        <v>2.1999999999999999E-2</v>
      </c>
      <c r="BY82" s="3">
        <v>0.27300000000000002</v>
      </c>
      <c r="BZ82" s="3">
        <v>0.63700000000000001</v>
      </c>
      <c r="CA82" s="3">
        <v>0.76649999999999996</v>
      </c>
      <c r="CB82" s="3">
        <v>0.35399999999999998</v>
      </c>
      <c r="CC82" s="3">
        <v>0.193</v>
      </c>
      <c r="CD82" s="3">
        <v>0.44133333299999999</v>
      </c>
      <c r="CE82" s="3">
        <v>0.33400000000000002</v>
      </c>
      <c r="CF82" s="3">
        <v>0.13700000000000001</v>
      </c>
      <c r="CG82" s="3">
        <v>0.38750000000000001</v>
      </c>
      <c r="CH82" s="3">
        <v>0.33300000000000002</v>
      </c>
      <c r="CI82" s="3">
        <v>8.3000000000000004E-2</v>
      </c>
      <c r="CJ82" s="3">
        <v>0.15533333299999999</v>
      </c>
      <c r="CK82" s="3">
        <v>0.28999999999999998</v>
      </c>
      <c r="CL82" s="3">
        <v>0.18099999999999999</v>
      </c>
      <c r="CM82" s="3">
        <v>0.01</v>
      </c>
      <c r="CN82" s="3">
        <v>0.32200000000000001</v>
      </c>
      <c r="CO82" s="3">
        <v>0.14799999999999999</v>
      </c>
      <c r="CP82" s="3">
        <v>0.17633333300000001</v>
      </c>
      <c r="CQ82" s="3">
        <v>0.26800000000000002</v>
      </c>
      <c r="CR82" s="3">
        <v>0.20799999999999999</v>
      </c>
      <c r="CS82" s="3">
        <v>0.03</v>
      </c>
      <c r="CT82" s="48" t="s">
        <v>317</v>
      </c>
      <c r="CU82" s="49" t="s">
        <v>336</v>
      </c>
      <c r="CV82" s="3">
        <v>3.9079999999999999</v>
      </c>
      <c r="CW82" s="3">
        <v>4.76</v>
      </c>
      <c r="CX82" s="3">
        <v>5.4379999999999997</v>
      </c>
      <c r="CY82" s="3">
        <v>5.2080000000000002</v>
      </c>
      <c r="CZ82" s="3">
        <v>4.4619999999999997</v>
      </c>
      <c r="DA82" s="3">
        <v>6.4279999999999999</v>
      </c>
      <c r="DB82" s="3">
        <v>5.5170000000000003</v>
      </c>
      <c r="DC82" s="3">
        <v>6.0289999999999999</v>
      </c>
      <c r="DD82" s="3">
        <v>5.8630000000000004</v>
      </c>
      <c r="DE82" s="3">
        <v>5.2469999999999999</v>
      </c>
      <c r="DF82" s="3">
        <v>4.6609999999999996</v>
      </c>
      <c r="DG82" s="3">
        <v>5.7320000000000002</v>
      </c>
      <c r="DH82" s="3">
        <v>5.0229999999999997</v>
      </c>
    </row>
    <row r="83" spans="1:112" x14ac:dyDescent="0.3">
      <c r="A83" s="48" t="s">
        <v>317</v>
      </c>
      <c r="B83" s="49" t="s">
        <v>337</v>
      </c>
      <c r="C83" s="3">
        <v>59.912874000000002</v>
      </c>
      <c r="D83" s="3">
        <v>44.084124000000003</v>
      </c>
      <c r="E83" s="3">
        <v>36.233063999999999</v>
      </c>
      <c r="F83" s="3">
        <v>31.74192</v>
      </c>
      <c r="G83" s="3">
        <v>36.233063999999999</v>
      </c>
      <c r="H83" s="3">
        <v>44.084124000000003</v>
      </c>
      <c r="I83" s="48" t="s">
        <v>317</v>
      </c>
      <c r="J83" s="49" t="s">
        <v>337</v>
      </c>
      <c r="K83" s="3">
        <v>35621.5</v>
      </c>
      <c r="L83" s="48" t="s">
        <v>317</v>
      </c>
      <c r="M83" s="49" t="s">
        <v>337</v>
      </c>
      <c r="N83" s="3">
        <v>7838.4395770000001</v>
      </c>
      <c r="O83" s="3">
        <v>8902.9601220000004</v>
      </c>
      <c r="P83" s="3">
        <v>4188.3042249999999</v>
      </c>
      <c r="Q83" s="3">
        <v>3689.433587</v>
      </c>
      <c r="R83" s="3">
        <v>7941.8193240000001</v>
      </c>
      <c r="S83" s="3">
        <v>8517.5185729999994</v>
      </c>
      <c r="T83" s="3">
        <v>5970.0260870000002</v>
      </c>
      <c r="U83" s="3">
        <v>9445.7784929999998</v>
      </c>
      <c r="V83" s="3">
        <v>7400.2536190000001</v>
      </c>
      <c r="W83" s="3">
        <v>3451.28748</v>
      </c>
      <c r="X83" s="3">
        <v>7117.3699109999998</v>
      </c>
      <c r="Y83" s="3">
        <v>607.48922579999999</v>
      </c>
      <c r="Z83" s="3">
        <v>1905.9954909999999</v>
      </c>
      <c r="AA83" s="48" t="s">
        <v>317</v>
      </c>
      <c r="AB83" s="49" t="s">
        <v>337</v>
      </c>
      <c r="AC83" s="3">
        <v>1333.5750149999999</v>
      </c>
      <c r="AD83" s="3">
        <v>1199.930533</v>
      </c>
      <c r="AE83" s="3">
        <v>770.36682259999998</v>
      </c>
      <c r="AF83" s="3">
        <v>249.02810099999999</v>
      </c>
      <c r="AG83" s="3">
        <v>2408.5571110000001</v>
      </c>
      <c r="AH83" s="3">
        <v>1794.0190130000001</v>
      </c>
      <c r="AI83" s="3">
        <v>2105.854742</v>
      </c>
      <c r="AJ83" s="3">
        <v>1715.4258580000001</v>
      </c>
      <c r="AK83" s="3">
        <v>729.40358719999995</v>
      </c>
      <c r="AL83" s="3">
        <v>1069.144685</v>
      </c>
      <c r="AM83" s="3">
        <v>1813.6657230000001</v>
      </c>
      <c r="AN83" s="3">
        <v>236.00504910000001</v>
      </c>
      <c r="AO83" s="3">
        <v>728.56226330000004</v>
      </c>
      <c r="AP83" s="48" t="s">
        <v>317</v>
      </c>
      <c r="AQ83" s="49" t="s">
        <v>337</v>
      </c>
      <c r="AR83" s="3">
        <v>822.76085999999998</v>
      </c>
      <c r="AS83" s="3">
        <v>1590.534658</v>
      </c>
      <c r="AT83" s="3">
        <v>1487.1082719999999</v>
      </c>
      <c r="AU83" s="3">
        <v>1176.5848189999999</v>
      </c>
      <c r="AV83" s="3">
        <v>552.85004100000003</v>
      </c>
      <c r="AW83" s="3">
        <v>2145.3019169999998</v>
      </c>
      <c r="AX83" s="3">
        <v>1280.1550050000001</v>
      </c>
      <c r="AY83" s="3">
        <v>992.59502250000003</v>
      </c>
      <c r="AZ83" s="3">
        <v>916.71159299999999</v>
      </c>
      <c r="BA83" s="3">
        <v>501.61960800000003</v>
      </c>
      <c r="BB83" s="3">
        <v>798.69585600000005</v>
      </c>
      <c r="BC83" s="3">
        <v>235.32902960000001</v>
      </c>
      <c r="BD83" s="3">
        <v>1300.63759</v>
      </c>
      <c r="BE83" s="48" t="s">
        <v>317</v>
      </c>
      <c r="BF83" s="49" t="s">
        <v>337</v>
      </c>
      <c r="BG83" s="3">
        <v>0.53900000000000003</v>
      </c>
      <c r="BH83" s="3">
        <v>0.28499999999999998</v>
      </c>
      <c r="BI83" s="3">
        <v>0.17100000000000001</v>
      </c>
      <c r="BJ83" s="3">
        <v>0.53600000000000003</v>
      </c>
      <c r="BK83" s="3">
        <v>0.39</v>
      </c>
      <c r="BL83" s="3">
        <v>0.14499999999999999</v>
      </c>
      <c r="BM83" s="3">
        <v>0.53600000000000003</v>
      </c>
      <c r="BN83" s="3">
        <v>0.46400000000000002</v>
      </c>
      <c r="BO83" s="3">
        <v>0.17449999999999999</v>
      </c>
      <c r="BP83" s="3">
        <v>0.52600000000000002</v>
      </c>
      <c r="BQ83" s="3">
        <v>0.251</v>
      </c>
      <c r="BR83" s="3">
        <v>0.170333333</v>
      </c>
      <c r="BS83" s="3">
        <v>0.52700000000000002</v>
      </c>
      <c r="BT83" s="3">
        <v>0.79600000000000004</v>
      </c>
      <c r="BU83" s="3">
        <v>0.27483333399999998</v>
      </c>
      <c r="BV83" s="3">
        <v>0.49399999999999999</v>
      </c>
      <c r="BW83" s="3">
        <v>0.70099999999999996</v>
      </c>
      <c r="BX83" s="3">
        <v>7.4999999999999997E-2</v>
      </c>
      <c r="BY83" s="3">
        <v>0.42399999999999999</v>
      </c>
      <c r="BZ83" s="3">
        <v>0.70099999999999996</v>
      </c>
      <c r="CA83" s="3">
        <v>0.6895</v>
      </c>
      <c r="CB83" s="3">
        <v>0.53100000000000003</v>
      </c>
      <c r="CC83" s="3">
        <v>0.214</v>
      </c>
      <c r="CD83" s="3">
        <v>0.37866666700000001</v>
      </c>
      <c r="CE83" s="3">
        <v>0.51500000000000001</v>
      </c>
      <c r="CF83" s="3">
        <v>0.20699999999999999</v>
      </c>
      <c r="CG83" s="3">
        <v>0.30649999999999999</v>
      </c>
      <c r="CH83" s="3">
        <v>0.51500000000000001</v>
      </c>
      <c r="CI83" s="3">
        <v>0.14099999999999999</v>
      </c>
      <c r="CJ83" s="3">
        <v>0.14933333300000001</v>
      </c>
      <c r="CK83" s="3">
        <v>0.45500000000000002</v>
      </c>
      <c r="CL83" s="3">
        <v>0.26800000000000002</v>
      </c>
      <c r="CM83" s="3">
        <v>0.01</v>
      </c>
      <c r="CN83" s="3">
        <v>0.504</v>
      </c>
      <c r="CO83" s="3">
        <v>0.186</v>
      </c>
      <c r="CP83" s="3">
        <v>0.15033333300000001</v>
      </c>
      <c r="CQ83" s="3">
        <v>0.39</v>
      </c>
      <c r="CR83" s="3">
        <v>0.29299999999999998</v>
      </c>
      <c r="CS83" s="3">
        <v>5.0999999999999997E-2</v>
      </c>
      <c r="CT83" s="48" t="s">
        <v>317</v>
      </c>
      <c r="CU83" s="49" t="s">
        <v>337</v>
      </c>
      <c r="CV83" s="3">
        <v>5.6740000000000004</v>
      </c>
      <c r="CW83" s="3">
        <v>6.2990000000000004</v>
      </c>
      <c r="CX83" s="3">
        <v>6.9710000000000001</v>
      </c>
      <c r="CY83" s="3">
        <v>6.2169999999999996</v>
      </c>
      <c r="CZ83" s="3">
        <v>7.1349999999999998</v>
      </c>
      <c r="DA83" s="3">
        <v>6.5289999999999999</v>
      </c>
      <c r="DB83" s="3">
        <v>7.0380000000000003</v>
      </c>
      <c r="DC83" s="3">
        <v>6.8719999999999999</v>
      </c>
      <c r="DD83" s="3">
        <v>7.508</v>
      </c>
      <c r="DE83" s="3">
        <v>7.4409999999999998</v>
      </c>
      <c r="DF83" s="3">
        <v>6.2930000000000001</v>
      </c>
      <c r="DG83" s="3">
        <v>6.6059999999999999</v>
      </c>
      <c r="DH83" s="3">
        <v>5.67</v>
      </c>
    </row>
    <row r="84" spans="1:112" x14ac:dyDescent="0.3">
      <c r="A84" s="48" t="s">
        <v>317</v>
      </c>
      <c r="B84" s="49" t="s">
        <v>338</v>
      </c>
      <c r="C84" s="3">
        <v>54.797021999999998</v>
      </c>
      <c r="D84" s="3">
        <v>41.998950000000001</v>
      </c>
      <c r="E84" s="3">
        <v>34.569989999999997</v>
      </c>
      <c r="F84" s="3">
        <v>30.230802000000001</v>
      </c>
      <c r="G84" s="3">
        <v>34.569989999999997</v>
      </c>
      <c r="H84" s="3">
        <v>41.998950000000001</v>
      </c>
      <c r="I84" s="48" t="s">
        <v>317</v>
      </c>
      <c r="J84" s="49" t="s">
        <v>338</v>
      </c>
      <c r="K84" s="3">
        <v>34781.5</v>
      </c>
      <c r="L84" s="48" t="s">
        <v>317</v>
      </c>
      <c r="M84" s="49" t="s">
        <v>338</v>
      </c>
      <c r="N84" s="3">
        <v>5587.3462440000003</v>
      </c>
      <c r="O84" s="3">
        <v>6999.5976220000002</v>
      </c>
      <c r="P84" s="3">
        <v>3249.3056190000002</v>
      </c>
      <c r="Q84" s="3">
        <v>2952.1658659999998</v>
      </c>
      <c r="R84" s="3">
        <v>6024.7551050000002</v>
      </c>
      <c r="S84" s="3">
        <v>7254.8353669999997</v>
      </c>
      <c r="T84" s="3">
        <v>5013.9125160000003</v>
      </c>
      <c r="U84" s="3">
        <v>6264.1129220000003</v>
      </c>
      <c r="V84" s="3">
        <v>5200.0245809999997</v>
      </c>
      <c r="W84" s="3">
        <v>2090.8970650000001</v>
      </c>
      <c r="X84" s="3">
        <v>5549.6075350000001</v>
      </c>
      <c r="Y84" s="3">
        <v>445.12194290000002</v>
      </c>
      <c r="Z84" s="3">
        <v>1557.44624</v>
      </c>
      <c r="AA84" s="48" t="s">
        <v>317</v>
      </c>
      <c r="AB84" s="49" t="s">
        <v>338</v>
      </c>
      <c r="AC84" s="3">
        <v>1170.508053</v>
      </c>
      <c r="AD84" s="3">
        <v>1085.8454569999999</v>
      </c>
      <c r="AE84" s="3">
        <v>697.12311790000001</v>
      </c>
      <c r="AF84" s="3">
        <v>225.3514055</v>
      </c>
      <c r="AG84" s="3">
        <v>2114.0434279999999</v>
      </c>
      <c r="AH84" s="3">
        <v>1623.4501419999999</v>
      </c>
      <c r="AI84" s="3">
        <v>1905.637653</v>
      </c>
      <c r="AJ84" s="3">
        <v>1505.666917</v>
      </c>
      <c r="AK84" s="3">
        <v>640.21353380000005</v>
      </c>
      <c r="AL84" s="3">
        <v>967.49425680000002</v>
      </c>
      <c r="AM84" s="3">
        <v>1641.228914</v>
      </c>
      <c r="AN84" s="3">
        <v>213.56653850000001</v>
      </c>
      <c r="AO84" s="3">
        <v>659.29318560000002</v>
      </c>
      <c r="AP84" s="48" t="s">
        <v>317</v>
      </c>
      <c r="AQ84" s="49" t="s">
        <v>338</v>
      </c>
      <c r="AR84" s="3">
        <v>769.39258800000005</v>
      </c>
      <c r="AS84" s="3">
        <v>1524.7606679999999</v>
      </c>
      <c r="AT84" s="3">
        <v>1425.6113130000001</v>
      </c>
      <c r="AU84" s="3">
        <v>1127.9290559999999</v>
      </c>
      <c r="AV84" s="3">
        <v>516.98949779999998</v>
      </c>
      <c r="AW84" s="3">
        <v>2056.5864240000001</v>
      </c>
      <c r="AX84" s="3">
        <v>1227.2162639999999</v>
      </c>
      <c r="AY84" s="3">
        <v>928.21048050000002</v>
      </c>
      <c r="AZ84" s="3">
        <v>857.24921940000002</v>
      </c>
      <c r="BA84" s="3">
        <v>480.87594000000001</v>
      </c>
      <c r="BB84" s="3">
        <v>765.66708000000006</v>
      </c>
      <c r="BC84" s="3">
        <v>225.59737799999999</v>
      </c>
      <c r="BD84" s="3">
        <v>1246.851825</v>
      </c>
      <c r="BE84" s="48" t="s">
        <v>317</v>
      </c>
      <c r="BF84" s="49" t="s">
        <v>338</v>
      </c>
      <c r="BG84" s="3">
        <v>0.67400000000000004</v>
      </c>
      <c r="BH84" s="3">
        <v>0.38700000000000001</v>
      </c>
      <c r="BI84" s="3">
        <v>0.16400000000000001</v>
      </c>
      <c r="BJ84" s="3">
        <v>0.67400000000000004</v>
      </c>
      <c r="BK84" s="3">
        <v>0.44400000000000001</v>
      </c>
      <c r="BL84" s="3">
        <v>7.9000000000000001E-2</v>
      </c>
      <c r="BM84" s="3">
        <v>0.67300000000000004</v>
      </c>
      <c r="BN84" s="3">
        <v>0.49199999999999999</v>
      </c>
      <c r="BO84" s="3">
        <v>0.10349999999999999</v>
      </c>
      <c r="BP84" s="3">
        <v>0.66500000000000004</v>
      </c>
      <c r="BQ84" s="3">
        <v>0.26800000000000002</v>
      </c>
      <c r="BR84" s="3">
        <v>0.23933333300000001</v>
      </c>
      <c r="BS84" s="3">
        <v>0.66200000000000003</v>
      </c>
      <c r="BT84" s="3">
        <v>0.83</v>
      </c>
      <c r="BU84" s="3">
        <v>0.248</v>
      </c>
      <c r="BV84" s="3">
        <v>0.59899999999999998</v>
      </c>
      <c r="BW84" s="3">
        <v>0.72699999999999998</v>
      </c>
      <c r="BX84" s="3">
        <v>0.153</v>
      </c>
      <c r="BY84" s="3">
        <v>0.44800000000000001</v>
      </c>
      <c r="BZ84" s="3">
        <v>0.72699999999999998</v>
      </c>
      <c r="CA84" s="3">
        <v>0.55300000000000005</v>
      </c>
      <c r="CB84" s="3">
        <v>0.65600000000000003</v>
      </c>
      <c r="CC84" s="3">
        <v>0.217</v>
      </c>
      <c r="CD84" s="3">
        <v>0.33200000000000002</v>
      </c>
      <c r="CE84" s="3">
        <v>0.65400000000000003</v>
      </c>
      <c r="CF84" s="3">
        <v>0.23200000000000001</v>
      </c>
      <c r="CG84" s="3">
        <v>0.219</v>
      </c>
      <c r="CH84" s="3">
        <v>0.65400000000000003</v>
      </c>
      <c r="CI84" s="3">
        <v>0.16</v>
      </c>
      <c r="CJ84" s="3">
        <v>0.17066666699999999</v>
      </c>
      <c r="CK84" s="3">
        <v>0.55900000000000005</v>
      </c>
      <c r="CL84" s="3">
        <v>0.314</v>
      </c>
      <c r="CM84" s="3">
        <v>0.01</v>
      </c>
      <c r="CN84" s="3">
        <v>0.628</v>
      </c>
      <c r="CO84" s="3">
        <v>0.22900000000000001</v>
      </c>
      <c r="CP84" s="3">
        <v>0.142666667</v>
      </c>
      <c r="CQ84" s="3">
        <v>0.46400000000000002</v>
      </c>
      <c r="CR84" s="3">
        <v>0.38</v>
      </c>
      <c r="CS84" s="3">
        <v>9.0999999999999998E-2</v>
      </c>
      <c r="CT84" s="48" t="s">
        <v>317</v>
      </c>
      <c r="CU84" s="49" t="s">
        <v>338</v>
      </c>
      <c r="CV84" s="3">
        <v>6.8419999999999996</v>
      </c>
      <c r="CW84" s="3">
        <v>7.6230000000000002</v>
      </c>
      <c r="CX84" s="3">
        <v>8.3879999999999999</v>
      </c>
      <c r="CY84" s="3">
        <v>7.6470000000000002</v>
      </c>
      <c r="CZ84" s="3">
        <v>8.1319999999999997</v>
      </c>
      <c r="DA84" s="3">
        <v>6.57</v>
      </c>
      <c r="DB84" s="3">
        <v>8.5340000000000007</v>
      </c>
      <c r="DC84" s="3">
        <v>7.4509999999999996</v>
      </c>
      <c r="DD84" s="3">
        <v>8.3469999999999995</v>
      </c>
      <c r="DE84" s="3">
        <v>8.4760000000000009</v>
      </c>
      <c r="DF84" s="3">
        <v>7.6449999999999996</v>
      </c>
      <c r="DG84" s="3">
        <v>7.4489999999999998</v>
      </c>
      <c r="DH84" s="3">
        <v>6.3319999999999999</v>
      </c>
    </row>
    <row r="85" spans="1:112" x14ac:dyDescent="0.3">
      <c r="A85" s="48" t="s">
        <v>317</v>
      </c>
      <c r="B85" s="49" t="s">
        <v>339</v>
      </c>
      <c r="C85" s="3">
        <v>52.880687999999999</v>
      </c>
      <c r="D85" s="3">
        <v>39.930660000000003</v>
      </c>
      <c r="E85" s="3">
        <v>30.247686000000002</v>
      </c>
      <c r="F85" s="3">
        <v>29.099574</v>
      </c>
      <c r="G85" s="3">
        <v>30.247686000000002</v>
      </c>
      <c r="H85" s="3">
        <v>39.930660000000003</v>
      </c>
      <c r="I85" s="48" t="s">
        <v>317</v>
      </c>
      <c r="J85" s="49" t="s">
        <v>339</v>
      </c>
      <c r="K85" s="3">
        <v>34955</v>
      </c>
      <c r="L85" s="48" t="s">
        <v>317</v>
      </c>
      <c r="M85" s="49" t="s">
        <v>339</v>
      </c>
      <c r="N85" s="3">
        <v>3690.4707749999998</v>
      </c>
      <c r="O85" s="3">
        <v>5253.8849840000003</v>
      </c>
      <c r="P85" s="3">
        <v>2659.3030309999999</v>
      </c>
      <c r="Q85" s="3">
        <v>2434.5991979999999</v>
      </c>
      <c r="R85" s="3">
        <v>4024.795991</v>
      </c>
      <c r="S85" s="3">
        <v>5657.7494509999997</v>
      </c>
      <c r="T85" s="3">
        <v>3577.4965029999998</v>
      </c>
      <c r="U85" s="3">
        <v>3978.3586690000002</v>
      </c>
      <c r="V85" s="3">
        <v>3133.9940849999998</v>
      </c>
      <c r="W85" s="3">
        <v>1415.679662</v>
      </c>
      <c r="X85" s="3">
        <v>3910.475406</v>
      </c>
      <c r="Y85" s="3">
        <v>352.36541340000002</v>
      </c>
      <c r="Z85" s="3">
        <v>1300.419727</v>
      </c>
      <c r="AA85" s="48" t="s">
        <v>317</v>
      </c>
      <c r="AB85" s="49" t="s">
        <v>339</v>
      </c>
      <c r="AC85" s="3">
        <v>1206.4721360000001</v>
      </c>
      <c r="AD85" s="3">
        <v>1107.0326849999999</v>
      </c>
      <c r="AE85" s="3">
        <v>710.72552020000001</v>
      </c>
      <c r="AF85" s="3">
        <v>229.74850609999999</v>
      </c>
      <c r="AG85" s="3">
        <v>2178.9978160000001</v>
      </c>
      <c r="AH85" s="3">
        <v>1655.1272180000001</v>
      </c>
      <c r="AI85" s="3">
        <v>1942.820827</v>
      </c>
      <c r="AJ85" s="3">
        <v>1551.928821</v>
      </c>
      <c r="AK85" s="3">
        <v>659.88421689999996</v>
      </c>
      <c r="AL85" s="3">
        <v>986.37219359999995</v>
      </c>
      <c r="AM85" s="3">
        <v>1673.2528930000001</v>
      </c>
      <c r="AN85" s="3">
        <v>217.73369049999999</v>
      </c>
      <c r="AO85" s="3">
        <v>672.15744289999998</v>
      </c>
      <c r="AP85" s="48" t="s">
        <v>317</v>
      </c>
      <c r="AQ85" s="49" t="s">
        <v>339</v>
      </c>
      <c r="AR85" s="3">
        <v>721.95412399999998</v>
      </c>
      <c r="AS85" s="3">
        <v>1455.996952</v>
      </c>
      <c r="AT85" s="3">
        <v>1361.3190380000001</v>
      </c>
      <c r="AU85" s="3">
        <v>1077.0616669999999</v>
      </c>
      <c r="AV85" s="3">
        <v>485.11345940000001</v>
      </c>
      <c r="AW85" s="3">
        <v>1963.838409</v>
      </c>
      <c r="AX85" s="3">
        <v>1171.8712169999999</v>
      </c>
      <c r="AY85" s="3">
        <v>870.97977649999996</v>
      </c>
      <c r="AZ85" s="3">
        <v>804.39377620000005</v>
      </c>
      <c r="BA85" s="3">
        <v>459.18937799999998</v>
      </c>
      <c r="BB85" s="3">
        <v>731.13699599999995</v>
      </c>
      <c r="BC85" s="3">
        <v>215.42337860000001</v>
      </c>
      <c r="BD85" s="3">
        <v>1190.6212519999999</v>
      </c>
      <c r="BE85" s="48" t="s">
        <v>317</v>
      </c>
      <c r="BF85" s="49" t="s">
        <v>339</v>
      </c>
      <c r="BG85" s="3">
        <v>0.76100000000000001</v>
      </c>
      <c r="BH85" s="3">
        <v>0.42499999999999999</v>
      </c>
      <c r="BI85" s="3">
        <v>0.17849999999999999</v>
      </c>
      <c r="BJ85" s="3">
        <v>0.76300000000000001</v>
      </c>
      <c r="BK85" s="3">
        <v>0.45500000000000002</v>
      </c>
      <c r="BL85" s="3">
        <v>3.7499999999999999E-2</v>
      </c>
      <c r="BM85" s="3">
        <v>0.76100000000000001</v>
      </c>
      <c r="BN85" s="3">
        <v>0.496</v>
      </c>
      <c r="BO85" s="3">
        <v>6.1499999999999999E-2</v>
      </c>
      <c r="BP85" s="3">
        <v>0.73899999999999999</v>
      </c>
      <c r="BQ85" s="3">
        <v>0.27100000000000002</v>
      </c>
      <c r="BR85" s="3">
        <v>0.33300000000000002</v>
      </c>
      <c r="BS85" s="3">
        <v>0.75</v>
      </c>
      <c r="BT85" s="3">
        <v>0.84199999999999997</v>
      </c>
      <c r="BU85" s="3">
        <v>0.235916667</v>
      </c>
      <c r="BV85" s="3">
        <v>0.63100000000000001</v>
      </c>
      <c r="BW85" s="3">
        <v>0.73899999999999999</v>
      </c>
      <c r="BX85" s="3">
        <v>0.249</v>
      </c>
      <c r="BY85" s="3">
        <v>0.38300000000000001</v>
      </c>
      <c r="BZ85" s="3">
        <v>0.73899999999999999</v>
      </c>
      <c r="CA85" s="3">
        <v>0.42249999999999999</v>
      </c>
      <c r="CB85" s="3">
        <v>0.74</v>
      </c>
      <c r="CC85" s="3">
        <v>0.20799999999999999</v>
      </c>
      <c r="CD85" s="3">
        <v>0.29333333299999997</v>
      </c>
      <c r="CE85" s="3">
        <v>0.74199999999999999</v>
      </c>
      <c r="CF85" s="3">
        <v>0.23499999999999999</v>
      </c>
      <c r="CG85" s="3">
        <v>0.15049999999999999</v>
      </c>
      <c r="CH85" s="3">
        <v>0.74199999999999999</v>
      </c>
      <c r="CI85" s="3">
        <v>0.18099999999999999</v>
      </c>
      <c r="CJ85" s="3">
        <v>0.20799999999999999</v>
      </c>
      <c r="CK85" s="3">
        <v>0.61</v>
      </c>
      <c r="CL85" s="3">
        <v>0.36199999999999999</v>
      </c>
      <c r="CM85" s="3">
        <v>0.01</v>
      </c>
      <c r="CN85" s="3">
        <v>0.68200000000000005</v>
      </c>
      <c r="CO85" s="3">
        <v>0.27800000000000002</v>
      </c>
      <c r="CP85" s="3">
        <v>0.15366666700000001</v>
      </c>
      <c r="CQ85" s="3">
        <v>0.55100000000000005</v>
      </c>
      <c r="CR85" s="3">
        <v>0.45900000000000002</v>
      </c>
      <c r="CS85" s="3">
        <v>0.13600000000000001</v>
      </c>
      <c r="CT85" s="48" t="s">
        <v>317</v>
      </c>
      <c r="CU85" s="49" t="s">
        <v>339</v>
      </c>
      <c r="CV85" s="3">
        <v>7.3639999999999999</v>
      </c>
      <c r="CW85" s="3">
        <v>8.6170000000000009</v>
      </c>
      <c r="CX85" s="3">
        <v>9.3030000000000008</v>
      </c>
      <c r="CY85" s="3">
        <v>8.7010000000000005</v>
      </c>
      <c r="CZ85" s="3">
        <v>8.7420000000000009</v>
      </c>
      <c r="DA85" s="3">
        <v>6.6719999999999997</v>
      </c>
      <c r="DB85" s="3">
        <v>9.57</v>
      </c>
      <c r="DC85" s="3">
        <v>7.9560000000000004</v>
      </c>
      <c r="DD85" s="3">
        <v>8.923</v>
      </c>
      <c r="DE85" s="3">
        <v>8.9369999999999994</v>
      </c>
      <c r="DF85" s="3">
        <v>8.6020000000000003</v>
      </c>
      <c r="DG85" s="3">
        <v>8.1359999999999992</v>
      </c>
      <c r="DH85" s="3">
        <v>6.7859999999999996</v>
      </c>
    </row>
    <row r="86" spans="1:112" x14ac:dyDescent="0.3">
      <c r="A86" s="48" t="s">
        <v>317</v>
      </c>
      <c r="B86" s="49" t="s">
        <v>340</v>
      </c>
      <c r="C86" s="3">
        <v>44.379593999999997</v>
      </c>
      <c r="D86" s="3">
        <v>38.824758000000003</v>
      </c>
      <c r="E86" s="3">
        <v>28.348236</v>
      </c>
      <c r="F86" s="3">
        <v>27.444942000000001</v>
      </c>
      <c r="G86" s="3">
        <v>29.538557999999998</v>
      </c>
      <c r="H86" s="3">
        <v>38.824758000000003</v>
      </c>
      <c r="I86" s="48" t="s">
        <v>317</v>
      </c>
      <c r="J86" s="49" t="s">
        <v>340</v>
      </c>
      <c r="K86" s="3">
        <v>35148.5</v>
      </c>
      <c r="L86" s="48" t="s">
        <v>317</v>
      </c>
      <c r="M86" s="49" t="s">
        <v>340</v>
      </c>
      <c r="N86" s="3">
        <v>2763.8912289999998</v>
      </c>
      <c r="O86" s="3">
        <v>4347.5412619999997</v>
      </c>
      <c r="P86" s="3">
        <v>2422.901926</v>
      </c>
      <c r="Q86" s="3">
        <v>2303.8987900000002</v>
      </c>
      <c r="R86" s="3">
        <v>3141.5677390000001</v>
      </c>
      <c r="S86" s="3">
        <v>4824.7413210000004</v>
      </c>
      <c r="T86" s="3">
        <v>2810.2725879999998</v>
      </c>
      <c r="U86" s="3">
        <v>2974.4546999999998</v>
      </c>
      <c r="V86" s="3">
        <v>2266.7772319999999</v>
      </c>
      <c r="W86" s="3">
        <v>1276.774874</v>
      </c>
      <c r="X86" s="3">
        <v>3120.3202310000001</v>
      </c>
      <c r="Y86" s="3">
        <v>336.42659709999998</v>
      </c>
      <c r="Z86" s="3">
        <v>1103.2321910000001</v>
      </c>
      <c r="AA86" s="48" t="s">
        <v>317</v>
      </c>
      <c r="AB86" s="49" t="s">
        <v>340</v>
      </c>
      <c r="AC86" s="3">
        <v>1235.221065</v>
      </c>
      <c r="AD86" s="3">
        <v>1151.179535</v>
      </c>
      <c r="AE86" s="3">
        <v>739.068218</v>
      </c>
      <c r="AF86" s="3">
        <v>238.91054159999999</v>
      </c>
      <c r="AG86" s="3">
        <v>2230.9209810000002</v>
      </c>
      <c r="AH86" s="3">
        <v>1721.1312789999999</v>
      </c>
      <c r="AI86" s="3">
        <v>2020.2976900000001</v>
      </c>
      <c r="AJ86" s="3">
        <v>1588.909609</v>
      </c>
      <c r="AK86" s="3">
        <v>675.60854540000003</v>
      </c>
      <c r="AL86" s="3">
        <v>1025.707279</v>
      </c>
      <c r="AM86" s="3">
        <v>1739.979779</v>
      </c>
      <c r="AN86" s="3">
        <v>226.4165927</v>
      </c>
      <c r="AO86" s="3">
        <v>698.96210210000004</v>
      </c>
      <c r="AP86" s="48" t="s">
        <v>317</v>
      </c>
      <c r="AQ86" s="49" t="s">
        <v>340</v>
      </c>
      <c r="AR86" s="3">
        <v>662.65604399999995</v>
      </c>
      <c r="AS86" s="3">
        <v>1372.2846010000001</v>
      </c>
      <c r="AT86" s="3">
        <v>1283.0501819999999</v>
      </c>
      <c r="AU86" s="3">
        <v>1015.13615</v>
      </c>
      <c r="AV86" s="3">
        <v>445.26841139999999</v>
      </c>
      <c r="AW86" s="3">
        <v>1850.927782</v>
      </c>
      <c r="AX86" s="3">
        <v>1104.4946379999999</v>
      </c>
      <c r="AY86" s="3">
        <v>799.4413965</v>
      </c>
      <c r="AZ86" s="3">
        <v>738.32447219999995</v>
      </c>
      <c r="BA86" s="3">
        <v>432.78834599999999</v>
      </c>
      <c r="BB86" s="3">
        <v>689.10037199999999</v>
      </c>
      <c r="BC86" s="3">
        <v>203.0376402</v>
      </c>
      <c r="BD86" s="3">
        <v>1122.166643</v>
      </c>
      <c r="BE86" s="48" t="s">
        <v>317</v>
      </c>
      <c r="BF86" s="49" t="s">
        <v>340</v>
      </c>
      <c r="BG86" s="3">
        <v>0.80100000000000005</v>
      </c>
      <c r="BH86" s="3">
        <v>0.436</v>
      </c>
      <c r="BI86" s="3">
        <v>0.19900000000000001</v>
      </c>
      <c r="BJ86" s="3">
        <v>0.80100000000000005</v>
      </c>
      <c r="BK86" s="3">
        <v>0.44900000000000001</v>
      </c>
      <c r="BL86" s="3">
        <v>0.01</v>
      </c>
      <c r="BM86" s="3">
        <v>0.80100000000000005</v>
      </c>
      <c r="BN86" s="3">
        <v>0.47299999999999998</v>
      </c>
      <c r="BO86" s="3">
        <v>5.8999999999999997E-2</v>
      </c>
      <c r="BP86" s="3">
        <v>0.72499999999999998</v>
      </c>
      <c r="BQ86" s="3">
        <v>0.28100000000000003</v>
      </c>
      <c r="BR86" s="3">
        <v>0.43433333299999999</v>
      </c>
      <c r="BS86" s="3">
        <v>0.78600000000000003</v>
      </c>
      <c r="BT86" s="3">
        <v>0.83399999999999996</v>
      </c>
      <c r="BU86" s="3">
        <v>0.22083333399999999</v>
      </c>
      <c r="BV86" s="3">
        <v>0.625</v>
      </c>
      <c r="BW86" s="3">
        <v>0.751</v>
      </c>
      <c r="BX86" s="3">
        <v>0.34799999999999998</v>
      </c>
      <c r="BY86" s="3">
        <v>0.30599999999999999</v>
      </c>
      <c r="BZ86" s="3">
        <v>0.751</v>
      </c>
      <c r="CA86" s="3">
        <v>0.41349999999999998</v>
      </c>
      <c r="CB86" s="3">
        <v>0.77400000000000002</v>
      </c>
      <c r="CC86" s="3">
        <v>0.20399999999999999</v>
      </c>
      <c r="CD86" s="3">
        <v>0.242666667</v>
      </c>
      <c r="CE86" s="3">
        <v>0.76800000000000002</v>
      </c>
      <c r="CF86" s="3">
        <v>0.23899999999999999</v>
      </c>
      <c r="CG86" s="3">
        <v>8.5500000000000007E-2</v>
      </c>
      <c r="CH86" s="3">
        <v>0.76700000000000002</v>
      </c>
      <c r="CI86" s="3">
        <v>0.22</v>
      </c>
      <c r="CJ86" s="3">
        <v>0.26633333300000001</v>
      </c>
      <c r="CK86" s="3">
        <v>0.624</v>
      </c>
      <c r="CL86" s="3">
        <v>0.433</v>
      </c>
      <c r="CM86" s="3">
        <v>0.01</v>
      </c>
      <c r="CN86" s="3">
        <v>0.69899999999999995</v>
      </c>
      <c r="CO86" s="3">
        <v>0.34200000000000003</v>
      </c>
      <c r="CP86" s="3">
        <v>0.18333333299999999</v>
      </c>
      <c r="CQ86" s="3">
        <v>0.623</v>
      </c>
      <c r="CR86" s="3">
        <v>0.51600000000000001</v>
      </c>
      <c r="CS86" s="3">
        <v>0.20200000000000001</v>
      </c>
      <c r="CT86" s="48" t="s">
        <v>317</v>
      </c>
      <c r="CU86" s="49" t="s">
        <v>340</v>
      </c>
      <c r="CV86" s="3">
        <v>7.79</v>
      </c>
      <c r="CW86" s="3">
        <v>9.4600000000000009</v>
      </c>
      <c r="CX86" s="3">
        <v>9.952</v>
      </c>
      <c r="CY86" s="3">
        <v>9.4570000000000007</v>
      </c>
      <c r="CZ86" s="3">
        <v>8.9819999999999993</v>
      </c>
      <c r="DA86" s="3">
        <v>6.8810000000000002</v>
      </c>
      <c r="DB86" s="3">
        <v>10.226000000000001</v>
      </c>
      <c r="DC86" s="3">
        <v>8.468</v>
      </c>
      <c r="DD86" s="3">
        <v>9.5470000000000006</v>
      </c>
      <c r="DE86" s="3">
        <v>9.1050000000000004</v>
      </c>
      <c r="DF86" s="3">
        <v>9.4969999999999999</v>
      </c>
      <c r="DG86" s="3">
        <v>8.8559999999999999</v>
      </c>
      <c r="DH86" s="3">
        <v>7.1059999999999999</v>
      </c>
    </row>
    <row r="87" spans="1:112" x14ac:dyDescent="0.3">
      <c r="A87" s="48" t="s">
        <v>317</v>
      </c>
      <c r="B87" s="49" t="s">
        <v>341</v>
      </c>
      <c r="C87" s="3">
        <v>39.533886000000003</v>
      </c>
      <c r="D87" s="3">
        <v>35.92071</v>
      </c>
      <c r="E87" s="3">
        <v>27.022842000000001</v>
      </c>
      <c r="F87" s="3">
        <v>26.153316</v>
      </c>
      <c r="G87" s="3">
        <v>27.022842000000001</v>
      </c>
      <c r="H87" s="3">
        <v>35.92071</v>
      </c>
      <c r="I87" s="48" t="s">
        <v>317</v>
      </c>
      <c r="J87" s="49" t="s">
        <v>341</v>
      </c>
      <c r="K87" s="3">
        <v>34888</v>
      </c>
      <c r="L87" s="48" t="s">
        <v>317</v>
      </c>
      <c r="M87" s="49" t="s">
        <v>341</v>
      </c>
      <c r="N87" s="3">
        <v>2706.016662</v>
      </c>
      <c r="O87" s="3">
        <v>4277.35754</v>
      </c>
      <c r="P87" s="3">
        <v>2308.268795</v>
      </c>
      <c r="Q87" s="3">
        <v>2407.754101</v>
      </c>
      <c r="R87" s="3">
        <v>3086.0822880000001</v>
      </c>
      <c r="S87" s="3">
        <v>4593.8170129999999</v>
      </c>
      <c r="T87" s="3">
        <v>2538.3899350000002</v>
      </c>
      <c r="U87" s="3">
        <v>2997.4638439999999</v>
      </c>
      <c r="V87" s="3">
        <v>2122.787159</v>
      </c>
      <c r="W87" s="3">
        <v>1370.412744</v>
      </c>
      <c r="X87" s="3">
        <v>3097.706283</v>
      </c>
      <c r="Y87" s="3">
        <v>335.73060759999998</v>
      </c>
      <c r="Z87" s="3">
        <v>1129.8427320000001</v>
      </c>
      <c r="AA87" s="48" t="s">
        <v>317</v>
      </c>
      <c r="AB87" s="49" t="s">
        <v>341</v>
      </c>
      <c r="AC87" s="3">
        <v>1140.6198890000001</v>
      </c>
      <c r="AD87" s="3">
        <v>1092.018274</v>
      </c>
      <c r="AE87" s="3">
        <v>701.08612549999998</v>
      </c>
      <c r="AF87" s="3">
        <v>226.63248379999999</v>
      </c>
      <c r="AG87" s="3">
        <v>2060.0627009999998</v>
      </c>
      <c r="AH87" s="3">
        <v>1632.679136</v>
      </c>
      <c r="AI87" s="3">
        <v>1916.470828</v>
      </c>
      <c r="AJ87" s="3">
        <v>1467.2206900000001</v>
      </c>
      <c r="AK87" s="3">
        <v>623.86609669999996</v>
      </c>
      <c r="AL87" s="3">
        <v>972.99427109999999</v>
      </c>
      <c r="AM87" s="3">
        <v>1650.5589769999999</v>
      </c>
      <c r="AN87" s="3">
        <v>214.78062220000001</v>
      </c>
      <c r="AO87" s="3">
        <v>663.04113749999999</v>
      </c>
      <c r="AP87" s="48" t="s">
        <v>317</v>
      </c>
      <c r="AQ87" s="49" t="s">
        <v>341</v>
      </c>
      <c r="AR87" s="3">
        <v>641.90171599999996</v>
      </c>
      <c r="AS87" s="3">
        <v>1297.5414310000001</v>
      </c>
      <c r="AT87" s="3">
        <v>1213.1672739999999</v>
      </c>
      <c r="AU87" s="3">
        <v>959.84551039999997</v>
      </c>
      <c r="AV87" s="3">
        <v>431.32264459999999</v>
      </c>
      <c r="AW87" s="3">
        <v>1750.114722</v>
      </c>
      <c r="AX87" s="3">
        <v>1044.336978</v>
      </c>
      <c r="AY87" s="3">
        <v>774.40296350000006</v>
      </c>
      <c r="AZ87" s="3">
        <v>715.20021580000002</v>
      </c>
      <c r="BA87" s="3">
        <v>409.21599600000002</v>
      </c>
      <c r="BB87" s="3">
        <v>651.56767200000002</v>
      </c>
      <c r="BC87" s="3">
        <v>191.9789452</v>
      </c>
      <c r="BD87" s="3">
        <v>1061.0464549999999</v>
      </c>
      <c r="BE87" s="48" t="s">
        <v>317</v>
      </c>
      <c r="BF87" s="49" t="s">
        <v>341</v>
      </c>
      <c r="BG87" s="3">
        <v>0.79500000000000004</v>
      </c>
      <c r="BH87" s="3">
        <v>0.43099999999999999</v>
      </c>
      <c r="BI87" s="3">
        <v>0.23050000000000001</v>
      </c>
      <c r="BJ87" s="3">
        <v>0.79</v>
      </c>
      <c r="BK87" s="3">
        <v>0.41899999999999998</v>
      </c>
      <c r="BL87" s="3">
        <v>6.0000000000000001E-3</v>
      </c>
      <c r="BM87" s="3">
        <v>0.78300000000000003</v>
      </c>
      <c r="BN87" s="3">
        <v>0.434</v>
      </c>
      <c r="BO87" s="3">
        <v>0.11</v>
      </c>
      <c r="BP87" s="3">
        <v>0.63800000000000001</v>
      </c>
      <c r="BQ87" s="3">
        <v>0.29299999999999998</v>
      </c>
      <c r="BR87" s="3">
        <v>0.53866666699999999</v>
      </c>
      <c r="BS87" s="3">
        <v>0.77700000000000002</v>
      </c>
      <c r="BT87" s="3">
        <v>0.81399999999999995</v>
      </c>
      <c r="BU87" s="3">
        <v>0.20674999999999999</v>
      </c>
      <c r="BV87" s="3">
        <v>0.59599999999999997</v>
      </c>
      <c r="BW87" s="3">
        <v>0.76400000000000001</v>
      </c>
      <c r="BX87" s="3">
        <v>0.438</v>
      </c>
      <c r="BY87" s="3">
        <v>0.22</v>
      </c>
      <c r="BZ87" s="3">
        <v>0.76400000000000001</v>
      </c>
      <c r="CA87" s="3">
        <v>0.52900000000000003</v>
      </c>
      <c r="CB87" s="3">
        <v>0.75600000000000001</v>
      </c>
      <c r="CC87" s="3">
        <v>0.20100000000000001</v>
      </c>
      <c r="CD87" s="3">
        <v>0.183</v>
      </c>
      <c r="CE87" s="3">
        <v>0.73899999999999999</v>
      </c>
      <c r="CF87" s="3">
        <v>0.25700000000000001</v>
      </c>
      <c r="CG87" s="3">
        <v>3.5000000000000003E-2</v>
      </c>
      <c r="CH87" s="3">
        <v>0.73699999999999999</v>
      </c>
      <c r="CI87" s="3">
        <v>0.25700000000000001</v>
      </c>
      <c r="CJ87" s="3">
        <v>0.35466666699999999</v>
      </c>
      <c r="CK87" s="3">
        <v>0.63200000000000001</v>
      </c>
      <c r="CL87" s="3">
        <v>0.503</v>
      </c>
      <c r="CM87" s="3">
        <v>0.01</v>
      </c>
      <c r="CN87" s="3">
        <v>0.67400000000000004</v>
      </c>
      <c r="CO87" s="3">
        <v>0.43</v>
      </c>
      <c r="CP87" s="3">
        <v>0.23266666699999999</v>
      </c>
      <c r="CQ87" s="3">
        <v>0.625</v>
      </c>
      <c r="CR87" s="3">
        <v>0.56200000000000006</v>
      </c>
      <c r="CS87" s="3">
        <v>0.29699999999999999</v>
      </c>
      <c r="CT87" s="48" t="s">
        <v>317</v>
      </c>
      <c r="CU87" s="49" t="s">
        <v>341</v>
      </c>
      <c r="CV87" s="3">
        <v>8.4060000000000006</v>
      </c>
      <c r="CW87" s="3">
        <v>10.048</v>
      </c>
      <c r="CX87" s="3">
        <v>10.477</v>
      </c>
      <c r="CY87" s="3">
        <v>10.08</v>
      </c>
      <c r="CZ87" s="3">
        <v>9.0640000000000001</v>
      </c>
      <c r="DA87" s="3">
        <v>7.1059999999999999</v>
      </c>
      <c r="DB87" s="3">
        <v>10.625999999999999</v>
      </c>
      <c r="DC87" s="3">
        <v>8.8550000000000004</v>
      </c>
      <c r="DD87" s="3">
        <v>9.8979999999999997</v>
      </c>
      <c r="DE87" s="3">
        <v>9.2639999999999993</v>
      </c>
      <c r="DF87" s="3">
        <v>10.084</v>
      </c>
      <c r="DG87" s="3">
        <v>9.5139999999999993</v>
      </c>
      <c r="DH87" s="3">
        <v>7.5179999999999998</v>
      </c>
    </row>
    <row r="88" spans="1:112" x14ac:dyDescent="0.3">
      <c r="A88" s="48" t="s">
        <v>317</v>
      </c>
      <c r="B88" s="49" t="s">
        <v>342</v>
      </c>
      <c r="C88" s="3">
        <v>30.560040000000001</v>
      </c>
      <c r="D88" s="3">
        <v>35.042741999999997</v>
      </c>
      <c r="E88" s="3">
        <v>26.811792000000001</v>
      </c>
      <c r="F88" s="3">
        <v>25.950707999999999</v>
      </c>
      <c r="G88" s="3">
        <v>27.774180000000001</v>
      </c>
      <c r="H88" s="3">
        <v>35.042741999999997</v>
      </c>
      <c r="I88" s="48" t="s">
        <v>317</v>
      </c>
      <c r="J88" s="49" t="s">
        <v>342</v>
      </c>
      <c r="K88" s="3">
        <v>34951.5</v>
      </c>
      <c r="L88" s="48" t="s">
        <v>317</v>
      </c>
      <c r="M88" s="49" t="s">
        <v>342</v>
      </c>
      <c r="N88" s="3">
        <v>2994.0813979999998</v>
      </c>
      <c r="O88" s="3">
        <v>4331.7806200000005</v>
      </c>
      <c r="P88" s="3">
        <v>2267.9435429999999</v>
      </c>
      <c r="Q88" s="3">
        <v>2396.0175599999998</v>
      </c>
      <c r="R88" s="3">
        <v>3086.4368650000001</v>
      </c>
      <c r="S88" s="3">
        <v>4389.7788069999997</v>
      </c>
      <c r="T88" s="3">
        <v>2462.0340080000001</v>
      </c>
      <c r="U88" s="3">
        <v>3037.1687489999999</v>
      </c>
      <c r="V88" s="3">
        <v>2239.42463</v>
      </c>
      <c r="W88" s="3">
        <v>1398.094276</v>
      </c>
      <c r="X88" s="3">
        <v>3286.4927590000002</v>
      </c>
      <c r="Y88" s="3">
        <v>326.35148140000001</v>
      </c>
      <c r="Z88" s="3">
        <v>1254.1470200000001</v>
      </c>
      <c r="AA88" s="48" t="s">
        <v>317</v>
      </c>
      <c r="AB88" s="49" t="s">
        <v>342</v>
      </c>
      <c r="AC88" s="3">
        <v>1089.264966</v>
      </c>
      <c r="AD88" s="3">
        <v>1055.0424860000001</v>
      </c>
      <c r="AE88" s="3">
        <v>677.3473176</v>
      </c>
      <c r="AF88" s="3">
        <v>218.95869769999999</v>
      </c>
      <c r="AG88" s="3">
        <v>1967.311062</v>
      </c>
      <c r="AH88" s="3">
        <v>1577.3965470000001</v>
      </c>
      <c r="AI88" s="3">
        <v>1851.579039</v>
      </c>
      <c r="AJ88" s="3">
        <v>1401.1609900000001</v>
      </c>
      <c r="AK88" s="3">
        <v>595.77733880000005</v>
      </c>
      <c r="AL88" s="3">
        <v>940.04864120000002</v>
      </c>
      <c r="AM88" s="3">
        <v>1594.670975</v>
      </c>
      <c r="AN88" s="3">
        <v>207.50814059999999</v>
      </c>
      <c r="AO88" s="3">
        <v>640.59053470000003</v>
      </c>
      <c r="AP88" s="48" t="s">
        <v>317</v>
      </c>
      <c r="AQ88" s="49" t="s">
        <v>342</v>
      </c>
      <c r="AR88" s="3">
        <v>607.80532000000005</v>
      </c>
      <c r="AS88" s="3">
        <v>1276.6133440000001</v>
      </c>
      <c r="AT88" s="3">
        <v>1193.60006</v>
      </c>
      <c r="AU88" s="3">
        <v>944.36413119999997</v>
      </c>
      <c r="AV88" s="3">
        <v>408.411742</v>
      </c>
      <c r="AW88" s="3">
        <v>1721.8870649999999</v>
      </c>
      <c r="AX88" s="3">
        <v>1027.492833</v>
      </c>
      <c r="AY88" s="3">
        <v>733.26839500000006</v>
      </c>
      <c r="AZ88" s="3">
        <v>677.21036600000002</v>
      </c>
      <c r="BA88" s="3">
        <v>402.61573800000002</v>
      </c>
      <c r="BB88" s="3">
        <v>641.05851600000005</v>
      </c>
      <c r="BC88" s="3">
        <v>188.88251059999999</v>
      </c>
      <c r="BD88" s="3">
        <v>1043.9328029999999</v>
      </c>
      <c r="BE88" s="48" t="s">
        <v>317</v>
      </c>
      <c r="BF88" s="49" t="s">
        <v>342</v>
      </c>
      <c r="BG88" s="3">
        <v>0.74399999999999999</v>
      </c>
      <c r="BH88" s="3">
        <v>0.41599999999999998</v>
      </c>
      <c r="BI88" s="3">
        <v>0.27600000000000002</v>
      </c>
      <c r="BJ88" s="3">
        <v>0.73</v>
      </c>
      <c r="BK88" s="3">
        <v>0.375</v>
      </c>
      <c r="BL88" s="3">
        <v>1.9E-2</v>
      </c>
      <c r="BM88" s="3">
        <v>0.69799999999999995</v>
      </c>
      <c r="BN88" s="3">
        <v>0.40799999999999997</v>
      </c>
      <c r="BO88" s="3">
        <v>0.219</v>
      </c>
      <c r="BP88" s="3">
        <v>0.50800000000000001</v>
      </c>
      <c r="BQ88" s="3">
        <v>0.29399999999999998</v>
      </c>
      <c r="BR88" s="3">
        <v>0.63400000000000001</v>
      </c>
      <c r="BS88" s="3">
        <v>0.71799999999999997</v>
      </c>
      <c r="BT88" s="3">
        <v>0.78100000000000003</v>
      </c>
      <c r="BU88" s="3">
        <v>0.20200000000000001</v>
      </c>
      <c r="BV88" s="3">
        <v>0.54</v>
      </c>
      <c r="BW88" s="3">
        <v>0.77</v>
      </c>
      <c r="BX88" s="3">
        <v>0.52900000000000003</v>
      </c>
      <c r="BY88" s="3">
        <v>0.16300000000000001</v>
      </c>
      <c r="BZ88" s="3">
        <v>0.77</v>
      </c>
      <c r="CA88" s="3">
        <v>0.65449999999999997</v>
      </c>
      <c r="CB88" s="3">
        <v>0.70099999999999996</v>
      </c>
      <c r="CC88" s="3">
        <v>0.20399999999999999</v>
      </c>
      <c r="CD88" s="3">
        <v>0.128</v>
      </c>
      <c r="CE88" s="3">
        <v>0.66200000000000003</v>
      </c>
      <c r="CF88" s="3">
        <v>0.27</v>
      </c>
      <c r="CG88" s="3">
        <v>1.95E-2</v>
      </c>
      <c r="CH88" s="3">
        <v>0.66</v>
      </c>
      <c r="CI88" s="3">
        <v>0.29399999999999998</v>
      </c>
      <c r="CJ88" s="3">
        <v>0.46433333300000001</v>
      </c>
      <c r="CK88" s="3">
        <v>0.60399999999999998</v>
      </c>
      <c r="CL88" s="3">
        <v>0.55900000000000005</v>
      </c>
      <c r="CM88" s="3">
        <v>0.01</v>
      </c>
      <c r="CN88" s="3">
        <v>0.58499999999999996</v>
      </c>
      <c r="CO88" s="3">
        <v>0.52300000000000002</v>
      </c>
      <c r="CP88" s="3">
        <v>0.29699999999999999</v>
      </c>
      <c r="CQ88" s="3">
        <v>0.58799999999999997</v>
      </c>
      <c r="CR88" s="3">
        <v>0.59699999999999998</v>
      </c>
      <c r="CS88" s="3">
        <v>0.41599999999999998</v>
      </c>
      <c r="CT88" s="48" t="s">
        <v>317</v>
      </c>
      <c r="CU88" s="49" t="s">
        <v>342</v>
      </c>
      <c r="CV88" s="3">
        <v>8.8209999999999997</v>
      </c>
      <c r="CW88" s="3">
        <v>10.420999999999999</v>
      </c>
      <c r="CX88" s="3">
        <v>10.718</v>
      </c>
      <c r="CY88" s="3">
        <v>10.561999999999999</v>
      </c>
      <c r="CZ88" s="3">
        <v>9.1560000000000006</v>
      </c>
      <c r="DA88" s="3">
        <v>7.298</v>
      </c>
      <c r="DB88" s="3">
        <v>10.868</v>
      </c>
      <c r="DC88" s="3">
        <v>9.1820000000000004</v>
      </c>
      <c r="DD88" s="3">
        <v>9.8460000000000001</v>
      </c>
      <c r="DE88" s="3">
        <v>9.6820000000000004</v>
      </c>
      <c r="DF88" s="3">
        <v>10.358000000000001</v>
      </c>
      <c r="DG88" s="3">
        <v>9.8989999999999991</v>
      </c>
      <c r="DH88" s="3">
        <v>7.9390000000000001</v>
      </c>
    </row>
    <row r="89" spans="1:112" x14ac:dyDescent="0.3">
      <c r="A89" s="48" t="s">
        <v>317</v>
      </c>
      <c r="B89" s="49" t="s">
        <v>343</v>
      </c>
      <c r="C89" s="3">
        <v>31.286052000000002</v>
      </c>
      <c r="D89" s="3">
        <v>33.801768000000003</v>
      </c>
      <c r="E89" s="3">
        <v>27.039726000000002</v>
      </c>
      <c r="F89" s="3">
        <v>26.170200000000001</v>
      </c>
      <c r="G89" s="3">
        <v>27.765737999999999</v>
      </c>
      <c r="H89" s="3">
        <v>34.055028</v>
      </c>
      <c r="I89" s="48" t="s">
        <v>317</v>
      </c>
      <c r="J89" s="49" t="s">
        <v>343</v>
      </c>
      <c r="K89" s="3">
        <v>35413.5</v>
      </c>
      <c r="L89" s="48" t="s">
        <v>317</v>
      </c>
      <c r="M89" s="49" t="s">
        <v>343</v>
      </c>
      <c r="N89" s="3">
        <v>2965.8205079999998</v>
      </c>
      <c r="O89" s="3">
        <v>4235.0361199999998</v>
      </c>
      <c r="P89" s="3">
        <v>2331.4782759999998</v>
      </c>
      <c r="Q89" s="3">
        <v>2295.4795089999998</v>
      </c>
      <c r="R89" s="3">
        <v>3200.4861089999999</v>
      </c>
      <c r="S89" s="3">
        <v>4445.1176889999997</v>
      </c>
      <c r="T89" s="3">
        <v>2378.2726459999999</v>
      </c>
      <c r="U89" s="3">
        <v>2975.648322</v>
      </c>
      <c r="V89" s="3">
        <v>2088.4412790000001</v>
      </c>
      <c r="W89" s="3">
        <v>1612.3640789999999</v>
      </c>
      <c r="X89" s="3">
        <v>3329.8419690000001</v>
      </c>
      <c r="Y89" s="3">
        <v>303.47471039999999</v>
      </c>
      <c r="Z89" s="3">
        <v>1239.412004</v>
      </c>
      <c r="AA89" s="48" t="s">
        <v>317</v>
      </c>
      <c r="AB89" s="49" t="s">
        <v>343</v>
      </c>
      <c r="AC89" s="3">
        <v>950.06609279999998</v>
      </c>
      <c r="AD89" s="3">
        <v>988.23956250000003</v>
      </c>
      <c r="AE89" s="3">
        <v>634.45920469999999</v>
      </c>
      <c r="AF89" s="3">
        <v>205.09472410000001</v>
      </c>
      <c r="AG89" s="3">
        <v>1715.9053060000001</v>
      </c>
      <c r="AH89" s="3">
        <v>1477.5193360000001</v>
      </c>
      <c r="AI89" s="3">
        <v>1734.3412069999999</v>
      </c>
      <c r="AJ89" s="3">
        <v>1222.104437</v>
      </c>
      <c r="AK89" s="3">
        <v>519.64202130000001</v>
      </c>
      <c r="AL89" s="3">
        <v>880.52686970000002</v>
      </c>
      <c r="AM89" s="3">
        <v>1493.6999860000001</v>
      </c>
      <c r="AN89" s="3">
        <v>194.3691906</v>
      </c>
      <c r="AO89" s="3">
        <v>600.0297789</v>
      </c>
      <c r="AP89" s="48" t="s">
        <v>317</v>
      </c>
      <c r="AQ89" s="49" t="s">
        <v>343</v>
      </c>
      <c r="AR89" s="3">
        <v>597.42815599999994</v>
      </c>
      <c r="AS89" s="3">
        <v>1255.685256</v>
      </c>
      <c r="AT89" s="3">
        <v>1174.0328460000001</v>
      </c>
      <c r="AU89" s="3">
        <v>928.88275199999998</v>
      </c>
      <c r="AV89" s="3">
        <v>401.4388586</v>
      </c>
      <c r="AW89" s="3">
        <v>1693.659408</v>
      </c>
      <c r="AX89" s="3">
        <v>1010.648688</v>
      </c>
      <c r="AY89" s="3">
        <v>720.74917849999997</v>
      </c>
      <c r="AZ89" s="3">
        <v>665.64823779999995</v>
      </c>
      <c r="BA89" s="3">
        <v>396.01548000000003</v>
      </c>
      <c r="BB89" s="3">
        <v>630.54935999999998</v>
      </c>
      <c r="BC89" s="3">
        <v>185.78607600000001</v>
      </c>
      <c r="BD89" s="3">
        <v>1026.81915</v>
      </c>
      <c r="BE89" s="48" t="s">
        <v>317</v>
      </c>
      <c r="BF89" s="49" t="s">
        <v>343</v>
      </c>
      <c r="BG89" s="3">
        <v>0.64700000000000002</v>
      </c>
      <c r="BH89" s="3">
        <v>0.38100000000000001</v>
      </c>
      <c r="BI89" s="3">
        <v>0.32850000000000001</v>
      </c>
      <c r="BJ89" s="3">
        <v>0.62</v>
      </c>
      <c r="BK89" s="3">
        <v>0.32800000000000001</v>
      </c>
      <c r="BL89" s="3">
        <v>0.06</v>
      </c>
      <c r="BM89" s="3">
        <v>0.56299999999999994</v>
      </c>
      <c r="BN89" s="3">
        <v>0.373</v>
      </c>
      <c r="BO89" s="3">
        <v>0.36499999999999999</v>
      </c>
      <c r="BP89" s="3">
        <v>0.36099999999999999</v>
      </c>
      <c r="BQ89" s="3">
        <v>0.29899999999999999</v>
      </c>
      <c r="BR89" s="3">
        <v>0.71233333300000001</v>
      </c>
      <c r="BS89" s="3">
        <v>0.59699999999999998</v>
      </c>
      <c r="BT89" s="3">
        <v>0.73899999999999999</v>
      </c>
      <c r="BU89" s="3">
        <v>0.195583334</v>
      </c>
      <c r="BV89" s="3">
        <v>0.433</v>
      </c>
      <c r="BW89" s="3">
        <v>0.76</v>
      </c>
      <c r="BX89" s="3">
        <v>0.625</v>
      </c>
      <c r="BY89" s="3">
        <v>0.157</v>
      </c>
      <c r="BZ89" s="3">
        <v>0.76</v>
      </c>
      <c r="CA89" s="3">
        <v>0.70499999999999996</v>
      </c>
      <c r="CB89" s="3">
        <v>0.58099999999999996</v>
      </c>
      <c r="CC89" s="3">
        <v>0.21099999999999999</v>
      </c>
      <c r="CD89" s="3">
        <v>6.2666666999999995E-2</v>
      </c>
      <c r="CE89" s="3">
        <v>0.55400000000000005</v>
      </c>
      <c r="CF89" s="3">
        <v>0.27800000000000002</v>
      </c>
      <c r="CG89" s="3">
        <v>5.3499999999999999E-2</v>
      </c>
      <c r="CH89" s="3">
        <v>0.55400000000000005</v>
      </c>
      <c r="CI89" s="3">
        <v>0.35899999999999999</v>
      </c>
      <c r="CJ89" s="3">
        <v>0.57366666700000002</v>
      </c>
      <c r="CK89" s="3">
        <v>0.51700000000000002</v>
      </c>
      <c r="CL89" s="3">
        <v>0.59099999999999997</v>
      </c>
      <c r="CM89" s="3">
        <v>0.01</v>
      </c>
      <c r="CN89" s="3">
        <v>0.48699999999999999</v>
      </c>
      <c r="CO89" s="3">
        <v>0.57699999999999996</v>
      </c>
      <c r="CP89" s="3">
        <v>0.36699999999999999</v>
      </c>
      <c r="CQ89" s="3">
        <v>0.48599999999999999</v>
      </c>
      <c r="CR89" s="3">
        <v>0.61599999999999999</v>
      </c>
      <c r="CS89" s="3">
        <v>0.53600000000000003</v>
      </c>
      <c r="CT89" s="48" t="s">
        <v>317</v>
      </c>
      <c r="CU89" s="49" t="s">
        <v>343</v>
      </c>
      <c r="CV89" s="3">
        <v>9.0440000000000005</v>
      </c>
      <c r="CW89" s="3">
        <v>10.66</v>
      </c>
      <c r="CX89" s="3">
        <v>10.669</v>
      </c>
      <c r="CY89" s="3">
        <v>10.670999999999999</v>
      </c>
      <c r="CZ89" s="3">
        <v>9.2219999999999995</v>
      </c>
      <c r="DA89" s="3">
        <v>7.41</v>
      </c>
      <c r="DB89" s="3">
        <v>10.904</v>
      </c>
      <c r="DC89" s="3">
        <v>9.3640000000000008</v>
      </c>
      <c r="DD89" s="3">
        <v>9.7100000000000009</v>
      </c>
      <c r="DE89" s="3">
        <v>10.210000000000001</v>
      </c>
      <c r="DF89" s="3">
        <v>10.413</v>
      </c>
      <c r="DG89" s="3">
        <v>9.9979999999999993</v>
      </c>
      <c r="DH89" s="3">
        <v>8.1519999999999992</v>
      </c>
    </row>
    <row r="90" spans="1:112" x14ac:dyDescent="0.3">
      <c r="A90" s="48" t="s">
        <v>317</v>
      </c>
      <c r="B90" s="49" t="s">
        <v>344</v>
      </c>
      <c r="C90" s="3">
        <v>30.652902000000001</v>
      </c>
      <c r="D90" s="3">
        <v>35.042741999999997</v>
      </c>
      <c r="E90" s="3">
        <v>29.547000000000001</v>
      </c>
      <c r="F90" s="3">
        <v>26.997516000000001</v>
      </c>
      <c r="G90" s="3">
        <v>29.589210000000001</v>
      </c>
      <c r="H90" s="3">
        <v>35.051183999999999</v>
      </c>
      <c r="I90" s="48" t="s">
        <v>317</v>
      </c>
      <c r="J90" s="49" t="s">
        <v>344</v>
      </c>
      <c r="K90" s="3">
        <v>37135.5</v>
      </c>
      <c r="L90" s="48" t="s">
        <v>317</v>
      </c>
      <c r="M90" s="49" t="s">
        <v>344</v>
      </c>
      <c r="N90" s="3">
        <v>3043.6213750000002</v>
      </c>
      <c r="O90" s="3">
        <v>4277.805719</v>
      </c>
      <c r="P90" s="3">
        <v>2816.7887329999999</v>
      </c>
      <c r="Q90" s="3">
        <v>2654.8845270000002</v>
      </c>
      <c r="R90" s="3">
        <v>3151.1160730000001</v>
      </c>
      <c r="S90" s="3">
        <v>4388.259892</v>
      </c>
      <c r="T90" s="3">
        <v>2311.5823610000002</v>
      </c>
      <c r="U90" s="3">
        <v>3159.351032</v>
      </c>
      <c r="V90" s="3">
        <v>2096.668232</v>
      </c>
      <c r="W90" s="3">
        <v>1898.67362</v>
      </c>
      <c r="X90" s="3">
        <v>3287.095581</v>
      </c>
      <c r="Y90" s="3">
        <v>352.60096329999999</v>
      </c>
      <c r="Z90" s="3">
        <v>1396.0865249999999</v>
      </c>
      <c r="AA90" s="48" t="s">
        <v>317</v>
      </c>
      <c r="AB90" s="49" t="s">
        <v>344</v>
      </c>
      <c r="AC90" s="3">
        <v>1005.475353</v>
      </c>
      <c r="AD90" s="3">
        <v>993.41617280000003</v>
      </c>
      <c r="AE90" s="3">
        <v>637.78263779999997</v>
      </c>
      <c r="AF90" s="3">
        <v>206.16905410000001</v>
      </c>
      <c r="AG90" s="3">
        <v>1815.9794420000001</v>
      </c>
      <c r="AH90" s="3">
        <v>1485.258898</v>
      </c>
      <c r="AI90" s="3">
        <v>1743.426058</v>
      </c>
      <c r="AJ90" s="3">
        <v>1293.3793760000001</v>
      </c>
      <c r="AK90" s="3">
        <v>549.94831269999997</v>
      </c>
      <c r="AL90" s="3">
        <v>885.13925789999996</v>
      </c>
      <c r="AM90" s="3">
        <v>1501.524306</v>
      </c>
      <c r="AN90" s="3">
        <v>195.387338</v>
      </c>
      <c r="AO90" s="3">
        <v>603.17286330000002</v>
      </c>
      <c r="AP90" s="48" t="s">
        <v>317</v>
      </c>
      <c r="AQ90" s="49" t="s">
        <v>344</v>
      </c>
      <c r="AR90" s="3">
        <v>591.49834799999996</v>
      </c>
      <c r="AS90" s="3">
        <v>1261.66471</v>
      </c>
      <c r="AT90" s="3">
        <v>1179.6234790000001</v>
      </c>
      <c r="AU90" s="3">
        <v>933.30600319999996</v>
      </c>
      <c r="AV90" s="3">
        <v>397.45435379999998</v>
      </c>
      <c r="AW90" s="3">
        <v>1701.724453</v>
      </c>
      <c r="AX90" s="3">
        <v>1015.461301</v>
      </c>
      <c r="AY90" s="3">
        <v>713.59534050000002</v>
      </c>
      <c r="AZ90" s="3">
        <v>659.04130740000005</v>
      </c>
      <c r="BA90" s="3">
        <v>397.90126800000002</v>
      </c>
      <c r="BB90" s="3">
        <v>633.55197599999997</v>
      </c>
      <c r="BC90" s="3">
        <v>186.67077159999999</v>
      </c>
      <c r="BD90" s="3">
        <v>1031.7087650000001</v>
      </c>
      <c r="BE90" s="48" t="s">
        <v>317</v>
      </c>
      <c r="BF90" s="49" t="s">
        <v>344</v>
      </c>
      <c r="BG90" s="3">
        <v>0.49299999999999999</v>
      </c>
      <c r="BH90" s="3">
        <v>0.316</v>
      </c>
      <c r="BI90" s="3">
        <v>0.3755</v>
      </c>
      <c r="BJ90" s="3">
        <v>0.44</v>
      </c>
      <c r="BK90" s="3">
        <v>0.28499999999999998</v>
      </c>
      <c r="BL90" s="3">
        <v>0.12</v>
      </c>
      <c r="BM90" s="3">
        <v>0.35099999999999998</v>
      </c>
      <c r="BN90" s="3">
        <v>0.33</v>
      </c>
      <c r="BO90" s="3">
        <v>0.49149999999999999</v>
      </c>
      <c r="BP90" s="3">
        <v>0.246</v>
      </c>
      <c r="BQ90" s="3">
        <v>0.30399999999999999</v>
      </c>
      <c r="BR90" s="3">
        <v>0.76466666699999997</v>
      </c>
      <c r="BS90" s="3">
        <v>0.434</v>
      </c>
      <c r="BT90" s="3">
        <v>0.71499999999999997</v>
      </c>
      <c r="BU90" s="3">
        <v>0.202583334</v>
      </c>
      <c r="BV90" s="3">
        <v>0.29699999999999999</v>
      </c>
      <c r="BW90" s="3">
        <v>0.72499999999999998</v>
      </c>
      <c r="BX90" s="3">
        <v>0.70099999999999996</v>
      </c>
      <c r="BY90" s="3">
        <v>0.17599999999999999</v>
      </c>
      <c r="BZ90" s="3">
        <v>0.72499999999999998</v>
      </c>
      <c r="CA90" s="3">
        <v>0.71450000000000002</v>
      </c>
      <c r="CB90" s="3">
        <v>0.44500000000000001</v>
      </c>
      <c r="CC90" s="3">
        <v>0.22900000000000001</v>
      </c>
      <c r="CD90" s="3">
        <v>2.9666667000000001E-2</v>
      </c>
      <c r="CE90" s="3">
        <v>0.39800000000000002</v>
      </c>
      <c r="CF90" s="3">
        <v>0.28999999999999998</v>
      </c>
      <c r="CG90" s="3">
        <v>0.13900000000000001</v>
      </c>
      <c r="CH90" s="3">
        <v>0.39900000000000002</v>
      </c>
      <c r="CI90" s="3">
        <v>0.44900000000000001</v>
      </c>
      <c r="CJ90" s="3">
        <v>0.65666666699999998</v>
      </c>
      <c r="CK90" s="3">
        <v>0.41499999999999998</v>
      </c>
      <c r="CL90" s="3">
        <v>0.59099999999999997</v>
      </c>
      <c r="CM90" s="3">
        <v>0.01</v>
      </c>
      <c r="CN90" s="3">
        <v>0.32700000000000001</v>
      </c>
      <c r="CO90" s="3">
        <v>0.60899999999999999</v>
      </c>
      <c r="CP90" s="3">
        <v>0.42833333299999998</v>
      </c>
      <c r="CQ90" s="3">
        <v>0.371</v>
      </c>
      <c r="CR90" s="3">
        <v>0.60599999999999998</v>
      </c>
      <c r="CS90" s="3">
        <v>0.64500000000000002</v>
      </c>
      <c r="CT90" s="48" t="s">
        <v>317</v>
      </c>
      <c r="CU90" s="49" t="s">
        <v>344</v>
      </c>
      <c r="CV90" s="3">
        <v>8.86</v>
      </c>
      <c r="CW90" s="3">
        <v>10.654999999999999</v>
      </c>
      <c r="CX90" s="3">
        <v>10.488</v>
      </c>
      <c r="CY90" s="3">
        <v>10.148999999999999</v>
      </c>
      <c r="CZ90" s="3">
        <v>9.1300000000000008</v>
      </c>
      <c r="DA90" s="3">
        <v>7.4260000000000002</v>
      </c>
      <c r="DB90" s="3">
        <v>10.641999999999999</v>
      </c>
      <c r="DC90" s="3">
        <v>9.4009999999999998</v>
      </c>
      <c r="DD90" s="3">
        <v>9.452</v>
      </c>
      <c r="DE90" s="3">
        <v>10.404999999999999</v>
      </c>
      <c r="DF90" s="3">
        <v>10.246</v>
      </c>
      <c r="DG90" s="3">
        <v>9.827</v>
      </c>
      <c r="DH90" s="3">
        <v>8.1579999999999995</v>
      </c>
    </row>
    <row r="91" spans="1:112" x14ac:dyDescent="0.3">
      <c r="A91" s="48" t="s">
        <v>317</v>
      </c>
      <c r="B91" s="49" t="s">
        <v>345</v>
      </c>
      <c r="C91" s="3">
        <v>29.741166</v>
      </c>
      <c r="D91" s="3">
        <v>38.022767999999999</v>
      </c>
      <c r="E91" s="3">
        <v>32.045831999999997</v>
      </c>
      <c r="F91" s="3">
        <v>31.015908</v>
      </c>
      <c r="G91" s="3">
        <v>31.446449999999999</v>
      </c>
      <c r="H91" s="3">
        <v>38.022767999999999</v>
      </c>
      <c r="I91" s="48" t="s">
        <v>317</v>
      </c>
      <c r="J91" s="49" t="s">
        <v>345</v>
      </c>
      <c r="K91" s="3">
        <v>38012</v>
      </c>
      <c r="L91" s="48" t="s">
        <v>317</v>
      </c>
      <c r="M91" s="49" t="s">
        <v>345</v>
      </c>
      <c r="N91" s="3">
        <v>4085.1094640000001</v>
      </c>
      <c r="O91" s="3">
        <v>4984.2110249999996</v>
      </c>
      <c r="P91" s="3">
        <v>4062.8567410000001</v>
      </c>
      <c r="Q91" s="3">
        <v>3619.5753300000001</v>
      </c>
      <c r="R91" s="3">
        <v>4170.3294550000001</v>
      </c>
      <c r="S91" s="3">
        <v>5185.0392970000003</v>
      </c>
      <c r="T91" s="3">
        <v>2870.594756</v>
      </c>
      <c r="U91" s="3">
        <v>4668.2581700000001</v>
      </c>
      <c r="V91" s="3">
        <v>2881.0732090000001</v>
      </c>
      <c r="W91" s="3">
        <v>3411.9499959999998</v>
      </c>
      <c r="X91" s="3">
        <v>4043.536157</v>
      </c>
      <c r="Y91" s="3">
        <v>610.36875129999999</v>
      </c>
      <c r="Z91" s="3">
        <v>2207.5424910000002</v>
      </c>
      <c r="AA91" s="48" t="s">
        <v>317</v>
      </c>
      <c r="AB91" s="49" t="s">
        <v>345</v>
      </c>
      <c r="AC91" s="3">
        <v>770.65892810000003</v>
      </c>
      <c r="AD91" s="3">
        <v>784.33489850000001</v>
      </c>
      <c r="AE91" s="3">
        <v>503.55046979999997</v>
      </c>
      <c r="AF91" s="3">
        <v>162.77728160000001</v>
      </c>
      <c r="AG91" s="3">
        <v>1391.8797380000001</v>
      </c>
      <c r="AH91" s="3">
        <v>1172.6609840000001</v>
      </c>
      <c r="AI91" s="3">
        <v>1376.492489</v>
      </c>
      <c r="AJ91" s="3">
        <v>991.32650090000004</v>
      </c>
      <c r="AK91" s="3">
        <v>421.51463580000001</v>
      </c>
      <c r="AL91" s="3">
        <v>698.84669580000002</v>
      </c>
      <c r="AM91" s="3">
        <v>1185.503062</v>
      </c>
      <c r="AN91" s="3">
        <v>154.26476049999999</v>
      </c>
      <c r="AO91" s="3">
        <v>476.22490900000003</v>
      </c>
      <c r="AP91" s="48" t="s">
        <v>317</v>
      </c>
      <c r="AQ91" s="49" t="s">
        <v>345</v>
      </c>
      <c r="AR91" s="3">
        <v>609.28777200000002</v>
      </c>
      <c r="AS91" s="3">
        <v>1264.654436</v>
      </c>
      <c r="AT91" s="3">
        <v>1182.418795</v>
      </c>
      <c r="AU91" s="3">
        <v>935.51762880000001</v>
      </c>
      <c r="AV91" s="3">
        <v>409.4078682</v>
      </c>
      <c r="AW91" s="3">
        <v>1705.756975</v>
      </c>
      <c r="AX91" s="3">
        <v>1017.867607</v>
      </c>
      <c r="AY91" s="3">
        <v>735.05685449999999</v>
      </c>
      <c r="AZ91" s="3">
        <v>678.86209859999997</v>
      </c>
      <c r="BA91" s="3">
        <v>398.84416199999998</v>
      </c>
      <c r="BB91" s="3">
        <v>635.05328399999996</v>
      </c>
      <c r="BC91" s="3">
        <v>187.11311939999999</v>
      </c>
      <c r="BD91" s="3">
        <v>1034.1535719999999</v>
      </c>
      <c r="BE91" s="48" t="s">
        <v>317</v>
      </c>
      <c r="BF91" s="49" t="s">
        <v>345</v>
      </c>
      <c r="BG91" s="3">
        <v>0.25600000000000001</v>
      </c>
      <c r="BH91" s="3">
        <v>0.222</v>
      </c>
      <c r="BI91" s="3">
        <v>0.42399999999999999</v>
      </c>
      <c r="BJ91" s="3">
        <v>0.22600000000000001</v>
      </c>
      <c r="BK91" s="3">
        <v>0.224</v>
      </c>
      <c r="BL91" s="3">
        <v>0.1885</v>
      </c>
      <c r="BM91" s="3">
        <v>0.189</v>
      </c>
      <c r="BN91" s="3">
        <v>0.26800000000000002</v>
      </c>
      <c r="BO91" s="3">
        <v>0.5635</v>
      </c>
      <c r="BP91" s="3">
        <v>0.14499999999999999</v>
      </c>
      <c r="BQ91" s="3">
        <v>0.28799999999999998</v>
      </c>
      <c r="BR91" s="3">
        <v>0.79266666699999999</v>
      </c>
      <c r="BS91" s="3">
        <v>0.24199999999999999</v>
      </c>
      <c r="BT91" s="3">
        <v>0.68100000000000005</v>
      </c>
      <c r="BU91" s="3">
        <v>0.224833334</v>
      </c>
      <c r="BV91" s="3">
        <v>0.17899999999999999</v>
      </c>
      <c r="BW91" s="3">
        <v>0.64700000000000002</v>
      </c>
      <c r="BX91" s="3">
        <v>0.75</v>
      </c>
      <c r="BY91" s="3">
        <v>0.157</v>
      </c>
      <c r="BZ91" s="3">
        <v>0.64700000000000002</v>
      </c>
      <c r="CA91" s="3">
        <v>0.67749999999999999</v>
      </c>
      <c r="CB91" s="3">
        <v>0.249</v>
      </c>
      <c r="CC91" s="3">
        <v>0.251</v>
      </c>
      <c r="CD91" s="3">
        <v>2.5666667000000001E-2</v>
      </c>
      <c r="CE91" s="3">
        <v>0.24299999999999999</v>
      </c>
      <c r="CF91" s="3">
        <v>0.30399999999999999</v>
      </c>
      <c r="CG91" s="3">
        <v>0.26700000000000002</v>
      </c>
      <c r="CH91" s="3">
        <v>0.24099999999999999</v>
      </c>
      <c r="CI91" s="3">
        <v>0.50700000000000001</v>
      </c>
      <c r="CJ91" s="3">
        <v>0.72366666700000004</v>
      </c>
      <c r="CK91" s="3">
        <v>0.28399999999999997</v>
      </c>
      <c r="CL91" s="3">
        <v>0.56599999999999995</v>
      </c>
      <c r="CM91" s="3">
        <v>0.01</v>
      </c>
      <c r="CN91" s="3">
        <v>0.19900000000000001</v>
      </c>
      <c r="CO91" s="3">
        <v>0.60199999999999998</v>
      </c>
      <c r="CP91" s="3">
        <v>0.47599999999999998</v>
      </c>
      <c r="CQ91" s="3">
        <v>0.26</v>
      </c>
      <c r="CR91" s="3">
        <v>0.56899999999999995</v>
      </c>
      <c r="CS91" s="3">
        <v>0.74399999999999999</v>
      </c>
      <c r="CT91" s="48" t="s">
        <v>317</v>
      </c>
      <c r="CU91" s="49" t="s">
        <v>345</v>
      </c>
      <c r="CV91" s="3">
        <v>8.7010000000000005</v>
      </c>
      <c r="CW91" s="3">
        <v>10.352</v>
      </c>
      <c r="CX91" s="3">
        <v>9.9489999999999998</v>
      </c>
      <c r="CY91" s="3">
        <v>9.3610000000000007</v>
      </c>
      <c r="CZ91" s="3">
        <v>8.8420000000000005</v>
      </c>
      <c r="DA91" s="3">
        <v>7.5629999999999997</v>
      </c>
      <c r="DB91" s="3">
        <v>10.122</v>
      </c>
      <c r="DC91" s="3">
        <v>9.2110000000000003</v>
      </c>
      <c r="DD91" s="3">
        <v>8.9949999999999992</v>
      </c>
      <c r="DE91" s="3">
        <v>10.212999999999999</v>
      </c>
      <c r="DF91" s="3">
        <v>9.859</v>
      </c>
      <c r="DG91" s="3">
        <v>9.4009999999999998</v>
      </c>
      <c r="DH91" s="3">
        <v>7.9980000000000002</v>
      </c>
    </row>
    <row r="92" spans="1:112" x14ac:dyDescent="0.3">
      <c r="A92" s="48" t="s">
        <v>317</v>
      </c>
      <c r="B92" s="49" t="s">
        <v>346</v>
      </c>
      <c r="C92" s="3">
        <v>32.856264000000003</v>
      </c>
      <c r="D92" s="3">
        <v>41.222285999999997</v>
      </c>
      <c r="E92" s="3">
        <v>32.172462000000003</v>
      </c>
      <c r="F92" s="3">
        <v>31.142537999999998</v>
      </c>
      <c r="G92" s="3">
        <v>31.893875999999999</v>
      </c>
      <c r="H92" s="3">
        <v>47.688858000000003</v>
      </c>
      <c r="I92" s="48" t="s">
        <v>317</v>
      </c>
      <c r="J92" s="49" t="s">
        <v>346</v>
      </c>
      <c r="K92" s="3">
        <v>38179.5</v>
      </c>
      <c r="L92" s="48" t="s">
        <v>317</v>
      </c>
      <c r="M92" s="49" t="s">
        <v>346</v>
      </c>
      <c r="N92" s="3">
        <v>5946.8348649999998</v>
      </c>
      <c r="O92" s="3">
        <v>6892.0301760000002</v>
      </c>
      <c r="P92" s="3">
        <v>4333.4552039999999</v>
      </c>
      <c r="Q92" s="3">
        <v>4058.57312</v>
      </c>
      <c r="R92" s="3">
        <v>5715.7368200000001</v>
      </c>
      <c r="S92" s="3">
        <v>6713.748861</v>
      </c>
      <c r="T92" s="3">
        <v>3952.5116680000001</v>
      </c>
      <c r="U92" s="3">
        <v>6066.1872210000001</v>
      </c>
      <c r="V92" s="3">
        <v>4652.6200140000001</v>
      </c>
      <c r="W92" s="3">
        <v>4534.1416159999999</v>
      </c>
      <c r="X92" s="3">
        <v>5567.9923509999999</v>
      </c>
      <c r="Y92" s="3">
        <v>804.44712879999997</v>
      </c>
      <c r="Z92" s="3">
        <v>2773.6387930000001</v>
      </c>
      <c r="AA92" s="48" t="s">
        <v>317</v>
      </c>
      <c r="AB92" s="49" t="s">
        <v>346</v>
      </c>
      <c r="AC92" s="3">
        <v>815.33480799999995</v>
      </c>
      <c r="AD92" s="3">
        <v>788.40936550000004</v>
      </c>
      <c r="AE92" s="3">
        <v>506.16631640000003</v>
      </c>
      <c r="AF92" s="3">
        <v>163.62287789999999</v>
      </c>
      <c r="AG92" s="3">
        <v>1472.5684180000001</v>
      </c>
      <c r="AH92" s="3">
        <v>1178.7527299999999</v>
      </c>
      <c r="AI92" s="3">
        <v>1383.6430989999999</v>
      </c>
      <c r="AJ92" s="3">
        <v>1048.7947039999999</v>
      </c>
      <c r="AK92" s="3">
        <v>445.95026689999997</v>
      </c>
      <c r="AL92" s="3">
        <v>702.47706830000004</v>
      </c>
      <c r="AM92" s="3">
        <v>1191.661519</v>
      </c>
      <c r="AN92" s="3">
        <v>155.06613580000001</v>
      </c>
      <c r="AO92" s="3">
        <v>478.69880460000002</v>
      </c>
      <c r="AP92" s="48" t="s">
        <v>317</v>
      </c>
      <c r="AQ92" s="49" t="s">
        <v>346</v>
      </c>
      <c r="AR92" s="3">
        <v>612.25267599999995</v>
      </c>
      <c r="AS92" s="3">
        <v>1288.5722510000001</v>
      </c>
      <c r="AT92" s="3">
        <v>1204.7813249999999</v>
      </c>
      <c r="AU92" s="3">
        <v>953.21063360000005</v>
      </c>
      <c r="AV92" s="3">
        <v>411.40012059999998</v>
      </c>
      <c r="AW92" s="3">
        <v>1738.0171539999999</v>
      </c>
      <c r="AX92" s="3">
        <v>1037.118058</v>
      </c>
      <c r="AY92" s="3">
        <v>738.63377349999996</v>
      </c>
      <c r="AZ92" s="3">
        <v>682.16556379999997</v>
      </c>
      <c r="BA92" s="3">
        <v>406.387314</v>
      </c>
      <c r="BB92" s="3">
        <v>647.06374800000003</v>
      </c>
      <c r="BC92" s="3">
        <v>190.65190179999999</v>
      </c>
      <c r="BD92" s="3">
        <v>1053.712033</v>
      </c>
      <c r="BE92" s="48" t="s">
        <v>317</v>
      </c>
      <c r="BF92" s="49" t="s">
        <v>346</v>
      </c>
      <c r="BG92" s="3">
        <v>0.109</v>
      </c>
      <c r="BH92" s="3">
        <v>0.14299999999999999</v>
      </c>
      <c r="BI92" s="3">
        <v>0.46850000000000003</v>
      </c>
      <c r="BJ92" s="3">
        <v>9.4E-2</v>
      </c>
      <c r="BK92" s="3">
        <v>0.16800000000000001</v>
      </c>
      <c r="BL92" s="3">
        <v>0.28749999999999998</v>
      </c>
      <c r="BM92" s="3">
        <v>8.8999999999999996E-2</v>
      </c>
      <c r="BN92" s="3">
        <v>0.22900000000000001</v>
      </c>
      <c r="BO92" s="3">
        <v>0.59650000000000003</v>
      </c>
      <c r="BP92" s="3">
        <v>6.2E-2</v>
      </c>
      <c r="BQ92" s="3">
        <v>0.23</v>
      </c>
      <c r="BR92" s="3">
        <v>0.79133333299999997</v>
      </c>
      <c r="BS92" s="3">
        <v>0.106</v>
      </c>
      <c r="BT92" s="3">
        <v>0.65100000000000002</v>
      </c>
      <c r="BU92" s="3">
        <v>0.258583334</v>
      </c>
      <c r="BV92" s="3">
        <v>0.08</v>
      </c>
      <c r="BW92" s="3">
        <v>0.51500000000000001</v>
      </c>
      <c r="BX92" s="3">
        <v>0.74099999999999999</v>
      </c>
      <c r="BY92" s="3">
        <v>0.12</v>
      </c>
      <c r="BZ92" s="3">
        <v>0.51500000000000001</v>
      </c>
      <c r="CA92" s="3">
        <v>0.60299999999999998</v>
      </c>
      <c r="CB92" s="3">
        <v>0.107</v>
      </c>
      <c r="CC92" s="3">
        <v>0.26</v>
      </c>
      <c r="CD92" s="3">
        <v>4.8666666999999997E-2</v>
      </c>
      <c r="CE92" s="3">
        <v>0.106</v>
      </c>
      <c r="CF92" s="3">
        <v>0.29699999999999999</v>
      </c>
      <c r="CG92" s="3">
        <v>0.40250000000000002</v>
      </c>
      <c r="CH92" s="3">
        <v>0.106</v>
      </c>
      <c r="CI92" s="3">
        <v>0.497</v>
      </c>
      <c r="CJ92" s="3">
        <v>0.79133333299999997</v>
      </c>
      <c r="CK92" s="3">
        <v>0.14099999999999999</v>
      </c>
      <c r="CL92" s="3">
        <v>0.46600000000000003</v>
      </c>
      <c r="CM92" s="3">
        <v>0.01</v>
      </c>
      <c r="CN92" s="3">
        <v>0.11</v>
      </c>
      <c r="CO92" s="3">
        <v>0.501</v>
      </c>
      <c r="CP92" s="3">
        <v>0.52266666699999997</v>
      </c>
      <c r="CQ92" s="3">
        <v>0.13200000000000001</v>
      </c>
      <c r="CR92" s="3">
        <v>0.46600000000000003</v>
      </c>
      <c r="CS92" s="3">
        <v>0.79700000000000004</v>
      </c>
      <c r="CT92" s="48" t="s">
        <v>317</v>
      </c>
      <c r="CU92" s="49" t="s">
        <v>346</v>
      </c>
      <c r="CV92" s="3">
        <v>8.4510000000000005</v>
      </c>
      <c r="CW92" s="3">
        <v>9.67</v>
      </c>
      <c r="CX92" s="3">
        <v>9.2550000000000008</v>
      </c>
      <c r="CY92" s="3">
        <v>8.6639999999999997</v>
      </c>
      <c r="CZ92" s="3">
        <v>8.3409999999999993</v>
      </c>
      <c r="DA92" s="3">
        <v>7.782</v>
      </c>
      <c r="DB92" s="3">
        <v>9.5299999999999994</v>
      </c>
      <c r="DC92" s="3">
        <v>8.7940000000000005</v>
      </c>
      <c r="DD92" s="3">
        <v>8.4949999999999992</v>
      </c>
      <c r="DE92" s="3">
        <v>9.6839999999999993</v>
      </c>
      <c r="DF92" s="3">
        <v>9.1140000000000008</v>
      </c>
      <c r="DG92" s="3">
        <v>8.7469999999999999</v>
      </c>
      <c r="DH92" s="3">
        <v>7.5490000000000004</v>
      </c>
    </row>
    <row r="93" spans="1:112" x14ac:dyDescent="0.3">
      <c r="A93" s="48" t="s">
        <v>317</v>
      </c>
      <c r="B93" s="49" t="s">
        <v>347</v>
      </c>
      <c r="C93" s="3">
        <v>30.610692</v>
      </c>
      <c r="D93" s="3">
        <v>39.998196</v>
      </c>
      <c r="E93" s="3">
        <v>35.380422000000003</v>
      </c>
      <c r="F93" s="3">
        <v>32.628329999999998</v>
      </c>
      <c r="G93" s="3">
        <v>32.628329999999998</v>
      </c>
      <c r="H93" s="3">
        <v>39.998196</v>
      </c>
      <c r="I93" s="48" t="s">
        <v>317</v>
      </c>
      <c r="J93" s="49" t="s">
        <v>347</v>
      </c>
      <c r="K93" s="3">
        <v>38181.5</v>
      </c>
      <c r="L93" s="48" t="s">
        <v>317</v>
      </c>
      <c r="M93" s="49" t="s">
        <v>347</v>
      </c>
      <c r="N93" s="3">
        <v>7162.9402140000002</v>
      </c>
      <c r="O93" s="3">
        <v>7933.3948129999999</v>
      </c>
      <c r="P93" s="3">
        <v>4547.1812419999997</v>
      </c>
      <c r="Q93" s="3">
        <v>4087.0876779999999</v>
      </c>
      <c r="R93" s="3">
        <v>7026.651965</v>
      </c>
      <c r="S93" s="3">
        <v>7835.2208579999997</v>
      </c>
      <c r="T93" s="3">
        <v>4704.6562119999999</v>
      </c>
      <c r="U93" s="3">
        <v>7819.7219050000003</v>
      </c>
      <c r="V93" s="3">
        <v>5860.1761759999999</v>
      </c>
      <c r="W93" s="3">
        <v>4619.4037179999996</v>
      </c>
      <c r="X93" s="3">
        <v>6556.4196849999998</v>
      </c>
      <c r="Y93" s="3">
        <v>813.75766520000002</v>
      </c>
      <c r="Z93" s="3">
        <v>2975.6874210000001</v>
      </c>
      <c r="AA93" s="48" t="s">
        <v>317</v>
      </c>
      <c r="AB93" s="49" t="s">
        <v>347</v>
      </c>
      <c r="AC93" s="3">
        <v>792.99686810000003</v>
      </c>
      <c r="AD93" s="3">
        <v>753.77639590000001</v>
      </c>
      <c r="AE93" s="3">
        <v>483.93162030000002</v>
      </c>
      <c r="AF93" s="3">
        <v>156.43530960000001</v>
      </c>
      <c r="AG93" s="3">
        <v>1432.224078</v>
      </c>
      <c r="AH93" s="3">
        <v>1126.972894</v>
      </c>
      <c r="AI93" s="3">
        <v>1322.8629109999999</v>
      </c>
      <c r="AJ93" s="3">
        <v>1020.060602</v>
      </c>
      <c r="AK93" s="3">
        <v>433.7324514</v>
      </c>
      <c r="AL93" s="3">
        <v>671.61890249999999</v>
      </c>
      <c r="AM93" s="3">
        <v>1139.314631</v>
      </c>
      <c r="AN93" s="3">
        <v>148.2544451</v>
      </c>
      <c r="AO93" s="3">
        <v>457.67069170000002</v>
      </c>
      <c r="AP93" s="48" t="s">
        <v>317</v>
      </c>
      <c r="AQ93" s="49" t="s">
        <v>347</v>
      </c>
      <c r="AR93" s="3">
        <v>627.07719599999996</v>
      </c>
      <c r="AS93" s="3">
        <v>1276.6133440000001</v>
      </c>
      <c r="AT93" s="3">
        <v>1193.60006</v>
      </c>
      <c r="AU93" s="3">
        <v>944.36413119999997</v>
      </c>
      <c r="AV93" s="3">
        <v>421.36138260000001</v>
      </c>
      <c r="AW93" s="3">
        <v>1721.8870649999999</v>
      </c>
      <c r="AX93" s="3">
        <v>1027.492833</v>
      </c>
      <c r="AY93" s="3">
        <v>756.51836849999995</v>
      </c>
      <c r="AZ93" s="3">
        <v>698.6828898</v>
      </c>
      <c r="BA93" s="3">
        <v>402.61573800000002</v>
      </c>
      <c r="BB93" s="3">
        <v>641.05851600000005</v>
      </c>
      <c r="BC93" s="3">
        <v>188.88251059999999</v>
      </c>
      <c r="BD93" s="3">
        <v>1043.9328029999999</v>
      </c>
      <c r="BE93" s="48" t="s">
        <v>317</v>
      </c>
      <c r="BF93" s="49" t="s">
        <v>347</v>
      </c>
      <c r="BG93" s="3">
        <v>0.02</v>
      </c>
      <c r="BH93" s="3">
        <v>0.13600000000000001</v>
      </c>
      <c r="BI93" s="3">
        <v>0.58050000000000002</v>
      </c>
      <c r="BJ93" s="3">
        <v>1.9E-2</v>
      </c>
      <c r="BK93" s="3">
        <v>0.152</v>
      </c>
      <c r="BL93" s="3">
        <v>0.45050000000000001</v>
      </c>
      <c r="BM93" s="3">
        <v>1.7999999999999999E-2</v>
      </c>
      <c r="BN93" s="3">
        <v>0.22500000000000001</v>
      </c>
      <c r="BO93" s="3">
        <v>0.61150000000000004</v>
      </c>
      <c r="BP93" s="3">
        <v>1.6E-2</v>
      </c>
      <c r="BQ93" s="3">
        <v>0.20300000000000001</v>
      </c>
      <c r="BR93" s="3">
        <v>0.79200000000000004</v>
      </c>
      <c r="BS93" s="3">
        <v>2.1999999999999999E-2</v>
      </c>
      <c r="BT93" s="3">
        <v>0.64500000000000002</v>
      </c>
      <c r="BU93" s="3">
        <v>0.33258333400000001</v>
      </c>
      <c r="BV93" s="3">
        <v>1.6E-2</v>
      </c>
      <c r="BW93" s="3">
        <v>0.43099999999999999</v>
      </c>
      <c r="BX93" s="3">
        <v>0.73</v>
      </c>
      <c r="BY93" s="3">
        <v>4.2999999999999997E-2</v>
      </c>
      <c r="BZ93" s="3">
        <v>0.43099999999999999</v>
      </c>
      <c r="CA93" s="3">
        <v>0.51349999999999996</v>
      </c>
      <c r="CB93" s="3">
        <v>1.9E-2</v>
      </c>
      <c r="CC93" s="3">
        <v>0.26900000000000002</v>
      </c>
      <c r="CD93" s="3">
        <v>8.4666667000000001E-2</v>
      </c>
      <c r="CE93" s="3">
        <v>2.8000000000000001E-2</v>
      </c>
      <c r="CF93" s="3">
        <v>0.29099999999999998</v>
      </c>
      <c r="CG93" s="3">
        <v>0.52949999999999997</v>
      </c>
      <c r="CH93" s="3">
        <v>2.9000000000000001E-2</v>
      </c>
      <c r="CI93" s="3">
        <v>0.497</v>
      </c>
      <c r="CJ93" s="3">
        <v>0.84099999999999997</v>
      </c>
      <c r="CK93" s="3">
        <v>3.5999999999999997E-2</v>
      </c>
      <c r="CL93" s="3">
        <v>0.39400000000000002</v>
      </c>
      <c r="CM93" s="3">
        <v>0.01</v>
      </c>
      <c r="CN93" s="3">
        <v>0.03</v>
      </c>
      <c r="CO93" s="3">
        <v>0.39400000000000002</v>
      </c>
      <c r="CP93" s="3">
        <v>0.60899999999999999</v>
      </c>
      <c r="CQ93" s="3">
        <v>3.1E-2</v>
      </c>
      <c r="CR93" s="3">
        <v>0.38400000000000001</v>
      </c>
      <c r="CS93" s="3">
        <v>0.80200000000000005</v>
      </c>
      <c r="CT93" s="48" t="s">
        <v>317</v>
      </c>
      <c r="CU93" s="49" t="s">
        <v>347</v>
      </c>
      <c r="CV93" s="3">
        <v>7.4740000000000002</v>
      </c>
      <c r="CW93" s="3">
        <v>8.625</v>
      </c>
      <c r="CX93" s="3">
        <v>8.2840000000000007</v>
      </c>
      <c r="CY93" s="3">
        <v>7.7919999999999998</v>
      </c>
      <c r="CZ93" s="3">
        <v>7.5830000000000002</v>
      </c>
      <c r="DA93" s="3">
        <v>8.0660000000000007</v>
      </c>
      <c r="DB93" s="3">
        <v>8.6129999999999995</v>
      </c>
      <c r="DC93" s="3">
        <v>8.2119999999999997</v>
      </c>
      <c r="DD93" s="3">
        <v>7.9359999999999999</v>
      </c>
      <c r="DE93" s="3">
        <v>8.7560000000000002</v>
      </c>
      <c r="DF93" s="3">
        <v>8.1509999999999998</v>
      </c>
      <c r="DG93" s="3">
        <v>8.0489999999999995</v>
      </c>
      <c r="DH93" s="3">
        <v>7.09</v>
      </c>
    </row>
    <row r="94" spans="1:112" x14ac:dyDescent="0.3">
      <c r="A94" s="48" t="s">
        <v>317</v>
      </c>
      <c r="B94" s="49" t="s">
        <v>348</v>
      </c>
      <c r="C94" s="3">
        <v>31.986737999999999</v>
      </c>
      <c r="D94" s="3">
        <v>44.320500000000003</v>
      </c>
      <c r="E94" s="3">
        <v>34.865459999999999</v>
      </c>
      <c r="F94" s="3">
        <v>33.455646000000002</v>
      </c>
      <c r="G94" s="3">
        <v>33.455646000000002</v>
      </c>
      <c r="H94" s="3">
        <v>44.320500000000003</v>
      </c>
      <c r="I94" s="48" t="s">
        <v>317</v>
      </c>
      <c r="J94" s="49" t="s">
        <v>348</v>
      </c>
      <c r="K94" s="3">
        <v>38043.5</v>
      </c>
      <c r="L94" s="48" t="s">
        <v>317</v>
      </c>
      <c r="M94" s="49" t="s">
        <v>348</v>
      </c>
      <c r="N94" s="3">
        <v>7663.1659069999996</v>
      </c>
      <c r="O94" s="3">
        <v>8291.3801449999992</v>
      </c>
      <c r="P94" s="3">
        <v>4752.9394439999996</v>
      </c>
      <c r="Q94" s="3">
        <v>3959.9954750000002</v>
      </c>
      <c r="R94" s="3">
        <v>8201.4494219999997</v>
      </c>
      <c r="S94" s="3">
        <v>8072.4522649999999</v>
      </c>
      <c r="T94" s="3">
        <v>5042.4918250000001</v>
      </c>
      <c r="U94" s="3">
        <v>8898.0836940000008</v>
      </c>
      <c r="V94" s="3">
        <v>6104.5336530000004</v>
      </c>
      <c r="W94" s="3">
        <v>4643.6509130000004</v>
      </c>
      <c r="X94" s="3">
        <v>7011.444716</v>
      </c>
      <c r="Y94" s="3">
        <v>823.89879599999995</v>
      </c>
      <c r="Z94" s="3">
        <v>2982.3995490000002</v>
      </c>
      <c r="AA94" s="48" t="s">
        <v>317</v>
      </c>
      <c r="AB94" s="49" t="s">
        <v>348</v>
      </c>
      <c r="AC94" s="3">
        <v>539.46124970000005</v>
      </c>
      <c r="AD94" s="3">
        <v>513.3828426</v>
      </c>
      <c r="AE94" s="3">
        <v>329.59667109999998</v>
      </c>
      <c r="AF94" s="3">
        <v>106.5451298</v>
      </c>
      <c r="AG94" s="3">
        <v>974.31581649999998</v>
      </c>
      <c r="AH94" s="3">
        <v>767.55991710000001</v>
      </c>
      <c r="AI94" s="3">
        <v>900.97690160000002</v>
      </c>
      <c r="AJ94" s="3">
        <v>693.92855069999996</v>
      </c>
      <c r="AK94" s="3">
        <v>295.06024509999997</v>
      </c>
      <c r="AL94" s="3">
        <v>457.42692820000002</v>
      </c>
      <c r="AM94" s="3">
        <v>775.96564030000002</v>
      </c>
      <c r="AN94" s="3">
        <v>100.9732978</v>
      </c>
      <c r="AO94" s="3">
        <v>311.71084949999999</v>
      </c>
      <c r="AP94" s="48" t="s">
        <v>317</v>
      </c>
      <c r="AQ94" s="49" t="s">
        <v>348</v>
      </c>
      <c r="AR94" s="3">
        <v>624.11229200000002</v>
      </c>
      <c r="AS94" s="3">
        <v>1249.7058019999999</v>
      </c>
      <c r="AT94" s="3">
        <v>1168.442213</v>
      </c>
      <c r="AU94" s="3">
        <v>924.4595008</v>
      </c>
      <c r="AV94" s="3">
        <v>419.36913019999997</v>
      </c>
      <c r="AW94" s="3">
        <v>1685.5943629999999</v>
      </c>
      <c r="AX94" s="3">
        <v>1005.8360750000001</v>
      </c>
      <c r="AY94" s="3">
        <v>752.94144949999998</v>
      </c>
      <c r="AZ94" s="3">
        <v>695.37942459999999</v>
      </c>
      <c r="BA94" s="3">
        <v>394.12969199999998</v>
      </c>
      <c r="BB94" s="3">
        <v>627.54674399999999</v>
      </c>
      <c r="BC94" s="3">
        <v>184.90138039999999</v>
      </c>
      <c r="BD94" s="3">
        <v>1021.929535</v>
      </c>
      <c r="BE94" s="48" t="s">
        <v>317</v>
      </c>
      <c r="BF94" s="49" t="s">
        <v>348</v>
      </c>
      <c r="BG94" s="3">
        <v>0</v>
      </c>
      <c r="BH94" s="3">
        <v>0.16300000000000001</v>
      </c>
      <c r="BI94" s="3">
        <v>0.71350000000000002</v>
      </c>
      <c r="BJ94" s="3">
        <v>0</v>
      </c>
      <c r="BK94" s="3">
        <v>0.161</v>
      </c>
      <c r="BL94" s="3">
        <v>0.59050000000000002</v>
      </c>
      <c r="BM94" s="3">
        <v>0</v>
      </c>
      <c r="BN94" s="3">
        <v>0.253</v>
      </c>
      <c r="BO94" s="3">
        <v>0.59150000000000003</v>
      </c>
      <c r="BP94" s="3">
        <v>0</v>
      </c>
      <c r="BQ94" s="3">
        <v>0.246</v>
      </c>
      <c r="BR94" s="3">
        <v>0.80033333299999998</v>
      </c>
      <c r="BS94" s="3">
        <v>0</v>
      </c>
      <c r="BT94" s="3">
        <v>0.64100000000000001</v>
      </c>
      <c r="BU94" s="3">
        <v>0.42291666700000002</v>
      </c>
      <c r="BV94" s="3">
        <v>0</v>
      </c>
      <c r="BW94" s="3">
        <v>0.438</v>
      </c>
      <c r="BX94" s="3">
        <v>0.76500000000000001</v>
      </c>
      <c r="BY94" s="3">
        <v>1E-3</v>
      </c>
      <c r="BZ94" s="3">
        <v>0.438</v>
      </c>
      <c r="CA94" s="3">
        <v>0.437</v>
      </c>
      <c r="CB94" s="3">
        <v>0</v>
      </c>
      <c r="CC94" s="3">
        <v>0.30099999999999999</v>
      </c>
      <c r="CD94" s="3">
        <v>0.132333333</v>
      </c>
      <c r="CE94" s="3">
        <v>0</v>
      </c>
      <c r="CF94" s="3">
        <v>0.311</v>
      </c>
      <c r="CG94" s="3">
        <v>0.63900000000000001</v>
      </c>
      <c r="CH94" s="3">
        <v>0</v>
      </c>
      <c r="CI94" s="3">
        <v>0.55100000000000005</v>
      </c>
      <c r="CJ94" s="3">
        <v>0.87133333300000004</v>
      </c>
      <c r="CK94" s="3">
        <v>0</v>
      </c>
      <c r="CL94" s="3">
        <v>0.44600000000000001</v>
      </c>
      <c r="CM94" s="3">
        <v>0.01</v>
      </c>
      <c r="CN94" s="3">
        <v>0</v>
      </c>
      <c r="CO94" s="3">
        <v>0.40600000000000003</v>
      </c>
      <c r="CP94" s="3">
        <v>0.71166666700000003</v>
      </c>
      <c r="CQ94" s="3">
        <v>0</v>
      </c>
      <c r="CR94" s="3">
        <v>0.39600000000000002</v>
      </c>
      <c r="CS94" s="3">
        <v>0.82499999999999996</v>
      </c>
      <c r="CT94" s="48" t="s">
        <v>317</v>
      </c>
      <c r="CU94" s="49" t="s">
        <v>348</v>
      </c>
      <c r="CV94" s="3">
        <v>6.3289999999999997</v>
      </c>
      <c r="CW94" s="3">
        <v>7.758</v>
      </c>
      <c r="CX94" s="3">
        <v>6.883</v>
      </c>
      <c r="CY94" s="3">
        <v>6.0880000000000001</v>
      </c>
      <c r="CZ94" s="3">
        <v>6.6639999999999997</v>
      </c>
      <c r="DA94" s="3">
        <v>8.2539999999999996</v>
      </c>
      <c r="DB94" s="3">
        <v>6.8730000000000002</v>
      </c>
      <c r="DC94" s="3">
        <v>7.8129999999999997</v>
      </c>
      <c r="DD94" s="3">
        <v>7.6280000000000001</v>
      </c>
      <c r="DE94" s="3">
        <v>7.5869999999999997</v>
      </c>
      <c r="DF94" s="3">
        <v>7.0579999999999998</v>
      </c>
      <c r="DG94" s="3">
        <v>6.9809999999999999</v>
      </c>
      <c r="DH94" s="3">
        <v>6.5839999999999996</v>
      </c>
    </row>
    <row r="95" spans="1:112" x14ac:dyDescent="0.3">
      <c r="A95" s="48" t="s">
        <v>317</v>
      </c>
      <c r="B95" s="49" t="s">
        <v>349</v>
      </c>
      <c r="C95" s="3">
        <v>79.506755999999996</v>
      </c>
      <c r="D95" s="3">
        <v>42.285978</v>
      </c>
      <c r="E95" s="3">
        <v>30.408083999999999</v>
      </c>
      <c r="F95" s="3">
        <v>29.437253999999999</v>
      </c>
      <c r="G95" s="3">
        <v>29.437253999999999</v>
      </c>
      <c r="H95" s="3">
        <v>43.746443999999997</v>
      </c>
      <c r="I95" s="48" t="s">
        <v>317</v>
      </c>
      <c r="J95" s="49" t="s">
        <v>349</v>
      </c>
      <c r="K95" s="3">
        <v>36768.5</v>
      </c>
      <c r="L95" s="48" t="s">
        <v>317</v>
      </c>
      <c r="M95" s="49" t="s">
        <v>349</v>
      </c>
      <c r="N95" s="3">
        <v>7049.3786650000002</v>
      </c>
      <c r="O95" s="3">
        <v>7862.6051209999996</v>
      </c>
      <c r="P95" s="3">
        <v>4431.1574309999996</v>
      </c>
      <c r="Q95" s="3">
        <v>3678.007967</v>
      </c>
      <c r="R95" s="3">
        <v>7916.7481660000003</v>
      </c>
      <c r="S95" s="3">
        <v>7943.6902710000004</v>
      </c>
      <c r="T95" s="3">
        <v>4970.7084569999997</v>
      </c>
      <c r="U95" s="3">
        <v>8517.3262770000001</v>
      </c>
      <c r="V95" s="3">
        <v>5689.1495649999997</v>
      </c>
      <c r="W95" s="3">
        <v>4131.5325039999998</v>
      </c>
      <c r="X95" s="3">
        <v>6609.163708</v>
      </c>
      <c r="Y95" s="3">
        <v>768.86390019999999</v>
      </c>
      <c r="Z95" s="3">
        <v>2729.8812469999998</v>
      </c>
      <c r="AA95" s="48" t="s">
        <v>317</v>
      </c>
      <c r="AB95" s="49" t="s">
        <v>349</v>
      </c>
      <c r="AC95" s="3">
        <v>514.44275689999995</v>
      </c>
      <c r="AD95" s="3">
        <v>500.54827160000002</v>
      </c>
      <c r="AE95" s="3">
        <v>321.35675429999998</v>
      </c>
      <c r="AF95" s="3">
        <v>103.8815015</v>
      </c>
      <c r="AG95" s="3">
        <v>929.13015540000004</v>
      </c>
      <c r="AH95" s="3">
        <v>748.37091910000004</v>
      </c>
      <c r="AI95" s="3">
        <v>878.45247910000001</v>
      </c>
      <c r="AJ95" s="3">
        <v>661.74635699999999</v>
      </c>
      <c r="AK95" s="3">
        <v>281.37629170000002</v>
      </c>
      <c r="AL95" s="3">
        <v>445.99125500000002</v>
      </c>
      <c r="AM95" s="3">
        <v>756.56649930000003</v>
      </c>
      <c r="AN95" s="3">
        <v>98.448965310000006</v>
      </c>
      <c r="AO95" s="3">
        <v>303.91807829999999</v>
      </c>
      <c r="AP95" s="48" t="s">
        <v>317</v>
      </c>
      <c r="AQ95" s="49" t="s">
        <v>349</v>
      </c>
      <c r="AR95" s="3">
        <v>618.18248400000004</v>
      </c>
      <c r="AS95" s="3">
        <v>1192.900993</v>
      </c>
      <c r="AT95" s="3">
        <v>1115.3312040000001</v>
      </c>
      <c r="AU95" s="3">
        <v>882.43861440000001</v>
      </c>
      <c r="AV95" s="3">
        <v>415.3846254</v>
      </c>
      <c r="AW95" s="3">
        <v>1608.9764379999999</v>
      </c>
      <c r="AX95" s="3">
        <v>960.11625360000005</v>
      </c>
      <c r="AY95" s="3">
        <v>745.78761150000003</v>
      </c>
      <c r="AZ95" s="3">
        <v>688.77249419999998</v>
      </c>
      <c r="BA95" s="3">
        <v>376.21470599999998</v>
      </c>
      <c r="BB95" s="3">
        <v>599.02189199999998</v>
      </c>
      <c r="BC95" s="3">
        <v>176.49677220000001</v>
      </c>
      <c r="BD95" s="3">
        <v>975.47819249999998</v>
      </c>
      <c r="BE95" s="48" t="s">
        <v>317</v>
      </c>
      <c r="BF95" s="49" t="s">
        <v>349</v>
      </c>
      <c r="BG95" s="3">
        <v>0</v>
      </c>
      <c r="BH95" s="3">
        <v>0.19700000000000001</v>
      </c>
      <c r="BI95" s="3">
        <v>0.79149999999999998</v>
      </c>
      <c r="BJ95" s="3">
        <v>0</v>
      </c>
      <c r="BK95" s="3">
        <v>0.182</v>
      </c>
      <c r="BL95" s="3">
        <v>0.65049999999999997</v>
      </c>
      <c r="BM95" s="3">
        <v>0</v>
      </c>
      <c r="BN95" s="3">
        <v>0.254</v>
      </c>
      <c r="BO95" s="3">
        <v>0.58499999999999996</v>
      </c>
      <c r="BP95" s="3">
        <v>0</v>
      </c>
      <c r="BQ95" s="3">
        <v>0.314</v>
      </c>
      <c r="BR95" s="3">
        <v>0.81666666700000001</v>
      </c>
      <c r="BS95" s="3">
        <v>0</v>
      </c>
      <c r="BT95" s="3">
        <v>0.627</v>
      </c>
      <c r="BU95" s="3">
        <v>0.49458333399999999</v>
      </c>
      <c r="BV95" s="3">
        <v>0</v>
      </c>
      <c r="BW95" s="3">
        <v>0.41899999999999998</v>
      </c>
      <c r="BX95" s="3">
        <v>0.81499999999999995</v>
      </c>
      <c r="BY95" s="3">
        <v>0</v>
      </c>
      <c r="BZ95" s="3">
        <v>0.41899999999999998</v>
      </c>
      <c r="CA95" s="3">
        <v>0.35399999999999998</v>
      </c>
      <c r="CB95" s="3">
        <v>0</v>
      </c>
      <c r="CC95" s="3">
        <v>0.30299999999999999</v>
      </c>
      <c r="CD95" s="3">
        <v>0.19766666699999999</v>
      </c>
      <c r="CE95" s="3">
        <v>0</v>
      </c>
      <c r="CF95" s="3">
        <v>0.33100000000000002</v>
      </c>
      <c r="CG95" s="3">
        <v>0.69950000000000001</v>
      </c>
      <c r="CH95" s="3">
        <v>0</v>
      </c>
      <c r="CI95" s="3">
        <v>0.53700000000000003</v>
      </c>
      <c r="CJ95" s="3">
        <v>0.89200000000000002</v>
      </c>
      <c r="CK95" s="3">
        <v>0</v>
      </c>
      <c r="CL95" s="3">
        <v>0.442</v>
      </c>
      <c r="CM95" s="3">
        <v>0.01</v>
      </c>
      <c r="CN95" s="3">
        <v>0</v>
      </c>
      <c r="CO95" s="3">
        <v>0.40600000000000003</v>
      </c>
      <c r="CP95" s="3">
        <v>0.77200000000000002</v>
      </c>
      <c r="CQ95" s="3">
        <v>0</v>
      </c>
      <c r="CR95" s="3">
        <v>0.40500000000000003</v>
      </c>
      <c r="CS95" s="3">
        <v>0.86399999999999999</v>
      </c>
      <c r="CT95" s="48" t="s">
        <v>317</v>
      </c>
      <c r="CU95" s="49" t="s">
        <v>349</v>
      </c>
      <c r="CV95" s="3">
        <v>6.0190000000000001</v>
      </c>
      <c r="CW95" s="3">
        <v>7.2939999999999996</v>
      </c>
      <c r="CX95" s="3">
        <v>5.5730000000000004</v>
      </c>
      <c r="CY95" s="3">
        <v>5.0860000000000003</v>
      </c>
      <c r="CZ95" s="3">
        <v>6.5019999999999998</v>
      </c>
      <c r="DA95" s="3">
        <v>8.2230000000000008</v>
      </c>
      <c r="DB95" s="3">
        <v>5.63</v>
      </c>
      <c r="DC95" s="3">
        <v>7.7729999999999997</v>
      </c>
      <c r="DD95" s="3">
        <v>7.617</v>
      </c>
      <c r="DE95" s="3">
        <v>6.8369999999999997</v>
      </c>
      <c r="DF95" s="3">
        <v>6.7480000000000002</v>
      </c>
      <c r="DG95" s="3">
        <v>6.4139999999999997</v>
      </c>
      <c r="DH95" s="3">
        <v>6.3120000000000003</v>
      </c>
    </row>
    <row r="96" spans="1:112" x14ac:dyDescent="0.3">
      <c r="A96" s="48" t="s">
        <v>317</v>
      </c>
      <c r="B96" s="49" t="s">
        <v>350</v>
      </c>
      <c r="C96" s="3">
        <v>52.906013999999999</v>
      </c>
      <c r="D96" s="3">
        <v>37.566899999999997</v>
      </c>
      <c r="E96" s="3">
        <v>27.014399999999998</v>
      </c>
      <c r="F96" s="3">
        <v>26.313714000000001</v>
      </c>
      <c r="G96" s="3">
        <v>27.014399999999998</v>
      </c>
      <c r="H96" s="3">
        <v>37.609110000000001</v>
      </c>
      <c r="I96" s="48" t="s">
        <v>317</v>
      </c>
      <c r="J96" s="49" t="s">
        <v>350</v>
      </c>
      <c r="K96" s="3">
        <v>32744.5</v>
      </c>
      <c r="L96" s="48" t="s">
        <v>317</v>
      </c>
      <c r="M96" s="49" t="s">
        <v>350</v>
      </c>
      <c r="N96" s="3">
        <v>6244.1360629999999</v>
      </c>
      <c r="O96" s="3">
        <v>7250.4553429999996</v>
      </c>
      <c r="P96" s="3">
        <v>3487.6308960000001</v>
      </c>
      <c r="Q96" s="3">
        <v>2897.6372310000002</v>
      </c>
      <c r="R96" s="3">
        <v>7350.8717889999998</v>
      </c>
      <c r="S96" s="3">
        <v>7807.4625539999997</v>
      </c>
      <c r="T96" s="3">
        <v>4854.2574750000003</v>
      </c>
      <c r="U96" s="3">
        <v>7621.539307</v>
      </c>
      <c r="V96" s="3">
        <v>4956.4196169999996</v>
      </c>
      <c r="W96" s="3">
        <v>3193.48785</v>
      </c>
      <c r="X96" s="3">
        <v>6156.6753490000001</v>
      </c>
      <c r="Y96" s="3">
        <v>595.70551399999999</v>
      </c>
      <c r="Z96" s="3">
        <v>2118.1691559999999</v>
      </c>
      <c r="AA96" s="48" t="s">
        <v>317</v>
      </c>
      <c r="AB96" s="49" t="s">
        <v>350</v>
      </c>
      <c r="AC96" s="3">
        <v>490.98791999999997</v>
      </c>
      <c r="AD96" s="3">
        <v>456.34030460000002</v>
      </c>
      <c r="AE96" s="3">
        <v>292.97481879999998</v>
      </c>
      <c r="AF96" s="3">
        <v>94.706782039999993</v>
      </c>
      <c r="AG96" s="3">
        <v>886.76859820000004</v>
      </c>
      <c r="AH96" s="3">
        <v>682.27548179999997</v>
      </c>
      <c r="AI96" s="3">
        <v>800.86835699999995</v>
      </c>
      <c r="AJ96" s="3">
        <v>631.57555049999996</v>
      </c>
      <c r="AK96" s="3">
        <v>268.5475854</v>
      </c>
      <c r="AL96" s="3">
        <v>406.60171389999999</v>
      </c>
      <c r="AM96" s="3">
        <v>689.7472358</v>
      </c>
      <c r="AN96" s="3">
        <v>89.75404245</v>
      </c>
      <c r="AO96" s="3">
        <v>277.07631070000002</v>
      </c>
      <c r="AP96" s="48" t="s">
        <v>317</v>
      </c>
      <c r="AQ96" s="49" t="s">
        <v>350</v>
      </c>
      <c r="AR96" s="3">
        <v>578.15628000000004</v>
      </c>
      <c r="AS96" s="3">
        <v>1136.096184</v>
      </c>
      <c r="AT96" s="3">
        <v>1062.220194</v>
      </c>
      <c r="AU96" s="3">
        <v>840.41772800000001</v>
      </c>
      <c r="AV96" s="3">
        <v>388.48921799999999</v>
      </c>
      <c r="AW96" s="3">
        <v>1532.358512</v>
      </c>
      <c r="AX96" s="3">
        <v>914.396432</v>
      </c>
      <c r="AY96" s="3">
        <v>697.49920499999996</v>
      </c>
      <c r="AZ96" s="3">
        <v>644.17571399999997</v>
      </c>
      <c r="BA96" s="3">
        <v>358.29971999999998</v>
      </c>
      <c r="BB96" s="3">
        <v>570.49703999999997</v>
      </c>
      <c r="BC96" s="3">
        <v>168.092164</v>
      </c>
      <c r="BD96" s="3">
        <v>929.02684999999997</v>
      </c>
      <c r="BE96" s="48" t="s">
        <v>317</v>
      </c>
      <c r="BF96" s="49" t="s">
        <v>350</v>
      </c>
      <c r="BG96" s="3">
        <v>0</v>
      </c>
      <c r="BH96" s="3">
        <v>0.23699999999999999</v>
      </c>
      <c r="BI96" s="3">
        <v>0.83099999999999996</v>
      </c>
      <c r="BJ96" s="3">
        <v>0</v>
      </c>
      <c r="BK96" s="3">
        <v>0.19800000000000001</v>
      </c>
      <c r="BL96" s="3">
        <v>0.64800000000000002</v>
      </c>
      <c r="BM96" s="3">
        <v>0</v>
      </c>
      <c r="BN96" s="3">
        <v>0.22900000000000001</v>
      </c>
      <c r="BO96" s="3">
        <v>0.59150000000000003</v>
      </c>
      <c r="BP96" s="3">
        <v>0</v>
      </c>
      <c r="BQ96" s="3">
        <v>0.38</v>
      </c>
      <c r="BR96" s="3">
        <v>0.83499999999999996</v>
      </c>
      <c r="BS96" s="3">
        <v>0</v>
      </c>
      <c r="BT96" s="3">
        <v>0.59699999999999998</v>
      </c>
      <c r="BU96" s="3">
        <v>0.55116666700000005</v>
      </c>
      <c r="BV96" s="3">
        <v>0</v>
      </c>
      <c r="BW96" s="3">
        <v>0.36499999999999999</v>
      </c>
      <c r="BX96" s="3">
        <v>0.86199999999999999</v>
      </c>
      <c r="BY96" s="3">
        <v>0</v>
      </c>
      <c r="BZ96" s="3">
        <v>0.36499999999999999</v>
      </c>
      <c r="CA96" s="3">
        <v>0.30149999999999999</v>
      </c>
      <c r="CB96" s="3">
        <v>0</v>
      </c>
      <c r="CC96" s="3">
        <v>0.30199999999999999</v>
      </c>
      <c r="CD96" s="3">
        <v>0.27133333300000001</v>
      </c>
      <c r="CE96" s="3">
        <v>0</v>
      </c>
      <c r="CF96" s="3">
        <v>0.375</v>
      </c>
      <c r="CG96" s="3">
        <v>0.71150000000000002</v>
      </c>
      <c r="CH96" s="3">
        <v>0</v>
      </c>
      <c r="CI96" s="3">
        <v>0.51200000000000001</v>
      </c>
      <c r="CJ96" s="3">
        <v>0.91233333299999997</v>
      </c>
      <c r="CK96" s="3">
        <v>0</v>
      </c>
      <c r="CL96" s="3">
        <v>0.439</v>
      </c>
      <c r="CM96" s="3">
        <v>0.01</v>
      </c>
      <c r="CN96" s="3">
        <v>0</v>
      </c>
      <c r="CO96" s="3">
        <v>0.38700000000000001</v>
      </c>
      <c r="CP96" s="3">
        <v>0.81100000000000005</v>
      </c>
      <c r="CQ96" s="3">
        <v>0</v>
      </c>
      <c r="CR96" s="3">
        <v>0.41299999999999998</v>
      </c>
      <c r="CS96" s="3">
        <v>0.89700000000000002</v>
      </c>
      <c r="CT96" s="48" t="s">
        <v>317</v>
      </c>
      <c r="CU96" s="49" t="s">
        <v>350</v>
      </c>
      <c r="CV96" s="3">
        <v>5.7240000000000002</v>
      </c>
      <c r="CW96" s="3">
        <v>6.7850000000000001</v>
      </c>
      <c r="CX96" s="3">
        <v>4.5069999999999997</v>
      </c>
      <c r="CY96" s="3">
        <v>4.5309999999999997</v>
      </c>
      <c r="CZ96" s="3">
        <v>6.3570000000000002</v>
      </c>
      <c r="DA96" s="3">
        <v>8.0690000000000008</v>
      </c>
      <c r="DB96" s="3">
        <v>4.8979999999999997</v>
      </c>
      <c r="DC96" s="3">
        <v>7.7640000000000002</v>
      </c>
      <c r="DD96" s="3">
        <v>7.4470000000000001</v>
      </c>
      <c r="DE96" s="3">
        <v>6.1260000000000003</v>
      </c>
      <c r="DF96" s="3">
        <v>6.65</v>
      </c>
      <c r="DG96" s="3">
        <v>6.1909999999999998</v>
      </c>
      <c r="DH96" s="3">
        <v>6.165</v>
      </c>
    </row>
    <row r="97" spans="1:112" x14ac:dyDescent="0.3">
      <c r="A97" s="48" t="s">
        <v>317</v>
      </c>
      <c r="B97" s="49" t="s">
        <v>351</v>
      </c>
      <c r="C97" s="3">
        <v>34.932996000000003</v>
      </c>
      <c r="D97" s="3">
        <v>33.607602</v>
      </c>
      <c r="E97" s="3">
        <v>26.490995999999999</v>
      </c>
      <c r="F97" s="3">
        <v>26.490995999999999</v>
      </c>
      <c r="G97" s="3">
        <v>26.490995999999999</v>
      </c>
      <c r="H97" s="3">
        <v>42.404165999999996</v>
      </c>
      <c r="I97" s="48" t="s">
        <v>317</v>
      </c>
      <c r="J97" s="49" t="s">
        <v>351</v>
      </c>
      <c r="K97" s="3">
        <v>28860</v>
      </c>
      <c r="L97" s="48" t="s">
        <v>317</v>
      </c>
      <c r="M97" s="49" t="s">
        <v>351</v>
      </c>
      <c r="N97" s="3">
        <v>4945.5114240000003</v>
      </c>
      <c r="O97" s="3">
        <v>5759.6038349999999</v>
      </c>
      <c r="P97" s="3">
        <v>2208.737478</v>
      </c>
      <c r="Q97" s="3">
        <v>1944.121261</v>
      </c>
      <c r="R97" s="3">
        <v>6212.2788419999997</v>
      </c>
      <c r="S97" s="3">
        <v>6582.9350400000003</v>
      </c>
      <c r="T97" s="3">
        <v>4236.1823690000001</v>
      </c>
      <c r="U97" s="3">
        <v>6189.3310419999998</v>
      </c>
      <c r="V97" s="3">
        <v>3923.9070369999999</v>
      </c>
      <c r="W97" s="3">
        <v>1954.1951770000001</v>
      </c>
      <c r="X97" s="3">
        <v>5082.3781710000003</v>
      </c>
      <c r="Y97" s="3">
        <v>380.81454259999998</v>
      </c>
      <c r="Z97" s="3">
        <v>1446.7163069999999</v>
      </c>
      <c r="AA97" s="48" t="s">
        <v>317</v>
      </c>
      <c r="AB97" s="49" t="s">
        <v>351</v>
      </c>
      <c r="AC97" s="3">
        <v>439.38727870000002</v>
      </c>
      <c r="AD97" s="3">
        <v>396.44563959999999</v>
      </c>
      <c r="AE97" s="3">
        <v>254.52187380000001</v>
      </c>
      <c r="AF97" s="3">
        <v>82.276516900000004</v>
      </c>
      <c r="AG97" s="3">
        <v>793.57317220000004</v>
      </c>
      <c r="AH97" s="3">
        <v>592.7268249</v>
      </c>
      <c r="AI97" s="3">
        <v>695.75438510000004</v>
      </c>
      <c r="AJ97" s="3">
        <v>565.19977600000004</v>
      </c>
      <c r="AK97" s="3">
        <v>240.3244315</v>
      </c>
      <c r="AL97" s="3">
        <v>353.23523899999998</v>
      </c>
      <c r="AM97" s="3">
        <v>599.21791110000004</v>
      </c>
      <c r="AN97" s="3">
        <v>77.973824379999996</v>
      </c>
      <c r="AO97" s="3">
        <v>240.71004490000001</v>
      </c>
      <c r="AP97" s="48" t="s">
        <v>317</v>
      </c>
      <c r="AQ97" s="49" t="s">
        <v>351</v>
      </c>
      <c r="AR97" s="3">
        <v>499.58632399999999</v>
      </c>
      <c r="AS97" s="3">
        <v>995.57902439999998</v>
      </c>
      <c r="AT97" s="3">
        <v>930.84032790000003</v>
      </c>
      <c r="AU97" s="3">
        <v>736.47132480000005</v>
      </c>
      <c r="AV97" s="3">
        <v>335.69452940000002</v>
      </c>
      <c r="AW97" s="3">
        <v>1342.8299589999999</v>
      </c>
      <c r="AX97" s="3">
        <v>801.30003120000003</v>
      </c>
      <c r="AY97" s="3">
        <v>602.71085149999999</v>
      </c>
      <c r="AZ97" s="3">
        <v>556.63388620000001</v>
      </c>
      <c r="BA97" s="3">
        <v>313.98370199999999</v>
      </c>
      <c r="BB97" s="3">
        <v>499.935564</v>
      </c>
      <c r="BC97" s="3">
        <v>147.3018174</v>
      </c>
      <c r="BD97" s="3">
        <v>814.12089749999996</v>
      </c>
      <c r="BE97" s="48" t="s">
        <v>317</v>
      </c>
      <c r="BF97" s="49" t="s">
        <v>351</v>
      </c>
      <c r="BG97" s="3">
        <v>0</v>
      </c>
      <c r="BH97" s="3">
        <v>0.28100000000000003</v>
      </c>
      <c r="BI97" s="3">
        <v>0.83899999999999997</v>
      </c>
      <c r="BJ97" s="3">
        <v>0</v>
      </c>
      <c r="BK97" s="3">
        <v>0.218</v>
      </c>
      <c r="BL97" s="3">
        <v>0.65800000000000003</v>
      </c>
      <c r="BM97" s="3">
        <v>0</v>
      </c>
      <c r="BN97" s="3">
        <v>0.23200000000000001</v>
      </c>
      <c r="BO97" s="3">
        <v>0.60199999999999998</v>
      </c>
      <c r="BP97" s="3">
        <v>0</v>
      </c>
      <c r="BQ97" s="3">
        <v>0.38500000000000001</v>
      </c>
      <c r="BR97" s="3">
        <v>0.85699999999999998</v>
      </c>
      <c r="BS97" s="3">
        <v>0</v>
      </c>
      <c r="BT97" s="3">
        <v>0.58599999999999997</v>
      </c>
      <c r="BU97" s="3">
        <v>0.59416666699999998</v>
      </c>
      <c r="BV97" s="3">
        <v>0</v>
      </c>
      <c r="BW97" s="3">
        <v>0.30199999999999999</v>
      </c>
      <c r="BX97" s="3">
        <v>0.89900000000000002</v>
      </c>
      <c r="BY97" s="3">
        <v>0</v>
      </c>
      <c r="BZ97" s="3">
        <v>0.30199999999999999</v>
      </c>
      <c r="CA97" s="3">
        <v>0.25650000000000001</v>
      </c>
      <c r="CB97" s="3">
        <v>0</v>
      </c>
      <c r="CC97" s="3">
        <v>0.314</v>
      </c>
      <c r="CD97" s="3">
        <v>0.34933333300000002</v>
      </c>
      <c r="CE97" s="3">
        <v>0</v>
      </c>
      <c r="CF97" s="3">
        <v>0.41</v>
      </c>
      <c r="CG97" s="3">
        <v>0.70099999999999996</v>
      </c>
      <c r="CH97" s="3">
        <v>0</v>
      </c>
      <c r="CI97" s="3">
        <v>0.49399999999999999</v>
      </c>
      <c r="CJ97" s="3">
        <v>0.91733333299999997</v>
      </c>
      <c r="CK97" s="3">
        <v>0</v>
      </c>
      <c r="CL97" s="3">
        <v>0.40400000000000003</v>
      </c>
      <c r="CM97" s="3">
        <v>0.01</v>
      </c>
      <c r="CN97" s="3">
        <v>0</v>
      </c>
      <c r="CO97" s="3">
        <v>0.39600000000000002</v>
      </c>
      <c r="CP97" s="3">
        <v>0.82666666700000002</v>
      </c>
      <c r="CQ97" s="3">
        <v>0</v>
      </c>
      <c r="CR97" s="3">
        <v>0.40600000000000003</v>
      </c>
      <c r="CS97" s="3">
        <v>0.90700000000000003</v>
      </c>
      <c r="CT97" s="48" t="s">
        <v>317</v>
      </c>
      <c r="CU97" s="49" t="s">
        <v>351</v>
      </c>
      <c r="CV97" s="3">
        <v>5.476</v>
      </c>
      <c r="CW97" s="3">
        <v>5.923</v>
      </c>
      <c r="CX97" s="3">
        <v>3.7679999999999998</v>
      </c>
      <c r="CY97" s="3">
        <v>4.335</v>
      </c>
      <c r="CZ97" s="3">
        <v>5.992</v>
      </c>
      <c r="DA97" s="3">
        <v>7.9349999999999996</v>
      </c>
      <c r="DB97" s="3">
        <v>4.1070000000000002</v>
      </c>
      <c r="DC97" s="3">
        <v>7.7069999999999999</v>
      </c>
      <c r="DD97" s="3">
        <v>7.1669999999999998</v>
      </c>
      <c r="DE97" s="3">
        <v>5.758</v>
      </c>
      <c r="DF97" s="3">
        <v>6.6470000000000002</v>
      </c>
      <c r="DG97" s="3">
        <v>6.0750000000000002</v>
      </c>
      <c r="DH97" s="3">
        <v>6.0620000000000003</v>
      </c>
    </row>
    <row r="98" spans="1:112" x14ac:dyDescent="0.3">
      <c r="A98" s="48" t="s">
        <v>317</v>
      </c>
      <c r="B98" s="49" t="s">
        <v>352</v>
      </c>
      <c r="C98" s="3">
        <v>33.312131999999998</v>
      </c>
      <c r="D98" s="3">
        <v>28.348236</v>
      </c>
      <c r="E98" s="3">
        <v>26.364366</v>
      </c>
      <c r="F98" s="3">
        <v>26.195526000000001</v>
      </c>
      <c r="G98" s="3">
        <v>26.195526000000001</v>
      </c>
      <c r="H98" s="3">
        <v>30.72888</v>
      </c>
      <c r="I98" s="48" t="s">
        <v>317</v>
      </c>
      <c r="J98" s="49" t="s">
        <v>352</v>
      </c>
      <c r="K98" s="3">
        <v>27046</v>
      </c>
      <c r="L98" s="48" t="s">
        <v>317</v>
      </c>
      <c r="M98" s="49" t="s">
        <v>352</v>
      </c>
      <c r="N98" s="3">
        <v>3186.7414100000001</v>
      </c>
      <c r="O98" s="3">
        <v>3580.3038759999999</v>
      </c>
      <c r="P98" s="3">
        <v>1295.1424529999999</v>
      </c>
      <c r="Q98" s="3">
        <v>1089.395992</v>
      </c>
      <c r="R98" s="3">
        <v>4251.9449800000002</v>
      </c>
      <c r="S98" s="3">
        <v>4202.3847130000004</v>
      </c>
      <c r="T98" s="3">
        <v>2966.153683</v>
      </c>
      <c r="U98" s="3">
        <v>3787.7125649999998</v>
      </c>
      <c r="V98" s="3">
        <v>2398.9758879999999</v>
      </c>
      <c r="W98" s="3">
        <v>1036.4347459999999</v>
      </c>
      <c r="X98" s="3">
        <v>3154.1808209999999</v>
      </c>
      <c r="Y98" s="3">
        <v>212.06312120000001</v>
      </c>
      <c r="Z98" s="3">
        <v>377.64297809999999</v>
      </c>
      <c r="AA98" s="48" t="s">
        <v>317</v>
      </c>
      <c r="AB98" s="49" t="s">
        <v>352</v>
      </c>
      <c r="AC98" s="3">
        <v>401.85953960000001</v>
      </c>
      <c r="AD98" s="3">
        <v>410.70627409999997</v>
      </c>
      <c r="AE98" s="3">
        <v>263.6773369</v>
      </c>
      <c r="AF98" s="3">
        <v>85.236103830000005</v>
      </c>
      <c r="AG98" s="3">
        <v>725.79468069999996</v>
      </c>
      <c r="AH98" s="3">
        <v>614.04793370000004</v>
      </c>
      <c r="AI98" s="3">
        <v>720.78152130000001</v>
      </c>
      <c r="AJ98" s="3">
        <v>516.92648559999998</v>
      </c>
      <c r="AK98" s="3">
        <v>219.79850139999999</v>
      </c>
      <c r="AL98" s="3">
        <v>365.94154259999999</v>
      </c>
      <c r="AM98" s="3">
        <v>620.77251230000002</v>
      </c>
      <c r="AN98" s="3">
        <v>80.778638200000003</v>
      </c>
      <c r="AO98" s="3">
        <v>249.36867960000001</v>
      </c>
      <c r="AP98" s="48" t="s">
        <v>317</v>
      </c>
      <c r="AQ98" s="49" t="s">
        <v>352</v>
      </c>
      <c r="AR98" s="3">
        <v>437.32333999999997</v>
      </c>
      <c r="AS98" s="3">
        <v>902.89749359999996</v>
      </c>
      <c r="AT98" s="3">
        <v>844.18552260000001</v>
      </c>
      <c r="AU98" s="3">
        <v>667.91093120000005</v>
      </c>
      <c r="AV98" s="3">
        <v>293.85722900000002</v>
      </c>
      <c r="AW98" s="3">
        <v>1217.8217649999999</v>
      </c>
      <c r="AX98" s="3">
        <v>726.70453280000004</v>
      </c>
      <c r="AY98" s="3">
        <v>527.59555250000005</v>
      </c>
      <c r="AZ98" s="3">
        <v>487.26111700000001</v>
      </c>
      <c r="BA98" s="3">
        <v>284.75398799999999</v>
      </c>
      <c r="BB98" s="3">
        <v>453.395016</v>
      </c>
      <c r="BC98" s="3">
        <v>133.58903559999999</v>
      </c>
      <c r="BD98" s="3">
        <v>738.33186499999999</v>
      </c>
      <c r="BE98" s="48" t="s">
        <v>317</v>
      </c>
      <c r="BF98" s="49" t="s">
        <v>352</v>
      </c>
      <c r="BG98" s="3">
        <v>0</v>
      </c>
      <c r="BH98" s="3">
        <v>0.318</v>
      </c>
      <c r="BI98" s="3">
        <v>0.83050000000000002</v>
      </c>
      <c r="BJ98" s="3">
        <v>0</v>
      </c>
      <c r="BK98" s="3">
        <v>0.224</v>
      </c>
      <c r="BL98" s="3">
        <v>0.6835</v>
      </c>
      <c r="BM98" s="3">
        <v>0</v>
      </c>
      <c r="BN98" s="3">
        <v>0.26600000000000001</v>
      </c>
      <c r="BO98" s="3">
        <v>0.63600000000000001</v>
      </c>
      <c r="BP98" s="3">
        <v>0</v>
      </c>
      <c r="BQ98" s="3">
        <v>0.36599999999999999</v>
      </c>
      <c r="BR98" s="3">
        <v>0.87466666699999995</v>
      </c>
      <c r="BS98" s="3">
        <v>0</v>
      </c>
      <c r="BT98" s="3">
        <v>0.59399999999999997</v>
      </c>
      <c r="BU98" s="3">
        <v>0.63824999999999998</v>
      </c>
      <c r="BV98" s="3">
        <v>0</v>
      </c>
      <c r="BW98" s="3">
        <v>0.24299999999999999</v>
      </c>
      <c r="BX98" s="3">
        <v>0.89300000000000002</v>
      </c>
      <c r="BY98" s="3">
        <v>0</v>
      </c>
      <c r="BZ98" s="3">
        <v>0.24299999999999999</v>
      </c>
      <c r="CA98" s="3">
        <v>0.18099999999999999</v>
      </c>
      <c r="CB98" s="3">
        <v>0</v>
      </c>
      <c r="CC98" s="3">
        <v>0.33300000000000002</v>
      </c>
      <c r="CD98" s="3">
        <v>0.44600000000000001</v>
      </c>
      <c r="CE98" s="3">
        <v>0</v>
      </c>
      <c r="CF98" s="3">
        <v>0.41599999999999998</v>
      </c>
      <c r="CG98" s="3">
        <v>0.70299999999999996</v>
      </c>
      <c r="CH98" s="3">
        <v>0</v>
      </c>
      <c r="CI98" s="3">
        <v>0.45400000000000001</v>
      </c>
      <c r="CJ98" s="3">
        <v>0.90600000000000003</v>
      </c>
      <c r="CK98" s="3">
        <v>0</v>
      </c>
      <c r="CL98" s="3">
        <v>0.35699999999999998</v>
      </c>
      <c r="CM98" s="3">
        <v>0.01</v>
      </c>
      <c r="CN98" s="3">
        <v>0</v>
      </c>
      <c r="CO98" s="3">
        <v>0.40300000000000002</v>
      </c>
      <c r="CP98" s="3">
        <v>0.82866666700000002</v>
      </c>
      <c r="CQ98" s="3">
        <v>0</v>
      </c>
      <c r="CR98" s="3">
        <v>0.38800000000000001</v>
      </c>
      <c r="CS98" s="3">
        <v>0.89900000000000002</v>
      </c>
      <c r="CT98" s="48" t="s">
        <v>317</v>
      </c>
      <c r="CU98" s="49" t="s">
        <v>352</v>
      </c>
      <c r="CV98" s="3">
        <v>5.1669999999999998</v>
      </c>
      <c r="CW98" s="3">
        <v>4.9000000000000004</v>
      </c>
      <c r="CX98" s="3">
        <v>3.4140000000000001</v>
      </c>
      <c r="CY98" s="3">
        <v>3.8650000000000002</v>
      </c>
      <c r="CZ98" s="3">
        <v>5.657</v>
      </c>
      <c r="DA98" s="3">
        <v>7.843</v>
      </c>
      <c r="DB98" s="3">
        <v>3.2709999999999999</v>
      </c>
      <c r="DC98" s="3">
        <v>7.62</v>
      </c>
      <c r="DD98" s="3">
        <v>6.7270000000000003</v>
      </c>
      <c r="DE98" s="3">
        <v>5.306</v>
      </c>
      <c r="DF98" s="3">
        <v>6.6379999999999999</v>
      </c>
      <c r="DG98" s="3">
        <v>6.0469999999999997</v>
      </c>
      <c r="DH98" s="3">
        <v>5.9809999999999999</v>
      </c>
    </row>
    <row r="99" spans="1:112" x14ac:dyDescent="0.3">
      <c r="A99" s="48" t="s">
        <v>318</v>
      </c>
      <c r="B99" s="49" t="s">
        <v>329</v>
      </c>
      <c r="C99" s="3">
        <v>27.560040000000001</v>
      </c>
      <c r="D99" s="3">
        <v>20.712299999999999</v>
      </c>
      <c r="E99" s="3">
        <v>23.551435000000001</v>
      </c>
      <c r="F99" s="3">
        <v>43.199564000000002</v>
      </c>
      <c r="G99" s="3">
        <v>39.763034269999999</v>
      </c>
      <c r="H99" s="3">
        <v>29.75808</v>
      </c>
      <c r="I99" s="48" t="s">
        <v>318</v>
      </c>
      <c r="J99" s="49" t="s">
        <v>329</v>
      </c>
      <c r="K99" s="3">
        <v>25272.5</v>
      </c>
      <c r="L99" s="48" t="s">
        <v>318</v>
      </c>
      <c r="M99" s="49" t="s">
        <v>329</v>
      </c>
      <c r="N99" s="3">
        <v>486.53459400000003</v>
      </c>
      <c r="O99" s="3">
        <v>723.2100246</v>
      </c>
      <c r="P99" s="3">
        <v>137.09636829999999</v>
      </c>
      <c r="Q99" s="3">
        <v>95.71110582</v>
      </c>
      <c r="R99" s="3">
        <v>913.59546350000005</v>
      </c>
      <c r="S99" s="3">
        <v>852.09061110000005</v>
      </c>
      <c r="T99" s="3">
        <v>361.6628801</v>
      </c>
      <c r="U99" s="3">
        <v>542.78999899999997</v>
      </c>
      <c r="V99" s="3">
        <v>357.90789009999997</v>
      </c>
      <c r="W99" s="3">
        <v>420.88456600000001</v>
      </c>
      <c r="X99" s="3">
        <v>653.86886849999996</v>
      </c>
      <c r="Y99" s="3">
        <v>118.2170174</v>
      </c>
      <c r="Z99" s="3">
        <v>70.825423950000001</v>
      </c>
      <c r="AA99" s="48" t="s">
        <v>318</v>
      </c>
      <c r="AB99" s="49" t="s">
        <v>329</v>
      </c>
      <c r="AC99" s="3">
        <v>222.74621429999999</v>
      </c>
      <c r="AD99" s="3">
        <v>211.522738</v>
      </c>
      <c r="AE99" s="3">
        <v>130.61118020000001</v>
      </c>
      <c r="AF99" s="3">
        <v>40.78329463</v>
      </c>
      <c r="AG99" s="3">
        <v>402.97147430000001</v>
      </c>
      <c r="AH99" s="3">
        <v>292.99963070000001</v>
      </c>
      <c r="AI99" s="3">
        <v>278.31590499999999</v>
      </c>
      <c r="AJ99" s="3">
        <v>245.22372899999999</v>
      </c>
      <c r="AK99" s="3">
        <v>118.7258848</v>
      </c>
      <c r="AL99" s="3">
        <v>180.99046809999999</v>
      </c>
      <c r="AM99" s="3">
        <v>262.32036820000002</v>
      </c>
      <c r="AN99" s="3">
        <v>38.904058650000003</v>
      </c>
      <c r="AO99" s="3">
        <v>130.9970687</v>
      </c>
      <c r="AP99" s="48" t="s">
        <v>318</v>
      </c>
      <c r="AQ99" s="49" t="s">
        <v>329</v>
      </c>
      <c r="AR99" s="3">
        <v>380.18636179999999</v>
      </c>
      <c r="AS99" s="3">
        <v>828.8699421</v>
      </c>
      <c r="AT99" s="3">
        <v>653.56691920000003</v>
      </c>
      <c r="AU99" s="3">
        <v>675.44518040000003</v>
      </c>
      <c r="AV99" s="3">
        <v>124.57823089999999</v>
      </c>
      <c r="AW99" s="3">
        <v>1028.4877409999999</v>
      </c>
      <c r="AX99" s="3">
        <v>607.66957439999999</v>
      </c>
      <c r="AY99" s="3">
        <v>716.10804729999995</v>
      </c>
      <c r="AZ99" s="3">
        <v>326.83368189999999</v>
      </c>
      <c r="BA99" s="3">
        <v>197.73821469999999</v>
      </c>
      <c r="BB99" s="3">
        <v>445.11013279999997</v>
      </c>
      <c r="BC99" s="3">
        <v>105.1642588</v>
      </c>
      <c r="BD99" s="3">
        <v>730.26317700000004</v>
      </c>
      <c r="BE99" s="48" t="s">
        <v>318</v>
      </c>
      <c r="BF99" s="49" t="s">
        <v>329</v>
      </c>
      <c r="BG99" s="3">
        <v>0</v>
      </c>
      <c r="BH99" s="3">
        <v>0.112</v>
      </c>
      <c r="BI99" s="3">
        <v>0.3705</v>
      </c>
      <c r="BJ99" s="3">
        <v>0</v>
      </c>
      <c r="BK99" s="3">
        <v>2.5000000000000001E-2</v>
      </c>
      <c r="BL99" s="3">
        <v>0.25600000000000001</v>
      </c>
      <c r="BM99" s="3">
        <v>0</v>
      </c>
      <c r="BN99" s="3">
        <v>0.193</v>
      </c>
      <c r="BO99" s="3">
        <v>0.16850000000000001</v>
      </c>
      <c r="BP99" s="3">
        <v>0</v>
      </c>
      <c r="BQ99" s="3">
        <v>0.20499999999999999</v>
      </c>
      <c r="BR99" s="3">
        <v>0.304666667</v>
      </c>
      <c r="BS99" s="3">
        <v>0</v>
      </c>
      <c r="BT99" s="3">
        <v>0.23100000000000001</v>
      </c>
      <c r="BU99" s="3">
        <v>0.42541666700000003</v>
      </c>
      <c r="BV99" s="3">
        <v>0</v>
      </c>
      <c r="BW99" s="3">
        <v>0.158</v>
      </c>
      <c r="BX99" s="3">
        <v>0.37</v>
      </c>
      <c r="BY99" s="3">
        <v>0</v>
      </c>
      <c r="BZ99" s="3">
        <v>0.16900000000000001</v>
      </c>
      <c r="CA99" s="3">
        <v>8.2500000000000004E-2</v>
      </c>
      <c r="CB99" s="3">
        <v>0</v>
      </c>
      <c r="CC99" s="3">
        <v>0.35299999999999998</v>
      </c>
      <c r="CD99" s="3">
        <v>0.48033333299999997</v>
      </c>
      <c r="CE99" s="3">
        <v>0</v>
      </c>
      <c r="CF99" s="3">
        <v>0.32</v>
      </c>
      <c r="CG99" s="3">
        <v>0.69399999999999995</v>
      </c>
      <c r="CH99" s="3">
        <v>0</v>
      </c>
      <c r="CI99" s="3">
        <v>0.32</v>
      </c>
      <c r="CJ99" s="3">
        <v>0.50533333300000005</v>
      </c>
      <c r="CK99" s="3">
        <v>0</v>
      </c>
      <c r="CL99" s="3">
        <v>0.28899999999999998</v>
      </c>
      <c r="CM99" s="3">
        <v>0.1</v>
      </c>
      <c r="CN99" s="3">
        <v>0</v>
      </c>
      <c r="CO99" s="3">
        <v>0.16800000000000001</v>
      </c>
      <c r="CP99" s="3">
        <v>0.39566666700000003</v>
      </c>
      <c r="CQ99" s="3">
        <v>0</v>
      </c>
      <c r="CR99" s="3">
        <v>8.5000000000000006E-2</v>
      </c>
      <c r="CS99" s="3">
        <v>0.14000000000000001</v>
      </c>
      <c r="CT99" s="48" t="s">
        <v>318</v>
      </c>
      <c r="CU99" s="49" t="s">
        <v>329</v>
      </c>
      <c r="CV99" s="3">
        <v>16.190999999999999</v>
      </c>
      <c r="CW99" s="3">
        <v>14.750999999999999</v>
      </c>
      <c r="CX99" s="3">
        <v>11.766</v>
      </c>
      <c r="CY99" s="3">
        <v>9.3040000000000003</v>
      </c>
      <c r="CZ99" s="3">
        <v>16.093</v>
      </c>
      <c r="DA99" s="3">
        <v>11.83</v>
      </c>
      <c r="DB99" s="3">
        <v>8.0830000000000002</v>
      </c>
      <c r="DC99" s="3">
        <v>16.010000000000002</v>
      </c>
      <c r="DD99" s="3">
        <v>15.895</v>
      </c>
      <c r="DE99" s="3">
        <v>15.893000000000001</v>
      </c>
      <c r="DF99" s="3">
        <v>15.72</v>
      </c>
      <c r="DG99" s="3">
        <v>11.814</v>
      </c>
      <c r="DH99" s="3">
        <v>14.375</v>
      </c>
    </row>
    <row r="100" spans="1:112" x14ac:dyDescent="0.3">
      <c r="A100" s="48" t="s">
        <v>318</v>
      </c>
      <c r="B100" s="49" t="s">
        <v>330</v>
      </c>
      <c r="C100" s="3">
        <v>27.545950000000001</v>
      </c>
      <c r="D100" s="3">
        <v>17.999974999999999</v>
      </c>
      <c r="E100" s="3">
        <v>25.61562</v>
      </c>
      <c r="F100" s="3">
        <v>43.208398270000004</v>
      </c>
      <c r="G100" s="3">
        <v>37.466124929999999</v>
      </c>
      <c r="H100" s="3">
        <v>42.262954999999998</v>
      </c>
      <c r="I100" s="48" t="s">
        <v>318</v>
      </c>
      <c r="J100" s="49" t="s">
        <v>330</v>
      </c>
      <c r="K100" s="3">
        <v>24572.5</v>
      </c>
      <c r="L100" s="48" t="s">
        <v>318</v>
      </c>
      <c r="M100" s="49" t="s">
        <v>330</v>
      </c>
      <c r="N100" s="3">
        <v>260.05590169999999</v>
      </c>
      <c r="O100" s="3">
        <v>436.86202839999999</v>
      </c>
      <c r="P100" s="3">
        <v>119.2237514</v>
      </c>
      <c r="Q100" s="3">
        <v>161.7055028</v>
      </c>
      <c r="R100" s="3">
        <v>495.69877700000001</v>
      </c>
      <c r="S100" s="3">
        <v>443.66080340000002</v>
      </c>
      <c r="T100" s="3">
        <v>236.43086450000001</v>
      </c>
      <c r="U100" s="3">
        <v>369.00140800000003</v>
      </c>
      <c r="V100" s="3">
        <v>164.41062020000001</v>
      </c>
      <c r="W100" s="3">
        <v>247.69105200000001</v>
      </c>
      <c r="X100" s="3">
        <v>291.34323269999999</v>
      </c>
      <c r="Y100" s="3">
        <v>119.95376229999999</v>
      </c>
      <c r="Z100" s="3">
        <v>105.51304829999999</v>
      </c>
      <c r="AA100" s="48" t="s">
        <v>318</v>
      </c>
      <c r="AB100" s="49" t="s">
        <v>330</v>
      </c>
      <c r="AC100" s="3">
        <v>263.67484730000001</v>
      </c>
      <c r="AD100" s="3">
        <v>250.3891069</v>
      </c>
      <c r="AE100" s="3">
        <v>154.6104076</v>
      </c>
      <c r="AF100" s="3">
        <v>47.174706469999997</v>
      </c>
      <c r="AG100" s="3">
        <v>477.01570270000002</v>
      </c>
      <c r="AH100" s="3">
        <v>346.83701869999999</v>
      </c>
      <c r="AI100" s="3">
        <v>321.93257670000003</v>
      </c>
      <c r="AJ100" s="3">
        <v>290.28250600000001</v>
      </c>
      <c r="AK100" s="3">
        <v>140.5412417</v>
      </c>
      <c r="AL100" s="3">
        <v>214.24666719999999</v>
      </c>
      <c r="AM100" s="3">
        <v>303.43027660000001</v>
      </c>
      <c r="AN100" s="3">
        <v>46.052507589999998</v>
      </c>
      <c r="AO100" s="3">
        <v>155.06720150000001</v>
      </c>
      <c r="AP100" s="48" t="s">
        <v>318</v>
      </c>
      <c r="AQ100" s="49" t="s">
        <v>330</v>
      </c>
      <c r="AR100" s="3">
        <v>425.41299220000002</v>
      </c>
      <c r="AS100" s="3">
        <v>927.47157089999996</v>
      </c>
      <c r="AT100" s="3">
        <v>731.31465679999997</v>
      </c>
      <c r="AU100" s="3">
        <v>734.9033829</v>
      </c>
      <c r="AV100" s="3">
        <v>139.39794610000001</v>
      </c>
      <c r="AW100" s="3">
        <v>1150.8357249999999</v>
      </c>
      <c r="AX100" s="3">
        <v>661.16161439999996</v>
      </c>
      <c r="AY100" s="3">
        <v>801.29562169999997</v>
      </c>
      <c r="AZ100" s="3">
        <v>365.71352510000003</v>
      </c>
      <c r="BA100" s="3">
        <v>221.26097630000001</v>
      </c>
      <c r="BB100" s="3">
        <v>484.29236279999998</v>
      </c>
      <c r="BC100" s="3">
        <v>117.6745052</v>
      </c>
      <c r="BD100" s="3">
        <v>817.13463300000001</v>
      </c>
      <c r="BE100" s="48" t="s">
        <v>318</v>
      </c>
      <c r="BF100" s="49" t="s">
        <v>330</v>
      </c>
      <c r="BG100" s="3">
        <v>0</v>
      </c>
      <c r="BH100" s="3">
        <v>0.127</v>
      </c>
      <c r="BI100" s="3">
        <v>0.40699999999999997</v>
      </c>
      <c r="BJ100" s="3">
        <v>0</v>
      </c>
      <c r="BK100" s="3">
        <v>4.1000000000000002E-2</v>
      </c>
      <c r="BL100" s="3">
        <v>0.20899999999999999</v>
      </c>
      <c r="BM100" s="3">
        <v>0</v>
      </c>
      <c r="BN100" s="3">
        <v>0.20499999999999999</v>
      </c>
      <c r="BO100" s="3">
        <v>0.14050000000000001</v>
      </c>
      <c r="BP100" s="3">
        <v>0</v>
      </c>
      <c r="BQ100" s="3">
        <v>0.23200000000000001</v>
      </c>
      <c r="BR100" s="3">
        <v>0.33966666699999998</v>
      </c>
      <c r="BS100" s="3">
        <v>0</v>
      </c>
      <c r="BT100" s="3">
        <v>0.249</v>
      </c>
      <c r="BU100" s="3">
        <v>0.44750000000000001</v>
      </c>
      <c r="BV100" s="3">
        <v>0</v>
      </c>
      <c r="BW100" s="3">
        <v>0.186</v>
      </c>
      <c r="BX100" s="3">
        <v>0.436</v>
      </c>
      <c r="BY100" s="3">
        <v>0</v>
      </c>
      <c r="BZ100" s="3">
        <v>0.18099999999999999</v>
      </c>
      <c r="CA100" s="3">
        <v>0.09</v>
      </c>
      <c r="CB100" s="3">
        <v>0</v>
      </c>
      <c r="CC100" s="3">
        <v>0.379</v>
      </c>
      <c r="CD100" s="3">
        <v>0.48799999999999999</v>
      </c>
      <c r="CE100" s="3">
        <v>0</v>
      </c>
      <c r="CF100" s="3">
        <v>0.314</v>
      </c>
      <c r="CG100" s="3">
        <v>0.72450000000000003</v>
      </c>
      <c r="CH100" s="3">
        <v>0</v>
      </c>
      <c r="CI100" s="3">
        <v>0.313</v>
      </c>
      <c r="CJ100" s="3">
        <v>0.44666666700000002</v>
      </c>
      <c r="CK100" s="3">
        <v>0</v>
      </c>
      <c r="CL100" s="3">
        <v>0.26800000000000002</v>
      </c>
      <c r="CM100" s="3">
        <v>0.1</v>
      </c>
      <c r="CN100" s="3">
        <v>0</v>
      </c>
      <c r="CO100" s="3">
        <v>0.20100000000000001</v>
      </c>
      <c r="CP100" s="3">
        <v>0.41599999999999998</v>
      </c>
      <c r="CQ100" s="3">
        <v>0</v>
      </c>
      <c r="CR100" s="3">
        <v>0.13</v>
      </c>
      <c r="CS100" s="3">
        <v>0.22600000000000001</v>
      </c>
      <c r="CT100" s="48" t="s">
        <v>318</v>
      </c>
      <c r="CU100" s="49" t="s">
        <v>330</v>
      </c>
      <c r="CV100" s="3">
        <v>16.024999999999999</v>
      </c>
      <c r="CW100" s="3">
        <v>14.276999999999999</v>
      </c>
      <c r="CX100" s="3">
        <v>11.646000000000001</v>
      </c>
      <c r="CY100" s="3">
        <v>8.68</v>
      </c>
      <c r="CZ100" s="3">
        <v>15.815</v>
      </c>
      <c r="DA100" s="3">
        <v>11.654999999999999</v>
      </c>
      <c r="DB100" s="3">
        <v>7.9029999999999996</v>
      </c>
      <c r="DC100" s="3">
        <v>15.929</v>
      </c>
      <c r="DD100" s="3">
        <v>15.74</v>
      </c>
      <c r="DE100" s="3">
        <v>15.737</v>
      </c>
      <c r="DF100" s="3">
        <v>15.444000000000001</v>
      </c>
      <c r="DG100" s="3">
        <v>11.46</v>
      </c>
      <c r="DH100" s="3">
        <v>14.07</v>
      </c>
    </row>
    <row r="101" spans="1:112" x14ac:dyDescent="0.3">
      <c r="A101" s="48" t="s">
        <v>318</v>
      </c>
      <c r="B101" s="49" t="s">
        <v>331</v>
      </c>
      <c r="C101" s="3">
        <v>26.4892</v>
      </c>
      <c r="D101" s="3">
        <v>19.831675000000001</v>
      </c>
      <c r="E101" s="3">
        <v>23.008970000000001</v>
      </c>
      <c r="F101" s="3">
        <v>43.128889870000002</v>
      </c>
      <c r="G101" s="3">
        <v>37.360113730000002</v>
      </c>
      <c r="H101" s="3">
        <v>29.948295000000002</v>
      </c>
      <c r="I101" s="48" t="s">
        <v>318</v>
      </c>
      <c r="J101" s="49" t="s">
        <v>331</v>
      </c>
      <c r="K101" s="3">
        <v>24193.5</v>
      </c>
      <c r="L101" s="48" t="s">
        <v>318</v>
      </c>
      <c r="M101" s="49" t="s">
        <v>331</v>
      </c>
      <c r="N101" s="3">
        <v>250.99521910000001</v>
      </c>
      <c r="O101" s="3">
        <v>394.7804577</v>
      </c>
      <c r="P101" s="3">
        <v>101.3511345</v>
      </c>
      <c r="Q101" s="3">
        <v>140.44889420000001</v>
      </c>
      <c r="R101" s="3">
        <v>434.62348880000002</v>
      </c>
      <c r="S101" s="3">
        <v>342.86013550000001</v>
      </c>
      <c r="T101" s="3">
        <v>208.15232370000001</v>
      </c>
      <c r="U101" s="3">
        <v>399.81861709999998</v>
      </c>
      <c r="V101" s="3">
        <v>432.87252389999998</v>
      </c>
      <c r="W101" s="3">
        <v>234.9793755</v>
      </c>
      <c r="X101" s="3">
        <v>275.16850870000002</v>
      </c>
      <c r="Y101" s="3">
        <v>66.976523389999997</v>
      </c>
      <c r="Z101" s="3">
        <v>104.23979249999999</v>
      </c>
      <c r="AA101" s="48" t="s">
        <v>318</v>
      </c>
      <c r="AB101" s="49" t="s">
        <v>331</v>
      </c>
      <c r="AC101" s="3">
        <v>245.5717981</v>
      </c>
      <c r="AD101" s="3">
        <v>233.19821300000001</v>
      </c>
      <c r="AE101" s="3">
        <v>143.99536470000001</v>
      </c>
      <c r="AF101" s="3">
        <v>48.392118250000003</v>
      </c>
      <c r="AG101" s="3">
        <v>444.26537089999999</v>
      </c>
      <c r="AH101" s="3">
        <v>323.02432779999998</v>
      </c>
      <c r="AI101" s="3">
        <v>330.24051420000001</v>
      </c>
      <c r="AJ101" s="3">
        <v>270.35266230000002</v>
      </c>
      <c r="AK101" s="3">
        <v>130.89214150000001</v>
      </c>
      <c r="AL101" s="3">
        <v>199.5371945</v>
      </c>
      <c r="AM101" s="3">
        <v>311.26073539999999</v>
      </c>
      <c r="AN101" s="3">
        <v>42.890693640000002</v>
      </c>
      <c r="AO101" s="3">
        <v>144.42079659999999</v>
      </c>
      <c r="AP101" s="48" t="s">
        <v>318</v>
      </c>
      <c r="AQ101" s="49" t="s">
        <v>331</v>
      </c>
      <c r="AR101" s="3">
        <v>455.09296840000002</v>
      </c>
      <c r="AS101" s="3">
        <v>992.17888979999998</v>
      </c>
      <c r="AT101" s="3">
        <v>782.33660959999997</v>
      </c>
      <c r="AU101" s="3">
        <v>761.06499199999996</v>
      </c>
      <c r="AV101" s="3">
        <v>149.1233842</v>
      </c>
      <c r="AW101" s="3">
        <v>1231.126589</v>
      </c>
      <c r="AX101" s="3">
        <v>684.69811200000004</v>
      </c>
      <c r="AY101" s="3">
        <v>857.19996739999999</v>
      </c>
      <c r="AZ101" s="3">
        <v>391.22842220000001</v>
      </c>
      <c r="BA101" s="3">
        <v>236.6977886</v>
      </c>
      <c r="BB101" s="3">
        <v>501.53254399999997</v>
      </c>
      <c r="BC101" s="3">
        <v>125.88435440000001</v>
      </c>
      <c r="BD101" s="3">
        <v>874.14402600000005</v>
      </c>
      <c r="BE101" s="48" t="s">
        <v>318</v>
      </c>
      <c r="BF101" s="49" t="s">
        <v>331</v>
      </c>
      <c r="BG101" s="3">
        <v>0</v>
      </c>
      <c r="BH101" s="3">
        <v>0.13600000000000001</v>
      </c>
      <c r="BI101" s="3">
        <v>0.4395</v>
      </c>
      <c r="BJ101" s="3">
        <v>0</v>
      </c>
      <c r="BK101" s="3">
        <v>7.1999999999999995E-2</v>
      </c>
      <c r="BL101" s="3">
        <v>0.1545</v>
      </c>
      <c r="BM101" s="3">
        <v>0</v>
      </c>
      <c r="BN101" s="3">
        <v>0.22700000000000001</v>
      </c>
      <c r="BO101" s="3">
        <v>0.13350000000000001</v>
      </c>
      <c r="BP101" s="3">
        <v>0</v>
      </c>
      <c r="BQ101" s="3">
        <v>0.26300000000000001</v>
      </c>
      <c r="BR101" s="3">
        <v>0.39666666699999997</v>
      </c>
      <c r="BS101" s="3">
        <v>0</v>
      </c>
      <c r="BT101" s="3">
        <v>0.25900000000000001</v>
      </c>
      <c r="BU101" s="3">
        <v>0.48041666700000002</v>
      </c>
      <c r="BV101" s="3">
        <v>0</v>
      </c>
      <c r="BW101" s="3">
        <v>0.22700000000000001</v>
      </c>
      <c r="BX101" s="3">
        <v>0.504</v>
      </c>
      <c r="BY101" s="3">
        <v>0</v>
      </c>
      <c r="BZ101" s="3">
        <v>0.20100000000000001</v>
      </c>
      <c r="CA101" s="3">
        <v>0.10050000000000001</v>
      </c>
      <c r="CB101" s="3">
        <v>0</v>
      </c>
      <c r="CC101" s="3">
        <v>0.39500000000000002</v>
      </c>
      <c r="CD101" s="3">
        <v>0.52133333299999995</v>
      </c>
      <c r="CE101" s="3">
        <v>0</v>
      </c>
      <c r="CF101" s="3">
        <v>0.30199999999999999</v>
      </c>
      <c r="CG101" s="3">
        <v>0.72799999999999998</v>
      </c>
      <c r="CH101" s="3">
        <v>0</v>
      </c>
      <c r="CI101" s="3">
        <v>0.3</v>
      </c>
      <c r="CJ101" s="3">
        <v>0.37633333299999999</v>
      </c>
      <c r="CK101" s="3">
        <v>0</v>
      </c>
      <c r="CL101" s="3">
        <v>0.248</v>
      </c>
      <c r="CM101" s="3">
        <v>0.1</v>
      </c>
      <c r="CN101" s="3">
        <v>0</v>
      </c>
      <c r="CO101" s="3">
        <v>0.24099999999999999</v>
      </c>
      <c r="CP101" s="3">
        <v>0.441</v>
      </c>
      <c r="CQ101" s="3">
        <v>0</v>
      </c>
      <c r="CR101" s="3">
        <v>0.182</v>
      </c>
      <c r="CS101" s="3">
        <v>0.35099999999999998</v>
      </c>
      <c r="CT101" s="48" t="s">
        <v>318</v>
      </c>
      <c r="CU101" s="49" t="s">
        <v>331</v>
      </c>
      <c r="CV101" s="3">
        <v>15.861000000000001</v>
      </c>
      <c r="CW101" s="3">
        <v>13.916</v>
      </c>
      <c r="CX101" s="3">
        <v>11.648</v>
      </c>
      <c r="CY101" s="3">
        <v>8.0180000000000007</v>
      </c>
      <c r="CZ101" s="3">
        <v>15.587999999999999</v>
      </c>
      <c r="DA101" s="3">
        <v>11.474</v>
      </c>
      <c r="DB101" s="3">
        <v>7.7039999999999997</v>
      </c>
      <c r="DC101" s="3">
        <v>15.859</v>
      </c>
      <c r="DD101" s="3">
        <v>15.581</v>
      </c>
      <c r="DE101" s="3">
        <v>15.573</v>
      </c>
      <c r="DF101" s="3">
        <v>15.239000000000001</v>
      </c>
      <c r="DG101" s="3">
        <v>11.105</v>
      </c>
      <c r="DH101" s="3">
        <v>13.901999999999999</v>
      </c>
    </row>
    <row r="102" spans="1:112" x14ac:dyDescent="0.3">
      <c r="A102" s="48" t="s">
        <v>318</v>
      </c>
      <c r="B102" s="49" t="s">
        <v>332</v>
      </c>
      <c r="C102" s="3">
        <v>26.4892</v>
      </c>
      <c r="D102" s="3">
        <v>25.79879</v>
      </c>
      <c r="E102" s="3">
        <v>25.79879</v>
      </c>
      <c r="F102" s="3">
        <v>43.102387069999999</v>
      </c>
      <c r="G102" s="3">
        <v>37.457290669999999</v>
      </c>
      <c r="H102" s="3">
        <v>25.79879</v>
      </c>
      <c r="I102" s="48" t="s">
        <v>318</v>
      </c>
      <c r="J102" s="49" t="s">
        <v>332</v>
      </c>
      <c r="K102" s="3">
        <v>24048.5</v>
      </c>
      <c r="L102" s="48" t="s">
        <v>318</v>
      </c>
      <c r="M102" s="49" t="s">
        <v>332</v>
      </c>
      <c r="N102" s="3">
        <v>255.04786490000001</v>
      </c>
      <c r="O102" s="3">
        <v>541.39505020000001</v>
      </c>
      <c r="P102" s="3">
        <v>79.831888520000007</v>
      </c>
      <c r="Q102" s="3">
        <v>110.0166402</v>
      </c>
      <c r="R102" s="3">
        <v>342.86418329999998</v>
      </c>
      <c r="S102" s="3">
        <v>403.76083</v>
      </c>
      <c r="T102" s="3">
        <v>172.93368910000001</v>
      </c>
      <c r="U102" s="3">
        <v>400.97037039999998</v>
      </c>
      <c r="V102" s="3">
        <v>409.46786559999998</v>
      </c>
      <c r="W102" s="3">
        <v>216.74954589999999</v>
      </c>
      <c r="X102" s="3">
        <v>226.28865160000001</v>
      </c>
      <c r="Y102" s="3">
        <v>45.90526594</v>
      </c>
      <c r="Z102" s="3">
        <v>102.9665366</v>
      </c>
      <c r="AA102" s="48" t="s">
        <v>318</v>
      </c>
      <c r="AB102" s="49" t="s">
        <v>332</v>
      </c>
      <c r="AC102" s="3">
        <v>243.99761989999999</v>
      </c>
      <c r="AD102" s="3">
        <v>231.70335259999999</v>
      </c>
      <c r="AE102" s="3">
        <v>143.0723175</v>
      </c>
      <c r="AF102" s="3">
        <v>54.327000679999998</v>
      </c>
      <c r="AG102" s="3">
        <v>441.41751599999998</v>
      </c>
      <c r="AH102" s="3">
        <v>320.95365909999998</v>
      </c>
      <c r="AI102" s="3">
        <v>370.74170930000002</v>
      </c>
      <c r="AJ102" s="3">
        <v>268.61963250000002</v>
      </c>
      <c r="AK102" s="3">
        <v>130.0530894</v>
      </c>
      <c r="AL102" s="3">
        <v>198.25810989999999</v>
      </c>
      <c r="AM102" s="3">
        <v>349.43422179999999</v>
      </c>
      <c r="AN102" s="3">
        <v>42.615753290000001</v>
      </c>
      <c r="AO102" s="3">
        <v>143.49502229999999</v>
      </c>
      <c r="AP102" s="48" t="s">
        <v>318</v>
      </c>
      <c r="AQ102" s="49" t="s">
        <v>332</v>
      </c>
      <c r="AR102" s="3">
        <v>503.14626320000002</v>
      </c>
      <c r="AS102" s="3">
        <v>1096.9431199999999</v>
      </c>
      <c r="AT102" s="3">
        <v>864.94358079999995</v>
      </c>
      <c r="AU102" s="3">
        <v>834.79316310000002</v>
      </c>
      <c r="AV102" s="3">
        <v>164.86933160000001</v>
      </c>
      <c r="AW102" s="3">
        <v>1361.121322</v>
      </c>
      <c r="AX102" s="3">
        <v>751.0282416</v>
      </c>
      <c r="AY102" s="3">
        <v>947.71176519999995</v>
      </c>
      <c r="AZ102" s="3">
        <v>432.53825560000001</v>
      </c>
      <c r="BA102" s="3">
        <v>261.6907228</v>
      </c>
      <c r="BB102" s="3">
        <v>550.11850919999995</v>
      </c>
      <c r="BC102" s="3">
        <v>139.17649119999999</v>
      </c>
      <c r="BD102" s="3">
        <v>966.44494799999995</v>
      </c>
      <c r="BE102" s="48" t="s">
        <v>318</v>
      </c>
      <c r="BF102" s="49" t="s">
        <v>332</v>
      </c>
      <c r="BG102" s="3">
        <v>0</v>
      </c>
      <c r="BH102" s="3">
        <v>0.13700000000000001</v>
      </c>
      <c r="BI102" s="3">
        <v>0.44400000000000001</v>
      </c>
      <c r="BJ102" s="3">
        <v>0</v>
      </c>
      <c r="BK102" s="3">
        <v>0.11799999999999999</v>
      </c>
      <c r="BL102" s="3">
        <v>0.1065</v>
      </c>
      <c r="BM102" s="3">
        <v>0</v>
      </c>
      <c r="BN102" s="3">
        <v>0.22500000000000001</v>
      </c>
      <c r="BO102" s="3">
        <v>0.14149999999999999</v>
      </c>
      <c r="BP102" s="3">
        <v>0</v>
      </c>
      <c r="BQ102" s="3">
        <v>0.25700000000000001</v>
      </c>
      <c r="BR102" s="3">
        <v>0.453333333</v>
      </c>
      <c r="BS102" s="3">
        <v>0</v>
      </c>
      <c r="BT102" s="3">
        <v>0.252</v>
      </c>
      <c r="BU102" s="3">
        <v>0.485666667</v>
      </c>
      <c r="BV102" s="3">
        <v>0</v>
      </c>
      <c r="BW102" s="3">
        <v>0.26100000000000001</v>
      </c>
      <c r="BX102" s="3">
        <v>0.53700000000000003</v>
      </c>
      <c r="BY102" s="3">
        <v>0</v>
      </c>
      <c r="BZ102" s="3">
        <v>0.217</v>
      </c>
      <c r="CA102" s="3">
        <v>0.1085</v>
      </c>
      <c r="CB102" s="3">
        <v>0</v>
      </c>
      <c r="CC102" s="3">
        <v>0.39</v>
      </c>
      <c r="CD102" s="3">
        <v>0.52733333299999996</v>
      </c>
      <c r="CE102" s="3">
        <v>0</v>
      </c>
      <c r="CF102" s="3">
        <v>0.26500000000000001</v>
      </c>
      <c r="CG102" s="3">
        <v>0.70050000000000001</v>
      </c>
      <c r="CH102" s="3">
        <v>0</v>
      </c>
      <c r="CI102" s="3">
        <v>0.26400000000000001</v>
      </c>
      <c r="CJ102" s="3">
        <v>0.31966666700000002</v>
      </c>
      <c r="CK102" s="3">
        <v>0</v>
      </c>
      <c r="CL102" s="3">
        <v>0.20799999999999999</v>
      </c>
      <c r="CM102" s="3">
        <v>0.1</v>
      </c>
      <c r="CN102" s="3">
        <v>0</v>
      </c>
      <c r="CO102" s="3">
        <v>0.26400000000000001</v>
      </c>
      <c r="CP102" s="3">
        <v>0.447333333</v>
      </c>
      <c r="CQ102" s="3">
        <v>0</v>
      </c>
      <c r="CR102" s="3">
        <v>0.22700000000000001</v>
      </c>
      <c r="CS102" s="3">
        <v>0.48299999999999998</v>
      </c>
      <c r="CT102" s="48" t="s">
        <v>318</v>
      </c>
      <c r="CU102" s="49" t="s">
        <v>332</v>
      </c>
      <c r="CV102" s="3">
        <v>15.693</v>
      </c>
      <c r="CW102" s="3">
        <v>13.545999999999999</v>
      </c>
      <c r="CX102" s="3">
        <v>11.305</v>
      </c>
      <c r="CY102" s="3">
        <v>7.6150000000000002</v>
      </c>
      <c r="CZ102" s="3">
        <v>15.385</v>
      </c>
      <c r="DA102" s="3">
        <v>11.284000000000001</v>
      </c>
      <c r="DB102" s="3">
        <v>7.4539999999999997</v>
      </c>
      <c r="DC102" s="3">
        <v>15.792999999999999</v>
      </c>
      <c r="DD102" s="3">
        <v>15.445</v>
      </c>
      <c r="DE102" s="3">
        <v>15.435</v>
      </c>
      <c r="DF102" s="3">
        <v>14.936</v>
      </c>
      <c r="DG102" s="3">
        <v>10.817</v>
      </c>
      <c r="DH102" s="3">
        <v>13.464</v>
      </c>
    </row>
    <row r="103" spans="1:112" x14ac:dyDescent="0.3">
      <c r="A103" s="48" t="s">
        <v>318</v>
      </c>
      <c r="B103" s="49" t="s">
        <v>333</v>
      </c>
      <c r="C103" s="3">
        <v>26.4892</v>
      </c>
      <c r="D103" s="3">
        <v>31.646139999999999</v>
      </c>
      <c r="E103" s="3">
        <v>31.646139999999999</v>
      </c>
      <c r="F103" s="3">
        <v>43.226066799999998</v>
      </c>
      <c r="G103" s="3">
        <v>36.653372400000002</v>
      </c>
      <c r="H103" s="3">
        <v>31.646139999999999</v>
      </c>
      <c r="I103" s="48" t="s">
        <v>318</v>
      </c>
      <c r="J103" s="49" t="s">
        <v>333</v>
      </c>
      <c r="K103" s="3">
        <v>24461</v>
      </c>
      <c r="L103" s="48" t="s">
        <v>318</v>
      </c>
      <c r="M103" s="49" t="s">
        <v>333</v>
      </c>
      <c r="N103" s="3">
        <v>102.6075591</v>
      </c>
      <c r="O103" s="3">
        <v>180.0511999</v>
      </c>
      <c r="P103" s="3">
        <v>212.40853509999999</v>
      </c>
      <c r="Q103" s="3">
        <v>86.724683729999995</v>
      </c>
      <c r="R103" s="3">
        <v>175.94123880000001</v>
      </c>
      <c r="S103" s="3">
        <v>180.36393279999999</v>
      </c>
      <c r="T103" s="3">
        <v>337.3676658</v>
      </c>
      <c r="U103" s="3">
        <v>392.26077950000001</v>
      </c>
      <c r="V103" s="3">
        <v>261.60243750000001</v>
      </c>
      <c r="W103" s="3">
        <v>118.82122769999999</v>
      </c>
      <c r="X103" s="3">
        <v>124.5329164</v>
      </c>
      <c r="Y103" s="3">
        <v>68.873427160000006</v>
      </c>
      <c r="Z103" s="3">
        <v>114.99931599999999</v>
      </c>
      <c r="AA103" s="48" t="s">
        <v>318</v>
      </c>
      <c r="AB103" s="49" t="s">
        <v>333</v>
      </c>
      <c r="AC103" s="3">
        <v>336.87413329999998</v>
      </c>
      <c r="AD103" s="3">
        <v>319.9001126</v>
      </c>
      <c r="AE103" s="3">
        <v>197.53210290000001</v>
      </c>
      <c r="AF103" s="3">
        <v>74.870824459999994</v>
      </c>
      <c r="AG103" s="3">
        <v>609.44095749999997</v>
      </c>
      <c r="AH103" s="3">
        <v>443.12311640000001</v>
      </c>
      <c r="AI103" s="3">
        <v>510.938154</v>
      </c>
      <c r="AJ103" s="3">
        <v>370.86839579999997</v>
      </c>
      <c r="AK103" s="3">
        <v>179.55716849999999</v>
      </c>
      <c r="AL103" s="3">
        <v>273.72410009999999</v>
      </c>
      <c r="AM103" s="3">
        <v>481.5732132</v>
      </c>
      <c r="AN103" s="3">
        <v>58.837233580000003</v>
      </c>
      <c r="AO103" s="3">
        <v>198.1157082</v>
      </c>
      <c r="AP103" s="48" t="s">
        <v>318</v>
      </c>
      <c r="AQ103" s="49" t="s">
        <v>333</v>
      </c>
      <c r="AR103" s="3">
        <v>589.35952740000005</v>
      </c>
      <c r="AS103" s="3">
        <v>1284.9024750000001</v>
      </c>
      <c r="AT103" s="3">
        <v>1013.150206</v>
      </c>
      <c r="AU103" s="3">
        <v>958.46622430000002</v>
      </c>
      <c r="AV103" s="3">
        <v>193.1194137</v>
      </c>
      <c r="AW103" s="3">
        <v>1594.3471669999999</v>
      </c>
      <c r="AX103" s="3">
        <v>862.29168479999998</v>
      </c>
      <c r="AY103" s="3">
        <v>1110.1005789999999</v>
      </c>
      <c r="AZ103" s="3">
        <v>506.6529567</v>
      </c>
      <c r="BA103" s="3">
        <v>306.5309871</v>
      </c>
      <c r="BB103" s="3">
        <v>631.61754759999997</v>
      </c>
      <c r="BC103" s="3">
        <v>163.0241484</v>
      </c>
      <c r="BD103" s="3">
        <v>1132.0436609999999</v>
      </c>
      <c r="BE103" s="48" t="s">
        <v>318</v>
      </c>
      <c r="BF103" s="49" t="s">
        <v>333</v>
      </c>
      <c r="BG103" s="3">
        <v>7.0000000000000001E-3</v>
      </c>
      <c r="BH103" s="3">
        <v>0.13400000000000001</v>
      </c>
      <c r="BI103" s="3">
        <v>0.42499999999999999</v>
      </c>
      <c r="BJ103" s="3">
        <v>2E-3</v>
      </c>
      <c r="BK103" s="3">
        <v>0.17100000000000001</v>
      </c>
      <c r="BL103" s="3">
        <v>8.4500000000000006E-2</v>
      </c>
      <c r="BM103" s="3">
        <v>5.0000000000000001E-3</v>
      </c>
      <c r="BN103" s="3">
        <v>0.20200000000000001</v>
      </c>
      <c r="BO103" s="3">
        <v>0.14899999999999999</v>
      </c>
      <c r="BP103" s="3">
        <v>1.4E-2</v>
      </c>
      <c r="BQ103" s="3">
        <v>0.22700000000000001</v>
      </c>
      <c r="BR103" s="3">
        <v>0.46233333300000001</v>
      </c>
      <c r="BS103" s="3">
        <v>8.0000000000000002E-3</v>
      </c>
      <c r="BT103" s="3">
        <v>0.223</v>
      </c>
      <c r="BU103" s="3">
        <v>0.47283333399999999</v>
      </c>
      <c r="BV103" s="3">
        <v>6.0000000000000001E-3</v>
      </c>
      <c r="BW103" s="3">
        <v>0.27700000000000002</v>
      </c>
      <c r="BX103" s="3">
        <v>0.52600000000000002</v>
      </c>
      <c r="BY103" s="3">
        <v>6.0000000000000001E-3</v>
      </c>
      <c r="BZ103" s="3">
        <v>0.223</v>
      </c>
      <c r="CA103" s="3">
        <v>0.11849999999999999</v>
      </c>
      <c r="CB103" s="3">
        <v>8.0000000000000002E-3</v>
      </c>
      <c r="CC103" s="3">
        <v>0.35299999999999998</v>
      </c>
      <c r="CD103" s="3">
        <v>0.52066666699999997</v>
      </c>
      <c r="CE103" s="3">
        <v>5.0000000000000001E-3</v>
      </c>
      <c r="CF103" s="3">
        <v>0.223</v>
      </c>
      <c r="CG103" s="3">
        <v>0.62949999999999995</v>
      </c>
      <c r="CH103" s="3">
        <v>5.0000000000000001E-3</v>
      </c>
      <c r="CI103" s="3">
        <v>0.221</v>
      </c>
      <c r="CJ103" s="3">
        <v>0.27233333300000001</v>
      </c>
      <c r="CK103" s="3">
        <v>2E-3</v>
      </c>
      <c r="CL103" s="3">
        <v>0.16600000000000001</v>
      </c>
      <c r="CM103" s="3">
        <v>0.1</v>
      </c>
      <c r="CN103" s="3">
        <v>1E-3</v>
      </c>
      <c r="CO103" s="3">
        <v>0.25700000000000001</v>
      </c>
      <c r="CP103" s="3">
        <v>0.436</v>
      </c>
      <c r="CQ103" s="3">
        <v>1E-3</v>
      </c>
      <c r="CR103" s="3">
        <v>0.26400000000000001</v>
      </c>
      <c r="CS103" s="3">
        <v>0.57899999999999996</v>
      </c>
      <c r="CT103" s="48" t="s">
        <v>318</v>
      </c>
      <c r="CU103" s="49" t="s">
        <v>333</v>
      </c>
      <c r="CV103" s="3">
        <v>15.757999999999999</v>
      </c>
      <c r="CW103" s="3">
        <v>13.087999999999999</v>
      </c>
      <c r="CX103" s="3">
        <v>11.015000000000001</v>
      </c>
      <c r="CY103" s="3">
        <v>7.7439999999999998</v>
      </c>
      <c r="CZ103" s="3">
        <v>15.455</v>
      </c>
      <c r="DA103" s="3">
        <v>11.207000000000001</v>
      </c>
      <c r="DB103" s="3">
        <v>7.3860000000000001</v>
      </c>
      <c r="DC103" s="3">
        <v>15.866</v>
      </c>
      <c r="DD103" s="3">
        <v>15.396000000000001</v>
      </c>
      <c r="DE103" s="3">
        <v>15.382</v>
      </c>
      <c r="DF103" s="3">
        <v>14.702999999999999</v>
      </c>
      <c r="DG103" s="3">
        <v>10.654</v>
      </c>
      <c r="DH103" s="3">
        <v>12.843</v>
      </c>
    </row>
    <row r="104" spans="1:112" x14ac:dyDescent="0.3">
      <c r="A104" s="48" t="s">
        <v>318</v>
      </c>
      <c r="B104" s="49" t="s">
        <v>334</v>
      </c>
      <c r="C104" s="3">
        <v>26.947125</v>
      </c>
      <c r="D104" s="3">
        <v>37.549849999999999</v>
      </c>
      <c r="E104" s="3">
        <v>39.325189999999999</v>
      </c>
      <c r="F104" s="3">
        <v>43.932808129999998</v>
      </c>
      <c r="G104" s="3">
        <v>43.932808129999998</v>
      </c>
      <c r="H104" s="3">
        <v>37.91619</v>
      </c>
      <c r="I104" s="48" t="s">
        <v>318</v>
      </c>
      <c r="J104" s="49" t="s">
        <v>334</v>
      </c>
      <c r="K104" s="3">
        <v>27503</v>
      </c>
      <c r="L104" s="48" t="s">
        <v>318</v>
      </c>
      <c r="M104" s="49" t="s">
        <v>334</v>
      </c>
      <c r="N104" s="3">
        <v>67.327530769999996</v>
      </c>
      <c r="O104" s="3">
        <v>264.50978900000001</v>
      </c>
      <c r="P104" s="3">
        <v>344.9851817</v>
      </c>
      <c r="Q104" s="3">
        <v>101.5652556</v>
      </c>
      <c r="R104" s="3">
        <v>81.386115779999997</v>
      </c>
      <c r="S104" s="3">
        <v>84.497417659999996</v>
      </c>
      <c r="T104" s="3">
        <v>501.80164250000001</v>
      </c>
      <c r="U104" s="3">
        <v>937.08539280000002</v>
      </c>
      <c r="V104" s="3">
        <v>615.94794769999999</v>
      </c>
      <c r="W104" s="3">
        <v>107.1635766</v>
      </c>
      <c r="X104" s="3">
        <v>70.369741210000001</v>
      </c>
      <c r="Y104" s="3">
        <v>62.778423029999999</v>
      </c>
      <c r="Z104" s="3">
        <v>79.0207391</v>
      </c>
      <c r="AA104" s="48" t="s">
        <v>318</v>
      </c>
      <c r="AB104" s="49" t="s">
        <v>334</v>
      </c>
      <c r="AC104" s="3">
        <v>411.6475974</v>
      </c>
      <c r="AD104" s="3">
        <v>390.90597880000001</v>
      </c>
      <c r="AE104" s="3">
        <v>241.37684530000001</v>
      </c>
      <c r="AF104" s="3">
        <v>87.805824630000004</v>
      </c>
      <c r="AG104" s="3">
        <v>744.71406730000001</v>
      </c>
      <c r="AH104" s="3">
        <v>541.47988290000001</v>
      </c>
      <c r="AI104" s="3">
        <v>599.20998950000001</v>
      </c>
      <c r="AJ104" s="3">
        <v>453.18731539999999</v>
      </c>
      <c r="AK104" s="3">
        <v>219.4121475</v>
      </c>
      <c r="AL104" s="3">
        <v>334.48061769999998</v>
      </c>
      <c r="AM104" s="3">
        <v>564.77183739999998</v>
      </c>
      <c r="AN104" s="3">
        <v>71.896899910000002</v>
      </c>
      <c r="AO104" s="3">
        <v>242.08998919999999</v>
      </c>
      <c r="AP104" s="48" t="s">
        <v>318</v>
      </c>
      <c r="AQ104" s="49" t="s">
        <v>334</v>
      </c>
      <c r="AR104" s="3">
        <v>725.03941859999998</v>
      </c>
      <c r="AS104" s="3">
        <v>1580.7073620000001</v>
      </c>
      <c r="AT104" s="3">
        <v>1246.3934180000001</v>
      </c>
      <c r="AU104" s="3">
        <v>1105.9225670000001</v>
      </c>
      <c r="AV104" s="3">
        <v>237.57855929999999</v>
      </c>
      <c r="AW104" s="3">
        <v>1961.3911189999999</v>
      </c>
      <c r="AX104" s="3">
        <v>994.95194400000003</v>
      </c>
      <c r="AY104" s="3">
        <v>1365.6633019999999</v>
      </c>
      <c r="AZ104" s="3">
        <v>623.29248629999995</v>
      </c>
      <c r="BA104" s="3">
        <v>377.09927190000002</v>
      </c>
      <c r="BB104" s="3">
        <v>728.78947800000003</v>
      </c>
      <c r="BC104" s="3">
        <v>200.5548876</v>
      </c>
      <c r="BD104" s="3">
        <v>1392.6580289999999</v>
      </c>
      <c r="BE104" s="48" t="s">
        <v>318</v>
      </c>
      <c r="BF104" s="49" t="s">
        <v>334</v>
      </c>
      <c r="BG104" s="3">
        <v>4.9000000000000002E-2</v>
      </c>
      <c r="BH104" s="3">
        <v>0.113</v>
      </c>
      <c r="BI104" s="3">
        <v>0.35949999999999999</v>
      </c>
      <c r="BJ104" s="3">
        <v>2.5000000000000001E-2</v>
      </c>
      <c r="BK104" s="3">
        <v>0.219</v>
      </c>
      <c r="BL104" s="3">
        <v>7.0000000000000007E-2</v>
      </c>
      <c r="BM104" s="3">
        <v>3.7999999999999999E-2</v>
      </c>
      <c r="BN104" s="3">
        <v>0.16800000000000001</v>
      </c>
      <c r="BO104" s="3">
        <v>0.14249999999999999</v>
      </c>
      <c r="BP104" s="3">
        <v>4.3999999999999997E-2</v>
      </c>
      <c r="BQ104" s="3">
        <v>0.19</v>
      </c>
      <c r="BR104" s="3">
        <v>0.41066666699999999</v>
      </c>
      <c r="BS104" s="3">
        <v>5.2999999999999999E-2</v>
      </c>
      <c r="BT104" s="3">
        <v>0.16200000000000001</v>
      </c>
      <c r="BU104" s="3">
        <v>0.43275000000000002</v>
      </c>
      <c r="BV104" s="3">
        <v>0.05</v>
      </c>
      <c r="BW104" s="3">
        <v>0.24</v>
      </c>
      <c r="BX104" s="3">
        <v>0.44400000000000001</v>
      </c>
      <c r="BY104" s="3">
        <v>4.2999999999999997E-2</v>
      </c>
      <c r="BZ104" s="3">
        <v>0.221</v>
      </c>
      <c r="CA104" s="3">
        <v>0.13400000000000001</v>
      </c>
      <c r="CB104" s="3">
        <v>5.2999999999999999E-2</v>
      </c>
      <c r="CC104" s="3">
        <v>0.27800000000000002</v>
      </c>
      <c r="CD104" s="3">
        <v>0.50600000000000001</v>
      </c>
      <c r="CE104" s="3">
        <v>4.9000000000000002E-2</v>
      </c>
      <c r="CF104" s="3">
        <v>0.14599999999999999</v>
      </c>
      <c r="CG104" s="3">
        <v>0.52449999999999997</v>
      </c>
      <c r="CH104" s="3">
        <v>4.9000000000000002E-2</v>
      </c>
      <c r="CI104" s="3">
        <v>0.14399999999999999</v>
      </c>
      <c r="CJ104" s="3">
        <v>0.232333333</v>
      </c>
      <c r="CK104" s="3">
        <v>4.4999999999999998E-2</v>
      </c>
      <c r="CL104" s="3">
        <v>0.105</v>
      </c>
      <c r="CM104" s="3">
        <v>0.1</v>
      </c>
      <c r="CN104" s="3">
        <v>0.03</v>
      </c>
      <c r="CO104" s="3">
        <v>0.214</v>
      </c>
      <c r="CP104" s="3">
        <v>0.39433333300000001</v>
      </c>
      <c r="CQ104" s="3">
        <v>3.1E-2</v>
      </c>
      <c r="CR104" s="3">
        <v>0.27400000000000002</v>
      </c>
      <c r="CS104" s="3">
        <v>0.59899999999999998</v>
      </c>
      <c r="CT104" s="48" t="s">
        <v>318</v>
      </c>
      <c r="CU104" s="49" t="s">
        <v>334</v>
      </c>
      <c r="CV104" s="3">
        <v>16.332999999999998</v>
      </c>
      <c r="CW104" s="3">
        <v>12.893000000000001</v>
      </c>
      <c r="CX104" s="3">
        <v>11.176</v>
      </c>
      <c r="CY104" s="3">
        <v>8.6809999999999992</v>
      </c>
      <c r="CZ104" s="3">
        <v>16.091999999999999</v>
      </c>
      <c r="DA104" s="3">
        <v>11.654999999999999</v>
      </c>
      <c r="DB104" s="3">
        <v>7.5439999999999996</v>
      </c>
      <c r="DC104" s="3">
        <v>16.317</v>
      </c>
      <c r="DD104" s="3">
        <v>16.027000000000001</v>
      </c>
      <c r="DE104" s="3">
        <v>16.013999999999999</v>
      </c>
      <c r="DF104" s="3">
        <v>15.6</v>
      </c>
      <c r="DG104" s="3">
        <v>11.019</v>
      </c>
      <c r="DH104" s="3">
        <v>12.532</v>
      </c>
    </row>
    <row r="105" spans="1:112" x14ac:dyDescent="0.3">
      <c r="A105" s="48" t="s">
        <v>318</v>
      </c>
      <c r="B105" s="49" t="s">
        <v>335</v>
      </c>
      <c r="C105" s="3">
        <v>28.025010000000002</v>
      </c>
      <c r="D105" s="3">
        <v>38.050044999999997</v>
      </c>
      <c r="E105" s="3">
        <v>38.050044999999997</v>
      </c>
      <c r="F105" s="3">
        <v>44.922246000000001</v>
      </c>
      <c r="G105" s="3">
        <v>44.922246000000001</v>
      </c>
      <c r="H105" s="3">
        <v>38.050044999999997</v>
      </c>
      <c r="I105" s="48" t="s">
        <v>318</v>
      </c>
      <c r="J105" s="49" t="s">
        <v>335</v>
      </c>
      <c r="K105" s="3">
        <v>32788.5</v>
      </c>
      <c r="L105" s="48" t="s">
        <v>318</v>
      </c>
      <c r="M105" s="49" t="s">
        <v>335</v>
      </c>
      <c r="N105" s="3">
        <v>57.669844509999997</v>
      </c>
      <c r="O105" s="3">
        <v>72.841096519999994</v>
      </c>
      <c r="P105" s="3">
        <v>287.17464719999998</v>
      </c>
      <c r="Q105" s="3">
        <v>261.91907379999998</v>
      </c>
      <c r="R105" s="3">
        <v>252.055217</v>
      </c>
      <c r="S105" s="3">
        <v>961.14492099999995</v>
      </c>
      <c r="T105" s="3">
        <v>1303.1182699999999</v>
      </c>
      <c r="U105" s="3">
        <v>1929.196635</v>
      </c>
      <c r="V105" s="3">
        <v>1422.701761</v>
      </c>
      <c r="W105" s="3">
        <v>65.761427670000003</v>
      </c>
      <c r="X105" s="3">
        <v>604.67208500000004</v>
      </c>
      <c r="Y105" s="3">
        <v>90.70883954</v>
      </c>
      <c r="Z105" s="3">
        <v>267.38066300000003</v>
      </c>
      <c r="AA105" s="48" t="s">
        <v>318</v>
      </c>
      <c r="AB105" s="49" t="s">
        <v>335</v>
      </c>
      <c r="AC105" s="3">
        <v>660.36775190000003</v>
      </c>
      <c r="AD105" s="3">
        <v>627.09391240000002</v>
      </c>
      <c r="AE105" s="3">
        <v>387.21830449999999</v>
      </c>
      <c r="AF105" s="3">
        <v>117.3280603</v>
      </c>
      <c r="AG105" s="3">
        <v>1194.675148</v>
      </c>
      <c r="AH105" s="3">
        <v>868.64554820000001</v>
      </c>
      <c r="AI105" s="3">
        <v>800.67747299999996</v>
      </c>
      <c r="AJ105" s="3">
        <v>727.00603750000005</v>
      </c>
      <c r="AK105" s="3">
        <v>351.98239339999998</v>
      </c>
      <c r="AL105" s="3">
        <v>536.57598140000005</v>
      </c>
      <c r="AM105" s="3">
        <v>754.66046219999998</v>
      </c>
      <c r="AN105" s="3">
        <v>115.3374742</v>
      </c>
      <c r="AO105" s="3">
        <v>388.36233449999997</v>
      </c>
      <c r="AP105" s="48" t="s">
        <v>318</v>
      </c>
      <c r="AQ105" s="49" t="s">
        <v>335</v>
      </c>
      <c r="AR105" s="3">
        <v>890.39928599999996</v>
      </c>
      <c r="AS105" s="3">
        <v>1941.2195670000001</v>
      </c>
      <c r="AT105" s="3">
        <v>1530.658584</v>
      </c>
      <c r="AU105" s="3">
        <v>1277.16219</v>
      </c>
      <c r="AV105" s="3">
        <v>291.76314300000001</v>
      </c>
      <c r="AW105" s="3">
        <v>2408.7259349999999</v>
      </c>
      <c r="AX105" s="3">
        <v>1149.0090190000001</v>
      </c>
      <c r="AY105" s="3">
        <v>1677.130371</v>
      </c>
      <c r="AZ105" s="3">
        <v>765.446913</v>
      </c>
      <c r="BA105" s="3">
        <v>463.10436900000002</v>
      </c>
      <c r="BB105" s="3">
        <v>841.63430040000003</v>
      </c>
      <c r="BC105" s="3">
        <v>246.29547600000001</v>
      </c>
      <c r="BD105" s="3">
        <v>1710.28179</v>
      </c>
      <c r="BE105" s="48" t="s">
        <v>318</v>
      </c>
      <c r="BF105" s="49" t="s">
        <v>335</v>
      </c>
      <c r="BG105" s="3">
        <v>0.123</v>
      </c>
      <c r="BH105" s="3">
        <v>0.112</v>
      </c>
      <c r="BI105" s="3">
        <v>0.3</v>
      </c>
      <c r="BJ105" s="3">
        <v>6.3E-2</v>
      </c>
      <c r="BK105" s="3">
        <v>0.24199999999999999</v>
      </c>
      <c r="BL105" s="3">
        <v>4.9000000000000002E-2</v>
      </c>
      <c r="BM105" s="3">
        <v>0.11</v>
      </c>
      <c r="BN105" s="3">
        <v>0.16500000000000001</v>
      </c>
      <c r="BO105" s="3">
        <v>0.16350000000000001</v>
      </c>
      <c r="BP105" s="3">
        <v>0.159</v>
      </c>
      <c r="BQ105" s="3">
        <v>0.221</v>
      </c>
      <c r="BR105" s="3">
        <v>0.41866666699999999</v>
      </c>
      <c r="BS105" s="3">
        <v>0.13900000000000001</v>
      </c>
      <c r="BT105" s="3">
        <v>0.154</v>
      </c>
      <c r="BU105" s="3">
        <v>0.39800000000000002</v>
      </c>
      <c r="BV105" s="3">
        <v>0.14699999999999999</v>
      </c>
      <c r="BW105" s="3">
        <v>0.253</v>
      </c>
      <c r="BX105" s="3">
        <v>0.42799999999999999</v>
      </c>
      <c r="BY105" s="3">
        <v>0.13400000000000001</v>
      </c>
      <c r="BZ105" s="3">
        <v>0.20100000000000001</v>
      </c>
      <c r="CA105" s="3">
        <v>0.14000000000000001</v>
      </c>
      <c r="CB105" s="3">
        <v>0.13800000000000001</v>
      </c>
      <c r="CC105" s="3">
        <v>0.248</v>
      </c>
      <c r="CD105" s="3">
        <v>0.496</v>
      </c>
      <c r="CE105" s="3">
        <v>0.13100000000000001</v>
      </c>
      <c r="CF105" s="3">
        <v>0.115</v>
      </c>
      <c r="CG105" s="3">
        <v>0.47199999999999998</v>
      </c>
      <c r="CH105" s="3">
        <v>0.13100000000000001</v>
      </c>
      <c r="CI105" s="3">
        <v>0.113</v>
      </c>
      <c r="CJ105" s="3">
        <v>0.213666667</v>
      </c>
      <c r="CK105" s="3">
        <v>0.122</v>
      </c>
      <c r="CL105" s="3">
        <v>6.7000000000000004E-2</v>
      </c>
      <c r="CM105" s="3">
        <v>0.1</v>
      </c>
      <c r="CN105" s="3">
        <v>9.1999999999999998E-2</v>
      </c>
      <c r="CO105" s="3">
        <v>0.22500000000000001</v>
      </c>
      <c r="CP105" s="3">
        <v>0.35266666699999999</v>
      </c>
      <c r="CQ105" s="3">
        <v>0.10100000000000001</v>
      </c>
      <c r="CR105" s="3">
        <v>0.27400000000000002</v>
      </c>
      <c r="CS105" s="3">
        <v>0.56599999999999995</v>
      </c>
      <c r="CT105" s="48" t="s">
        <v>318</v>
      </c>
      <c r="CU105" s="49" t="s">
        <v>335</v>
      </c>
      <c r="CV105" s="3">
        <v>17.07</v>
      </c>
      <c r="CW105" s="3">
        <v>12.977</v>
      </c>
      <c r="CX105" s="3">
        <v>12.113</v>
      </c>
      <c r="CY105" s="3">
        <v>10.185</v>
      </c>
      <c r="CZ105" s="3">
        <v>17.126999999999999</v>
      </c>
      <c r="DA105" s="3">
        <v>12.502000000000001</v>
      </c>
      <c r="DB105" s="3">
        <v>8.0009999999999994</v>
      </c>
      <c r="DC105" s="3">
        <v>17.074000000000002</v>
      </c>
      <c r="DD105" s="3">
        <v>16.971</v>
      </c>
      <c r="DE105" s="3">
        <v>16.952999999999999</v>
      </c>
      <c r="DF105" s="3">
        <v>16.331</v>
      </c>
      <c r="DG105" s="3">
        <v>11.736000000000001</v>
      </c>
      <c r="DH105" s="3">
        <v>12.647</v>
      </c>
    </row>
    <row r="106" spans="1:112" x14ac:dyDescent="0.3">
      <c r="A106" s="48" t="s">
        <v>318</v>
      </c>
      <c r="B106" s="49" t="s">
        <v>336</v>
      </c>
      <c r="C106" s="3">
        <v>38.740454999999997</v>
      </c>
      <c r="D106" s="3">
        <v>41.297789999999999</v>
      </c>
      <c r="E106" s="3">
        <v>41.297789999999999</v>
      </c>
      <c r="F106" s="3">
        <v>45.602484529999998</v>
      </c>
      <c r="G106" s="3">
        <v>45.602484529999998</v>
      </c>
      <c r="H106" s="3">
        <v>41.297789999999999</v>
      </c>
      <c r="I106" s="48" t="s">
        <v>318</v>
      </c>
      <c r="J106" s="49" t="s">
        <v>336</v>
      </c>
      <c r="K106" s="3">
        <v>35451</v>
      </c>
      <c r="L106" s="48" t="s">
        <v>318</v>
      </c>
      <c r="M106" s="49" t="s">
        <v>336</v>
      </c>
      <c r="N106" s="3">
        <v>1396.1577560000001</v>
      </c>
      <c r="O106" s="3">
        <v>1450.819393</v>
      </c>
      <c r="P106" s="3">
        <v>710.87908789999994</v>
      </c>
      <c r="Q106" s="3">
        <v>419.33731269999998</v>
      </c>
      <c r="R106" s="3">
        <v>1678.837102</v>
      </c>
      <c r="S106" s="3">
        <v>1275.0354809999999</v>
      </c>
      <c r="T106" s="3">
        <v>1818.630435</v>
      </c>
      <c r="U106" s="3">
        <v>2275.2679520000002</v>
      </c>
      <c r="V106" s="3">
        <v>1698.9445089999999</v>
      </c>
      <c r="W106" s="3">
        <v>984.24577060000001</v>
      </c>
      <c r="X106" s="3">
        <v>1138.9744290000001</v>
      </c>
      <c r="Y106" s="3">
        <v>137.1185945</v>
      </c>
      <c r="Z106" s="3">
        <v>455.74058689999998</v>
      </c>
      <c r="AA106" s="48" t="s">
        <v>318</v>
      </c>
      <c r="AB106" s="49" t="s">
        <v>336</v>
      </c>
      <c r="AC106" s="3">
        <v>539.15603099999998</v>
      </c>
      <c r="AD106" s="3">
        <v>511.98966630000001</v>
      </c>
      <c r="AE106" s="3">
        <v>316.1436693</v>
      </c>
      <c r="AF106" s="3">
        <v>103.63217779999999</v>
      </c>
      <c r="AG106" s="3">
        <v>975.3903176</v>
      </c>
      <c r="AH106" s="3">
        <v>709.20405310000001</v>
      </c>
      <c r="AI106" s="3">
        <v>707.2131766</v>
      </c>
      <c r="AJ106" s="3">
        <v>593.56273620000002</v>
      </c>
      <c r="AK106" s="3">
        <v>287.3753749</v>
      </c>
      <c r="AL106" s="3">
        <v>438.08646870000001</v>
      </c>
      <c r="AM106" s="3">
        <v>666.56780119999996</v>
      </c>
      <c r="AN106" s="3">
        <v>94.167067759999995</v>
      </c>
      <c r="AO106" s="3">
        <v>317.07771050000002</v>
      </c>
      <c r="AP106" s="48" t="s">
        <v>318</v>
      </c>
      <c r="AQ106" s="49" t="s">
        <v>336</v>
      </c>
      <c r="AR106" s="3">
        <v>917.25259779999999</v>
      </c>
      <c r="AS106" s="3">
        <v>1999.7642840000001</v>
      </c>
      <c r="AT106" s="3">
        <v>1576.8213029999999</v>
      </c>
      <c r="AU106" s="3">
        <v>1353.268689</v>
      </c>
      <c r="AV106" s="3">
        <v>300.56234890000002</v>
      </c>
      <c r="AW106" s="3">
        <v>2481.37005</v>
      </c>
      <c r="AX106" s="3">
        <v>1217.47883</v>
      </c>
      <c r="AY106" s="3">
        <v>1727.710493</v>
      </c>
      <c r="AZ106" s="3">
        <v>788.53181989999996</v>
      </c>
      <c r="BA106" s="3">
        <v>477.07100869999999</v>
      </c>
      <c r="BB106" s="3">
        <v>891.78755479999995</v>
      </c>
      <c r="BC106" s="3">
        <v>253.72343480000001</v>
      </c>
      <c r="BD106" s="3">
        <v>1761.861717</v>
      </c>
      <c r="BE106" s="48" t="s">
        <v>318</v>
      </c>
      <c r="BF106" s="49" t="s">
        <v>336</v>
      </c>
      <c r="BG106" s="3">
        <v>0.23</v>
      </c>
      <c r="BH106" s="3">
        <v>0.154</v>
      </c>
      <c r="BI106" s="3">
        <v>0.26500000000000001</v>
      </c>
      <c r="BJ106" s="3">
        <v>0.13800000000000001</v>
      </c>
      <c r="BK106" s="3">
        <v>0.28299999999999997</v>
      </c>
      <c r="BL106" s="3">
        <v>9.1499999999999998E-2</v>
      </c>
      <c r="BM106" s="3">
        <v>0.23899999999999999</v>
      </c>
      <c r="BN106" s="3">
        <v>0.19400000000000001</v>
      </c>
      <c r="BO106" s="3">
        <v>0.218</v>
      </c>
      <c r="BP106" s="3">
        <v>0.32900000000000001</v>
      </c>
      <c r="BQ106" s="3">
        <v>0.23100000000000001</v>
      </c>
      <c r="BR106" s="3">
        <v>0.43133333299999999</v>
      </c>
      <c r="BS106" s="3">
        <v>0.248</v>
      </c>
      <c r="BT106" s="3">
        <v>0.16200000000000001</v>
      </c>
      <c r="BU106" s="3">
        <v>0.38783333399999997</v>
      </c>
      <c r="BV106" s="3">
        <v>0.316</v>
      </c>
      <c r="BW106" s="3">
        <v>0.29099999999999998</v>
      </c>
      <c r="BX106" s="3">
        <v>0.42499999999999999</v>
      </c>
      <c r="BY106" s="3">
        <v>0.27</v>
      </c>
      <c r="BZ106" s="3">
        <v>0.16900000000000001</v>
      </c>
      <c r="CA106" s="3">
        <v>0.13550000000000001</v>
      </c>
      <c r="CB106" s="3">
        <v>0.251</v>
      </c>
      <c r="CC106" s="3">
        <v>0.248</v>
      </c>
      <c r="CD106" s="3">
        <v>0.51066666699999996</v>
      </c>
      <c r="CE106" s="3">
        <v>0.23100000000000001</v>
      </c>
      <c r="CF106" s="3">
        <v>0.114</v>
      </c>
      <c r="CG106" s="3">
        <v>0.44750000000000001</v>
      </c>
      <c r="CH106" s="3">
        <v>0.23</v>
      </c>
      <c r="CI106" s="3">
        <v>0.113</v>
      </c>
      <c r="CJ106" s="3">
        <v>0.216</v>
      </c>
      <c r="CK106" s="3">
        <v>0.224</v>
      </c>
      <c r="CL106" s="3">
        <v>7.3999999999999996E-2</v>
      </c>
      <c r="CM106" s="3">
        <v>0.1</v>
      </c>
      <c r="CN106" s="3">
        <v>0.189</v>
      </c>
      <c r="CO106" s="3">
        <v>0.23300000000000001</v>
      </c>
      <c r="CP106" s="3">
        <v>0.30533333299999998</v>
      </c>
      <c r="CQ106" s="3">
        <v>0.23100000000000001</v>
      </c>
      <c r="CR106" s="3">
        <v>0.27600000000000002</v>
      </c>
      <c r="CS106" s="3">
        <v>0.54900000000000004</v>
      </c>
      <c r="CT106" s="48" t="s">
        <v>318</v>
      </c>
      <c r="CU106" s="49" t="s">
        <v>336</v>
      </c>
      <c r="CV106" s="3">
        <v>18.085000000000001</v>
      </c>
      <c r="CW106" s="3">
        <v>13.525</v>
      </c>
      <c r="CX106" s="3">
        <v>13.837</v>
      </c>
      <c r="CY106" s="3">
        <v>11.69</v>
      </c>
      <c r="CZ106" s="3">
        <v>18.456</v>
      </c>
      <c r="DA106" s="3">
        <v>13.438000000000001</v>
      </c>
      <c r="DB106" s="3">
        <v>8.84</v>
      </c>
      <c r="DC106" s="3">
        <v>18.148</v>
      </c>
      <c r="DD106" s="3">
        <v>18.106999999999999</v>
      </c>
      <c r="DE106" s="3">
        <v>18.076000000000001</v>
      </c>
      <c r="DF106" s="3">
        <v>17.023</v>
      </c>
      <c r="DG106" s="3">
        <v>12.685</v>
      </c>
      <c r="DH106" s="3">
        <v>13.336</v>
      </c>
    </row>
    <row r="107" spans="1:112" x14ac:dyDescent="0.3">
      <c r="A107" s="48" t="s">
        <v>318</v>
      </c>
      <c r="B107" s="49" t="s">
        <v>337</v>
      </c>
      <c r="C107" s="3">
        <v>43.777630000000002</v>
      </c>
      <c r="D107" s="3">
        <v>40.734189999999998</v>
      </c>
      <c r="E107" s="3">
        <v>40.734189999999998</v>
      </c>
      <c r="F107" s="3">
        <v>46.238551729999998</v>
      </c>
      <c r="G107" s="3">
        <v>46.238551729999998</v>
      </c>
      <c r="H107" s="3">
        <v>40.734189999999998</v>
      </c>
      <c r="I107" s="48" t="s">
        <v>318</v>
      </c>
      <c r="J107" s="49" t="s">
        <v>337</v>
      </c>
      <c r="K107" s="3">
        <v>35979.5</v>
      </c>
      <c r="L107" s="48" t="s">
        <v>318</v>
      </c>
      <c r="M107" s="49" t="s">
        <v>337</v>
      </c>
      <c r="N107" s="3">
        <v>1712.4039339999999</v>
      </c>
      <c r="O107" s="3">
        <v>1956.261886</v>
      </c>
      <c r="P107" s="3">
        <v>637.950107</v>
      </c>
      <c r="Q107" s="3">
        <v>765.54481129999999</v>
      </c>
      <c r="R107" s="3">
        <v>2323.5799270000002</v>
      </c>
      <c r="S107" s="3">
        <v>2139.3154789999999</v>
      </c>
      <c r="T107" s="3">
        <v>1606.932421</v>
      </c>
      <c r="U107" s="3">
        <v>1717.382425</v>
      </c>
      <c r="V107" s="3">
        <v>1253.5385060000001</v>
      </c>
      <c r="W107" s="3">
        <v>1403.2663259999999</v>
      </c>
      <c r="X107" s="3">
        <v>1671.3609610000001</v>
      </c>
      <c r="Y107" s="3">
        <v>183.5283494</v>
      </c>
      <c r="Z107" s="3">
        <v>842.4893644</v>
      </c>
      <c r="AA107" s="48" t="s">
        <v>318</v>
      </c>
      <c r="AB107" s="49" t="s">
        <v>337</v>
      </c>
      <c r="AC107" s="3">
        <v>432.11191389999999</v>
      </c>
      <c r="AD107" s="3">
        <v>410.33916319999997</v>
      </c>
      <c r="AE107" s="3">
        <v>253.37645910000001</v>
      </c>
      <c r="AF107" s="3">
        <v>90.849354079999998</v>
      </c>
      <c r="AG107" s="3">
        <v>781.73618150000004</v>
      </c>
      <c r="AH107" s="3">
        <v>568.3985768</v>
      </c>
      <c r="AI107" s="3">
        <v>619.97983320000003</v>
      </c>
      <c r="AJ107" s="3">
        <v>475.71670390000003</v>
      </c>
      <c r="AK107" s="3">
        <v>230.31982600000001</v>
      </c>
      <c r="AL107" s="3">
        <v>351.1087172</v>
      </c>
      <c r="AM107" s="3">
        <v>584.34798430000001</v>
      </c>
      <c r="AN107" s="3">
        <v>75.471124380000006</v>
      </c>
      <c r="AO107" s="3">
        <v>254.1250556</v>
      </c>
      <c r="AP107" s="48" t="s">
        <v>318</v>
      </c>
      <c r="AQ107" s="49" t="s">
        <v>337</v>
      </c>
      <c r="AR107" s="3">
        <v>815.49267940000004</v>
      </c>
      <c r="AS107" s="3">
        <v>1777.910619</v>
      </c>
      <c r="AT107" s="3">
        <v>1401.8888939999999</v>
      </c>
      <c r="AU107" s="3">
        <v>1319.972096</v>
      </c>
      <c r="AV107" s="3">
        <v>267.21798969999998</v>
      </c>
      <c r="AW107" s="3">
        <v>2206.0870869999999</v>
      </c>
      <c r="AX107" s="3">
        <v>1187.5232880000001</v>
      </c>
      <c r="AY107" s="3">
        <v>1536.0384509999999</v>
      </c>
      <c r="AZ107" s="3">
        <v>701.05217270000003</v>
      </c>
      <c r="BA107" s="3">
        <v>424.14479510000001</v>
      </c>
      <c r="BB107" s="3">
        <v>869.845506</v>
      </c>
      <c r="BC107" s="3">
        <v>225.5753804</v>
      </c>
      <c r="BD107" s="3">
        <v>1566.4009410000001</v>
      </c>
      <c r="BE107" s="48" t="s">
        <v>318</v>
      </c>
      <c r="BF107" s="49" t="s">
        <v>337</v>
      </c>
      <c r="BG107" s="3">
        <v>0.29899999999999999</v>
      </c>
      <c r="BH107" s="3">
        <v>0.21</v>
      </c>
      <c r="BI107" s="3">
        <v>0.26950000000000002</v>
      </c>
      <c r="BJ107" s="3">
        <v>0.26300000000000001</v>
      </c>
      <c r="BK107" s="3">
        <v>0.30299999999999999</v>
      </c>
      <c r="BL107" s="3">
        <v>0.26600000000000001</v>
      </c>
      <c r="BM107" s="3">
        <v>0.44900000000000001</v>
      </c>
      <c r="BN107" s="3">
        <v>0.20599999999999999</v>
      </c>
      <c r="BO107" s="3">
        <v>0.26900000000000002</v>
      </c>
      <c r="BP107" s="3">
        <v>0.48699999999999999</v>
      </c>
      <c r="BQ107" s="3">
        <v>0.20399999999999999</v>
      </c>
      <c r="BR107" s="3">
        <v>0.41566666699999999</v>
      </c>
      <c r="BS107" s="3">
        <v>0.35599999999999998</v>
      </c>
      <c r="BT107" s="3">
        <v>0.16200000000000001</v>
      </c>
      <c r="BU107" s="3">
        <v>0.394916667</v>
      </c>
      <c r="BV107" s="3">
        <v>0.47899999999999998</v>
      </c>
      <c r="BW107" s="3">
        <v>0.30499999999999999</v>
      </c>
      <c r="BX107" s="3">
        <v>0.41899999999999998</v>
      </c>
      <c r="BY107" s="3">
        <v>0.40300000000000002</v>
      </c>
      <c r="BZ107" s="3">
        <v>0.13600000000000001</v>
      </c>
      <c r="CA107" s="3">
        <v>0.127</v>
      </c>
      <c r="CB107" s="3">
        <v>0.34499999999999997</v>
      </c>
      <c r="CC107" s="3">
        <v>0.23799999999999999</v>
      </c>
      <c r="CD107" s="3">
        <v>0.52033333299999995</v>
      </c>
      <c r="CE107" s="3">
        <v>0.32400000000000001</v>
      </c>
      <c r="CF107" s="3">
        <v>0.111</v>
      </c>
      <c r="CG107" s="3">
        <v>0.41349999999999998</v>
      </c>
      <c r="CH107" s="3">
        <v>0.32300000000000001</v>
      </c>
      <c r="CI107" s="3">
        <v>0.111</v>
      </c>
      <c r="CJ107" s="3">
        <v>0.219</v>
      </c>
      <c r="CK107" s="3">
        <v>0.308</v>
      </c>
      <c r="CL107" s="3">
        <v>9.1999999999999998E-2</v>
      </c>
      <c r="CM107" s="3">
        <v>0.1</v>
      </c>
      <c r="CN107" s="3">
        <v>0.32</v>
      </c>
      <c r="CO107" s="3">
        <v>0.22600000000000001</v>
      </c>
      <c r="CP107" s="3">
        <v>0.27666666699999998</v>
      </c>
      <c r="CQ107" s="3">
        <v>0.36099999999999999</v>
      </c>
      <c r="CR107" s="3">
        <v>0.24299999999999999</v>
      </c>
      <c r="CS107" s="3">
        <v>0.51600000000000001</v>
      </c>
      <c r="CT107" s="48" t="s">
        <v>318</v>
      </c>
      <c r="CU107" s="49" t="s">
        <v>337</v>
      </c>
      <c r="CV107" s="3">
        <v>18.856999999999999</v>
      </c>
      <c r="CW107" s="3">
        <v>14.613</v>
      </c>
      <c r="CX107" s="3">
        <v>15.513999999999999</v>
      </c>
      <c r="CY107" s="3">
        <v>12.872999999999999</v>
      </c>
      <c r="CZ107" s="3">
        <v>19.704000000000001</v>
      </c>
      <c r="DA107" s="3">
        <v>14.275</v>
      </c>
      <c r="DB107" s="3">
        <v>9.8800000000000008</v>
      </c>
      <c r="DC107" s="3">
        <v>19.251999999999999</v>
      </c>
      <c r="DD107" s="3">
        <v>19.187999999999999</v>
      </c>
      <c r="DE107" s="3">
        <v>19.141999999999999</v>
      </c>
      <c r="DF107" s="3">
        <v>17.536999999999999</v>
      </c>
      <c r="DG107" s="3">
        <v>13.737</v>
      </c>
      <c r="DH107" s="3">
        <v>14.366</v>
      </c>
    </row>
    <row r="108" spans="1:112" x14ac:dyDescent="0.3">
      <c r="A108" s="48" t="s">
        <v>318</v>
      </c>
      <c r="B108" s="49" t="s">
        <v>338</v>
      </c>
      <c r="C108" s="3">
        <v>37.909145000000002</v>
      </c>
      <c r="D108" s="3">
        <v>41.769804999999998</v>
      </c>
      <c r="E108" s="3">
        <v>41.769804999999998</v>
      </c>
      <c r="F108" s="3">
        <v>46.26505453</v>
      </c>
      <c r="G108" s="3">
        <v>46.26505453</v>
      </c>
      <c r="H108" s="3">
        <v>41.769804999999998</v>
      </c>
      <c r="I108" s="48" t="s">
        <v>318</v>
      </c>
      <c r="J108" s="49" t="s">
        <v>338</v>
      </c>
      <c r="K108" s="3">
        <v>35595</v>
      </c>
      <c r="L108" s="48" t="s">
        <v>318</v>
      </c>
      <c r="M108" s="49" t="s">
        <v>338</v>
      </c>
      <c r="N108" s="3">
        <v>1302.6907610000001</v>
      </c>
      <c r="O108" s="3">
        <v>1653.2813100000001</v>
      </c>
      <c r="P108" s="3">
        <v>467.95900699999999</v>
      </c>
      <c r="Q108" s="3">
        <v>629.79299570000001</v>
      </c>
      <c r="R108" s="3">
        <v>1886.9004829999999</v>
      </c>
      <c r="S108" s="3">
        <v>1842.2222360000001</v>
      </c>
      <c r="T108" s="3">
        <v>1353.641719</v>
      </c>
      <c r="U108" s="3">
        <v>1275.446586</v>
      </c>
      <c r="V108" s="3">
        <v>948.28276340000002</v>
      </c>
      <c r="W108" s="3">
        <v>1043.381707</v>
      </c>
      <c r="X108" s="3">
        <v>1490.2641599999999</v>
      </c>
      <c r="Y108" s="3">
        <v>174.65800279999999</v>
      </c>
      <c r="Z108" s="3">
        <v>1008.516464</v>
      </c>
      <c r="AA108" s="48" t="s">
        <v>318</v>
      </c>
      <c r="AB108" s="49" t="s">
        <v>338</v>
      </c>
      <c r="AC108" s="3">
        <v>373.86732080000002</v>
      </c>
      <c r="AD108" s="3">
        <v>355.02933059999998</v>
      </c>
      <c r="AE108" s="3">
        <v>219.22371229999999</v>
      </c>
      <c r="AF108" s="3">
        <v>79.740471580000005</v>
      </c>
      <c r="AG108" s="3">
        <v>676.36554869999998</v>
      </c>
      <c r="AH108" s="3">
        <v>491.78383239999999</v>
      </c>
      <c r="AI108" s="3">
        <v>544.16990380000004</v>
      </c>
      <c r="AJ108" s="3">
        <v>411.59459809999998</v>
      </c>
      <c r="AK108" s="3">
        <v>199.27489499999999</v>
      </c>
      <c r="AL108" s="3">
        <v>303.78258779999999</v>
      </c>
      <c r="AM108" s="3">
        <v>512.89504820000002</v>
      </c>
      <c r="AN108" s="3">
        <v>65.298331660000002</v>
      </c>
      <c r="AO108" s="3">
        <v>219.8714051</v>
      </c>
      <c r="AP108" s="48" t="s">
        <v>318</v>
      </c>
      <c r="AQ108" s="49" t="s">
        <v>338</v>
      </c>
      <c r="AR108" s="3">
        <v>760.37272359999997</v>
      </c>
      <c r="AS108" s="3">
        <v>1657.7398840000001</v>
      </c>
      <c r="AT108" s="3">
        <v>1307.133838</v>
      </c>
      <c r="AU108" s="3">
        <v>1234.3522840000001</v>
      </c>
      <c r="AV108" s="3">
        <v>249.15646179999999</v>
      </c>
      <c r="AW108" s="3">
        <v>2056.9754809999999</v>
      </c>
      <c r="AX108" s="3">
        <v>1110.4947500000001</v>
      </c>
      <c r="AY108" s="3">
        <v>1432.216095</v>
      </c>
      <c r="AZ108" s="3">
        <v>653.66736379999998</v>
      </c>
      <c r="BA108" s="3">
        <v>395.47642939999997</v>
      </c>
      <c r="BB108" s="3">
        <v>813.42309479999994</v>
      </c>
      <c r="BC108" s="3">
        <v>210.3285176</v>
      </c>
      <c r="BD108" s="3">
        <v>1460.5263540000001</v>
      </c>
      <c r="BE108" s="48" t="s">
        <v>318</v>
      </c>
      <c r="BF108" s="49" t="s">
        <v>338</v>
      </c>
      <c r="BG108" s="3">
        <v>0.371</v>
      </c>
      <c r="BH108" s="3">
        <v>0.27</v>
      </c>
      <c r="BI108" s="3">
        <v>0.35</v>
      </c>
      <c r="BJ108" s="3">
        <v>0.42599999999999999</v>
      </c>
      <c r="BK108" s="3">
        <v>0.28000000000000003</v>
      </c>
      <c r="BL108" s="3">
        <v>0.48149999999999998</v>
      </c>
      <c r="BM108" s="3">
        <v>0.59</v>
      </c>
      <c r="BN108" s="3">
        <v>0.20799999999999999</v>
      </c>
      <c r="BO108" s="3">
        <v>0.3125</v>
      </c>
      <c r="BP108" s="3">
        <v>0.626</v>
      </c>
      <c r="BQ108" s="3">
        <v>0.19500000000000001</v>
      </c>
      <c r="BR108" s="3">
        <v>0.40566666699999998</v>
      </c>
      <c r="BS108" s="3">
        <v>0.45900000000000002</v>
      </c>
      <c r="BT108" s="3">
        <v>0.16300000000000001</v>
      </c>
      <c r="BU108" s="3">
        <v>0.43666666700000001</v>
      </c>
      <c r="BV108" s="3">
        <v>0.61199999999999999</v>
      </c>
      <c r="BW108" s="3">
        <v>0.315</v>
      </c>
      <c r="BX108" s="3">
        <v>0.432</v>
      </c>
      <c r="BY108" s="3">
        <v>0.56899999999999995</v>
      </c>
      <c r="BZ108" s="3">
        <v>0.11799999999999999</v>
      </c>
      <c r="CA108" s="3">
        <v>0.11799999999999999</v>
      </c>
      <c r="CB108" s="3">
        <v>0.46700000000000003</v>
      </c>
      <c r="CC108" s="3">
        <v>0.23699999999999999</v>
      </c>
      <c r="CD108" s="3">
        <v>0.52333333299999996</v>
      </c>
      <c r="CE108" s="3">
        <v>0.441</v>
      </c>
      <c r="CF108" s="3">
        <v>0.11</v>
      </c>
      <c r="CG108" s="3">
        <v>0.39600000000000002</v>
      </c>
      <c r="CH108" s="3">
        <v>0.442</v>
      </c>
      <c r="CI108" s="3">
        <v>0.109</v>
      </c>
      <c r="CJ108" s="3">
        <v>0.22133333299999999</v>
      </c>
      <c r="CK108" s="3">
        <v>0.41499999999999998</v>
      </c>
      <c r="CL108" s="3">
        <v>0.1</v>
      </c>
      <c r="CM108" s="3">
        <v>0.1</v>
      </c>
      <c r="CN108" s="3">
        <v>0.435</v>
      </c>
      <c r="CO108" s="3">
        <v>0.218</v>
      </c>
      <c r="CP108" s="3">
        <v>0.30133333299999998</v>
      </c>
      <c r="CQ108" s="3">
        <v>0.52</v>
      </c>
      <c r="CR108" s="3">
        <v>0.19500000000000001</v>
      </c>
      <c r="CS108" s="3">
        <v>0.46700000000000003</v>
      </c>
      <c r="CT108" s="48" t="s">
        <v>318</v>
      </c>
      <c r="CU108" s="49" t="s">
        <v>338</v>
      </c>
      <c r="CV108" s="3">
        <v>19.141999999999999</v>
      </c>
      <c r="CW108" s="3">
        <v>16.216000000000001</v>
      </c>
      <c r="CX108" s="3">
        <v>16.747</v>
      </c>
      <c r="CY108" s="3">
        <v>13.853999999999999</v>
      </c>
      <c r="CZ108" s="3">
        <v>20.655999999999999</v>
      </c>
      <c r="DA108" s="3">
        <v>14.92</v>
      </c>
      <c r="DB108" s="3">
        <v>11.077</v>
      </c>
      <c r="DC108" s="3">
        <v>20.312999999999999</v>
      </c>
      <c r="DD108" s="3">
        <v>20.215</v>
      </c>
      <c r="DE108" s="3">
        <v>20.167999999999999</v>
      </c>
      <c r="DF108" s="3">
        <v>18.027000000000001</v>
      </c>
      <c r="DG108" s="3">
        <v>14.635</v>
      </c>
      <c r="DH108" s="3">
        <v>15.651999999999999</v>
      </c>
    </row>
    <row r="109" spans="1:112" x14ac:dyDescent="0.3">
      <c r="A109" s="48" t="s">
        <v>318</v>
      </c>
      <c r="B109" s="49" t="s">
        <v>339</v>
      </c>
      <c r="C109" s="3">
        <v>38.205035000000002</v>
      </c>
      <c r="D109" s="3">
        <v>36.859439999999999</v>
      </c>
      <c r="E109" s="3">
        <v>36.859439999999999</v>
      </c>
      <c r="F109" s="3">
        <v>46.26505453</v>
      </c>
      <c r="G109" s="3">
        <v>46.26505453</v>
      </c>
      <c r="H109" s="3">
        <v>36.859439999999999</v>
      </c>
      <c r="I109" s="48" t="s">
        <v>318</v>
      </c>
      <c r="J109" s="49" t="s">
        <v>339</v>
      </c>
      <c r="K109" s="3">
        <v>35107.5</v>
      </c>
      <c r="L109" s="48" t="s">
        <v>318</v>
      </c>
      <c r="M109" s="49" t="s">
        <v>339</v>
      </c>
      <c r="N109" s="3">
        <v>867.57341510000003</v>
      </c>
      <c r="O109" s="3">
        <v>1161.172466</v>
      </c>
      <c r="P109" s="3">
        <v>317.08920970000003</v>
      </c>
      <c r="Q109" s="3">
        <v>345.02207629999998</v>
      </c>
      <c r="R109" s="3">
        <v>1430.8906509999999</v>
      </c>
      <c r="S109" s="3">
        <v>1278.8724999999999</v>
      </c>
      <c r="T109" s="3">
        <v>1096.9124589999999</v>
      </c>
      <c r="U109" s="3">
        <v>1175.9608330000001</v>
      </c>
      <c r="V109" s="3">
        <v>841.81798709999998</v>
      </c>
      <c r="W109" s="3">
        <v>744.78341969999997</v>
      </c>
      <c r="X109" s="3">
        <v>1074.008032</v>
      </c>
      <c r="Y109" s="3">
        <v>90.325989340000007</v>
      </c>
      <c r="Z109" s="3">
        <v>846.2682168</v>
      </c>
      <c r="AA109" s="48" t="s">
        <v>318</v>
      </c>
      <c r="AB109" s="49" t="s">
        <v>339</v>
      </c>
      <c r="AC109" s="3">
        <v>425.97261900000001</v>
      </c>
      <c r="AD109" s="3">
        <v>404.50920789999998</v>
      </c>
      <c r="AE109" s="3">
        <v>249.77657500000001</v>
      </c>
      <c r="AF109" s="3">
        <v>82.19051279</v>
      </c>
      <c r="AG109" s="3">
        <v>770.62954720000005</v>
      </c>
      <c r="AH109" s="3">
        <v>560.32296859999997</v>
      </c>
      <c r="AI109" s="3">
        <v>560.88962800000002</v>
      </c>
      <c r="AJ109" s="3">
        <v>468.9578874</v>
      </c>
      <c r="AK109" s="3">
        <v>227.04752239999999</v>
      </c>
      <c r="AL109" s="3">
        <v>346.1202874</v>
      </c>
      <c r="AM109" s="3">
        <v>528.65384640000002</v>
      </c>
      <c r="AN109" s="3">
        <v>74.398857039999996</v>
      </c>
      <c r="AO109" s="3">
        <v>250.51453570000001</v>
      </c>
      <c r="AP109" s="48" t="s">
        <v>318</v>
      </c>
      <c r="AQ109" s="49" t="s">
        <v>339</v>
      </c>
      <c r="AR109" s="3">
        <v>689.70611359999998</v>
      </c>
      <c r="AS109" s="3">
        <v>1503.674839</v>
      </c>
      <c r="AT109" s="3">
        <v>1185.652998</v>
      </c>
      <c r="AU109" s="3">
        <v>1158.2457850000001</v>
      </c>
      <c r="AV109" s="3">
        <v>226.0006568</v>
      </c>
      <c r="AW109" s="3">
        <v>1865.806756</v>
      </c>
      <c r="AX109" s="3">
        <v>1042.0249389999999</v>
      </c>
      <c r="AY109" s="3">
        <v>1299.11051</v>
      </c>
      <c r="AZ109" s="3">
        <v>592.91760880000004</v>
      </c>
      <c r="BA109" s="3">
        <v>358.72211440000001</v>
      </c>
      <c r="BB109" s="3">
        <v>763.26984040000002</v>
      </c>
      <c r="BC109" s="3">
        <v>190.7812576</v>
      </c>
      <c r="BD109" s="3">
        <v>1324.789704</v>
      </c>
      <c r="BE109" s="48" t="s">
        <v>318</v>
      </c>
      <c r="BF109" s="49" t="s">
        <v>339</v>
      </c>
      <c r="BG109" s="3">
        <v>0.45800000000000002</v>
      </c>
      <c r="BH109" s="3">
        <v>0.29399999999999998</v>
      </c>
      <c r="BI109" s="3">
        <v>0.498</v>
      </c>
      <c r="BJ109" s="3">
        <v>0.63700000000000001</v>
      </c>
      <c r="BK109" s="3">
        <v>0.253</v>
      </c>
      <c r="BL109" s="3">
        <v>0.57099999999999995</v>
      </c>
      <c r="BM109" s="3">
        <v>0.69499999999999995</v>
      </c>
      <c r="BN109" s="3">
        <v>0.217</v>
      </c>
      <c r="BO109" s="3">
        <v>0.35349999999999998</v>
      </c>
      <c r="BP109" s="3">
        <v>0.71499999999999997</v>
      </c>
      <c r="BQ109" s="3">
        <v>0.20499999999999999</v>
      </c>
      <c r="BR109" s="3">
        <v>0.40566666699999998</v>
      </c>
      <c r="BS109" s="3">
        <v>0.54</v>
      </c>
      <c r="BT109" s="3">
        <v>0.158</v>
      </c>
      <c r="BU109" s="3">
        <v>0.505</v>
      </c>
      <c r="BV109" s="3">
        <v>0.70499999999999996</v>
      </c>
      <c r="BW109" s="3">
        <v>0.33</v>
      </c>
      <c r="BX109" s="3">
        <v>0.45100000000000001</v>
      </c>
      <c r="BY109" s="3">
        <v>0.67900000000000005</v>
      </c>
      <c r="BZ109" s="3">
        <v>0.106</v>
      </c>
      <c r="CA109" s="3">
        <v>0.1075</v>
      </c>
      <c r="CB109" s="3">
        <v>0.53400000000000003</v>
      </c>
      <c r="CC109" s="3">
        <v>0.23699999999999999</v>
      </c>
      <c r="CD109" s="3">
        <v>0.51200000000000001</v>
      </c>
      <c r="CE109" s="3">
        <v>0.54500000000000004</v>
      </c>
      <c r="CF109" s="3">
        <v>0.105</v>
      </c>
      <c r="CG109" s="3">
        <v>0.38800000000000001</v>
      </c>
      <c r="CH109" s="3">
        <v>0.54300000000000004</v>
      </c>
      <c r="CI109" s="3">
        <v>0.104</v>
      </c>
      <c r="CJ109" s="3">
        <v>0.23</v>
      </c>
      <c r="CK109" s="3">
        <v>0.438</v>
      </c>
      <c r="CL109" s="3">
        <v>9.6000000000000002E-2</v>
      </c>
      <c r="CM109" s="3">
        <v>0.1</v>
      </c>
      <c r="CN109" s="3">
        <v>0.59499999999999997</v>
      </c>
      <c r="CO109" s="3">
        <v>0.21099999999999999</v>
      </c>
      <c r="CP109" s="3">
        <v>0.35666666699999999</v>
      </c>
      <c r="CQ109" s="3">
        <v>0.63200000000000001</v>
      </c>
      <c r="CR109" s="3">
        <v>0.156</v>
      </c>
      <c r="CS109" s="3">
        <v>0.41499999999999998</v>
      </c>
      <c r="CT109" s="48" t="s">
        <v>318</v>
      </c>
      <c r="CU109" s="49" t="s">
        <v>339</v>
      </c>
      <c r="CV109" s="3">
        <v>19.341999999999999</v>
      </c>
      <c r="CW109" s="3">
        <v>17.933</v>
      </c>
      <c r="CX109" s="3">
        <v>17.640999999999998</v>
      </c>
      <c r="CY109" s="3">
        <v>14.75</v>
      </c>
      <c r="CZ109" s="3">
        <v>21.331</v>
      </c>
      <c r="DA109" s="3">
        <v>15.398</v>
      </c>
      <c r="DB109" s="3">
        <v>12.217000000000001</v>
      </c>
      <c r="DC109" s="3">
        <v>20.995000000000001</v>
      </c>
      <c r="DD109" s="3">
        <v>21.24</v>
      </c>
      <c r="DE109" s="3">
        <v>21.186</v>
      </c>
      <c r="DF109" s="3">
        <v>18.402000000000001</v>
      </c>
      <c r="DG109" s="3">
        <v>15.316000000000001</v>
      </c>
      <c r="DH109" s="3">
        <v>16.777000000000001</v>
      </c>
    </row>
    <row r="110" spans="1:112" x14ac:dyDescent="0.3">
      <c r="A110" s="48" t="s">
        <v>318</v>
      </c>
      <c r="B110" s="49" t="s">
        <v>340</v>
      </c>
      <c r="C110" s="3">
        <v>38.021864999999998</v>
      </c>
      <c r="D110" s="3">
        <v>33.104455000000002</v>
      </c>
      <c r="E110" s="3">
        <v>33.104455000000002</v>
      </c>
      <c r="F110" s="3">
        <v>45.885181070000002</v>
      </c>
      <c r="G110" s="3">
        <v>45.885181070000002</v>
      </c>
      <c r="H110" s="3">
        <v>33.104455000000002</v>
      </c>
      <c r="I110" s="48" t="s">
        <v>318</v>
      </c>
      <c r="J110" s="49" t="s">
        <v>340</v>
      </c>
      <c r="K110" s="3">
        <v>34595.5</v>
      </c>
      <c r="L110" s="48" t="s">
        <v>318</v>
      </c>
      <c r="M110" s="49" t="s">
        <v>340</v>
      </c>
      <c r="N110" s="3">
        <v>820.14986450000004</v>
      </c>
      <c r="O110" s="3">
        <v>948.98576319999995</v>
      </c>
      <c r="P110" s="3">
        <v>216.15015940000001</v>
      </c>
      <c r="Q110" s="3">
        <v>164.54806679999999</v>
      </c>
      <c r="R110" s="3">
        <v>1267.1266680000001</v>
      </c>
      <c r="S110" s="3">
        <v>1034.076873</v>
      </c>
      <c r="T110" s="3">
        <v>882.2976731</v>
      </c>
      <c r="U110" s="3">
        <v>1108.181075</v>
      </c>
      <c r="V110" s="3">
        <v>776.35734979999995</v>
      </c>
      <c r="W110" s="3">
        <v>572.89262599999995</v>
      </c>
      <c r="X110" s="3">
        <v>899.70370500000001</v>
      </c>
      <c r="Y110" s="3">
        <v>53.506398470000001</v>
      </c>
      <c r="Z110" s="3">
        <v>795.59452190000002</v>
      </c>
      <c r="AA110" s="48" t="s">
        <v>318</v>
      </c>
      <c r="AB110" s="49" t="s">
        <v>340</v>
      </c>
      <c r="AC110" s="3">
        <v>460.95085840000002</v>
      </c>
      <c r="AD110" s="3">
        <v>437.72500459999998</v>
      </c>
      <c r="AE110" s="3">
        <v>270.28668399999998</v>
      </c>
      <c r="AF110" s="3">
        <v>84.149023990000003</v>
      </c>
      <c r="AG110" s="3">
        <v>833.90888399999994</v>
      </c>
      <c r="AH110" s="3">
        <v>606.33322869999995</v>
      </c>
      <c r="AI110" s="3">
        <v>574.25502240000003</v>
      </c>
      <c r="AJ110" s="3">
        <v>507.46581149999997</v>
      </c>
      <c r="AK110" s="3">
        <v>245.69126209999999</v>
      </c>
      <c r="AL110" s="3">
        <v>374.54154679999999</v>
      </c>
      <c r="AM110" s="3">
        <v>541.25109699999996</v>
      </c>
      <c r="AN110" s="3">
        <v>80.50803148</v>
      </c>
      <c r="AO110" s="3">
        <v>271.08524139999997</v>
      </c>
      <c r="AP110" s="48" t="s">
        <v>318</v>
      </c>
      <c r="AQ110" s="49" t="s">
        <v>340</v>
      </c>
      <c r="AR110" s="3">
        <v>633.17282560000001</v>
      </c>
      <c r="AS110" s="3">
        <v>1380.4228029999999</v>
      </c>
      <c r="AT110" s="3">
        <v>1088.4683259999999</v>
      </c>
      <c r="AU110" s="3">
        <v>1063.1126609999999</v>
      </c>
      <c r="AV110" s="3">
        <v>207.47601280000001</v>
      </c>
      <c r="AW110" s="3">
        <v>1712.871776</v>
      </c>
      <c r="AX110" s="3">
        <v>956.43767519999994</v>
      </c>
      <c r="AY110" s="3">
        <v>1192.6260420000001</v>
      </c>
      <c r="AZ110" s="3">
        <v>544.31780479999998</v>
      </c>
      <c r="BA110" s="3">
        <v>329.31866239999999</v>
      </c>
      <c r="BB110" s="3">
        <v>700.57827239999995</v>
      </c>
      <c r="BC110" s="3">
        <v>175.1434496</v>
      </c>
      <c r="BD110" s="3">
        <v>1216.200384</v>
      </c>
      <c r="BE110" s="48" t="s">
        <v>318</v>
      </c>
      <c r="BF110" s="49" t="s">
        <v>340</v>
      </c>
      <c r="BG110" s="3">
        <v>0.52500000000000002</v>
      </c>
      <c r="BH110" s="3">
        <v>0.27300000000000002</v>
      </c>
      <c r="BI110" s="3">
        <v>0.5605</v>
      </c>
      <c r="BJ110" s="3">
        <v>0.71799999999999997</v>
      </c>
      <c r="BK110" s="3">
        <v>0.26100000000000001</v>
      </c>
      <c r="BL110" s="3">
        <v>0.57650000000000001</v>
      </c>
      <c r="BM110" s="3">
        <v>0.74</v>
      </c>
      <c r="BN110" s="3">
        <v>0.224</v>
      </c>
      <c r="BO110" s="3">
        <v>0.38800000000000001</v>
      </c>
      <c r="BP110" s="3">
        <v>0.75900000000000001</v>
      </c>
      <c r="BQ110" s="3">
        <v>0.221</v>
      </c>
      <c r="BR110" s="3">
        <v>0.41099999999999998</v>
      </c>
      <c r="BS110" s="3">
        <v>0.6</v>
      </c>
      <c r="BT110" s="3">
        <v>0.14699999999999999</v>
      </c>
      <c r="BU110" s="3">
        <v>0.52058333400000001</v>
      </c>
      <c r="BV110" s="3">
        <v>0.754</v>
      </c>
      <c r="BW110" s="3">
        <v>0.34100000000000003</v>
      </c>
      <c r="BX110" s="3">
        <v>0.46700000000000003</v>
      </c>
      <c r="BY110" s="3">
        <v>0.72199999999999998</v>
      </c>
      <c r="BZ110" s="3">
        <v>0.10199999999999999</v>
      </c>
      <c r="CA110" s="3">
        <v>9.5500000000000002E-2</v>
      </c>
      <c r="CB110" s="3">
        <v>0.55700000000000005</v>
      </c>
      <c r="CC110" s="3">
        <v>0.22900000000000001</v>
      </c>
      <c r="CD110" s="3">
        <v>0.48066666699999999</v>
      </c>
      <c r="CE110" s="3">
        <v>0.59599999999999997</v>
      </c>
      <c r="CF110" s="3">
        <v>9.9000000000000005E-2</v>
      </c>
      <c r="CG110" s="3">
        <v>0.38300000000000001</v>
      </c>
      <c r="CH110" s="3">
        <v>0.59499999999999997</v>
      </c>
      <c r="CI110" s="3">
        <v>9.8000000000000004E-2</v>
      </c>
      <c r="CJ110" s="3">
        <v>0.242666667</v>
      </c>
      <c r="CK110" s="3">
        <v>0.496</v>
      </c>
      <c r="CL110" s="3">
        <v>9.2999999999999999E-2</v>
      </c>
      <c r="CM110" s="3">
        <v>0.1</v>
      </c>
      <c r="CN110" s="3">
        <v>0.67200000000000004</v>
      </c>
      <c r="CO110" s="3">
        <v>0.21099999999999999</v>
      </c>
      <c r="CP110" s="3">
        <v>0.39900000000000002</v>
      </c>
      <c r="CQ110" s="3">
        <v>0.68700000000000006</v>
      </c>
      <c r="CR110" s="3">
        <v>0.14499999999999999</v>
      </c>
      <c r="CS110" s="3">
        <v>0.39</v>
      </c>
      <c r="CT110" s="48" t="s">
        <v>318</v>
      </c>
      <c r="CU110" s="49" t="s">
        <v>340</v>
      </c>
      <c r="CV110" s="3">
        <v>19.861999999999998</v>
      </c>
      <c r="CW110" s="3">
        <v>19.13</v>
      </c>
      <c r="CX110" s="3">
        <v>18.251000000000001</v>
      </c>
      <c r="CY110" s="3">
        <v>15.551</v>
      </c>
      <c r="CZ110" s="3">
        <v>21.974</v>
      </c>
      <c r="DA110" s="3">
        <v>15.759</v>
      </c>
      <c r="DB110" s="3">
        <v>13.073</v>
      </c>
      <c r="DC110" s="3">
        <v>21.443000000000001</v>
      </c>
      <c r="DD110" s="3">
        <v>22.143000000000001</v>
      </c>
      <c r="DE110" s="3">
        <v>22.088000000000001</v>
      </c>
      <c r="DF110" s="3">
        <v>18.927</v>
      </c>
      <c r="DG110" s="3">
        <v>15.808</v>
      </c>
      <c r="DH110" s="3">
        <v>17.475999999999999</v>
      </c>
    </row>
    <row r="111" spans="1:112" x14ac:dyDescent="0.3">
      <c r="A111" s="48" t="s">
        <v>318</v>
      </c>
      <c r="B111" s="49" t="s">
        <v>341</v>
      </c>
      <c r="C111" s="3">
        <v>37.704839999999997</v>
      </c>
      <c r="D111" s="3">
        <v>32.456314999999996</v>
      </c>
      <c r="E111" s="3">
        <v>32.456314999999996</v>
      </c>
      <c r="F111" s="3">
        <v>45.770335600000003</v>
      </c>
      <c r="G111" s="3">
        <v>45.770335600000003</v>
      </c>
      <c r="H111" s="3">
        <v>32.456314999999996</v>
      </c>
      <c r="I111" s="48" t="s">
        <v>318</v>
      </c>
      <c r="J111" s="49" t="s">
        <v>341</v>
      </c>
      <c r="K111" s="3">
        <v>33882</v>
      </c>
      <c r="L111" s="48" t="s">
        <v>318</v>
      </c>
      <c r="M111" s="49" t="s">
        <v>341</v>
      </c>
      <c r="N111" s="3">
        <v>764.02403159999994</v>
      </c>
      <c r="O111" s="3">
        <v>827.58822239999995</v>
      </c>
      <c r="P111" s="3">
        <v>177.80584579999999</v>
      </c>
      <c r="Q111" s="3">
        <v>172.998786</v>
      </c>
      <c r="R111" s="3">
        <v>1256.3699200000001</v>
      </c>
      <c r="S111" s="3">
        <v>960.31628179999996</v>
      </c>
      <c r="T111" s="3">
        <v>900.42927769999994</v>
      </c>
      <c r="U111" s="3">
        <v>1158.3808859999999</v>
      </c>
      <c r="V111" s="3">
        <v>754.56676519999996</v>
      </c>
      <c r="W111" s="3">
        <v>544.02361429999996</v>
      </c>
      <c r="X111" s="3">
        <v>948.91929219999997</v>
      </c>
      <c r="Y111" s="3">
        <v>37.568147099999997</v>
      </c>
      <c r="Z111" s="3">
        <v>700.8865472</v>
      </c>
      <c r="AA111" s="48" t="s">
        <v>318</v>
      </c>
      <c r="AB111" s="49" t="s">
        <v>341</v>
      </c>
      <c r="AC111" s="3">
        <v>479.99841459999999</v>
      </c>
      <c r="AD111" s="3">
        <v>455.81281469999999</v>
      </c>
      <c r="AE111" s="3">
        <v>281.45555519999999</v>
      </c>
      <c r="AF111" s="3">
        <v>77.704350379999994</v>
      </c>
      <c r="AG111" s="3">
        <v>868.36792879999996</v>
      </c>
      <c r="AH111" s="3">
        <v>631.38832079999997</v>
      </c>
      <c r="AI111" s="3">
        <v>530.27487840000003</v>
      </c>
      <c r="AJ111" s="3">
        <v>528.43547309999997</v>
      </c>
      <c r="AK111" s="3">
        <v>255.8437936</v>
      </c>
      <c r="AL111" s="3">
        <v>390.01847020000002</v>
      </c>
      <c r="AM111" s="3">
        <v>499.79860589999998</v>
      </c>
      <c r="AN111" s="3">
        <v>83.834809640000003</v>
      </c>
      <c r="AO111" s="3">
        <v>282.28711090000002</v>
      </c>
      <c r="AP111" s="48" t="s">
        <v>318</v>
      </c>
      <c r="AQ111" s="49" t="s">
        <v>341</v>
      </c>
      <c r="AR111" s="3">
        <v>585.11953080000001</v>
      </c>
      <c r="AS111" s="3">
        <v>1275.6585729999999</v>
      </c>
      <c r="AT111" s="3">
        <v>1005.861355</v>
      </c>
      <c r="AU111" s="3">
        <v>1029.816067</v>
      </c>
      <c r="AV111" s="3">
        <v>191.7300654</v>
      </c>
      <c r="AW111" s="3">
        <v>1582.877043</v>
      </c>
      <c r="AX111" s="3">
        <v>926.48213280000004</v>
      </c>
      <c r="AY111" s="3">
        <v>1102.1142440000001</v>
      </c>
      <c r="AZ111" s="3">
        <v>503.00797139999997</v>
      </c>
      <c r="BA111" s="3">
        <v>304.32572820000001</v>
      </c>
      <c r="BB111" s="3">
        <v>678.63622359999999</v>
      </c>
      <c r="BC111" s="3">
        <v>161.85131279999999</v>
      </c>
      <c r="BD111" s="3">
        <v>1123.8994620000001</v>
      </c>
      <c r="BE111" s="48" t="s">
        <v>318</v>
      </c>
      <c r="BF111" s="49" t="s">
        <v>341</v>
      </c>
      <c r="BG111" s="3">
        <v>0.56599999999999995</v>
      </c>
      <c r="BH111" s="3">
        <v>0.24399999999999999</v>
      </c>
      <c r="BI111" s="3">
        <v>0.55400000000000005</v>
      </c>
      <c r="BJ111" s="3">
        <v>0.71399999999999997</v>
      </c>
      <c r="BK111" s="3">
        <v>0.28199999999999997</v>
      </c>
      <c r="BL111" s="3">
        <v>0.53400000000000003</v>
      </c>
      <c r="BM111" s="3">
        <v>0.74399999999999999</v>
      </c>
      <c r="BN111" s="3">
        <v>0.22700000000000001</v>
      </c>
      <c r="BO111" s="3">
        <v>0.40150000000000002</v>
      </c>
      <c r="BP111" s="3">
        <v>0.76100000000000001</v>
      </c>
      <c r="BQ111" s="3">
        <v>0.23300000000000001</v>
      </c>
      <c r="BR111" s="3">
        <v>0.41766666699999999</v>
      </c>
      <c r="BS111" s="3">
        <v>0.51600000000000001</v>
      </c>
      <c r="BT111" s="3">
        <v>0.13600000000000001</v>
      </c>
      <c r="BU111" s="3">
        <v>0.48799999999999999</v>
      </c>
      <c r="BV111" s="3">
        <v>0.76300000000000001</v>
      </c>
      <c r="BW111" s="3">
        <v>0.34</v>
      </c>
      <c r="BX111" s="3">
        <v>0.46800000000000003</v>
      </c>
      <c r="BY111" s="3">
        <v>0.72199999999999998</v>
      </c>
      <c r="BZ111" s="3">
        <v>9.9000000000000005E-2</v>
      </c>
      <c r="CA111" s="3">
        <v>8.4500000000000006E-2</v>
      </c>
      <c r="CB111" s="3">
        <v>0.53600000000000003</v>
      </c>
      <c r="CC111" s="3">
        <v>0.214</v>
      </c>
      <c r="CD111" s="3">
        <v>0.42199999999999999</v>
      </c>
      <c r="CE111" s="3">
        <v>0.59499999999999997</v>
      </c>
      <c r="CF111" s="3">
        <v>9.6000000000000002E-2</v>
      </c>
      <c r="CG111" s="3">
        <v>0.3745</v>
      </c>
      <c r="CH111" s="3">
        <v>0.59499999999999997</v>
      </c>
      <c r="CI111" s="3">
        <v>9.5000000000000001E-2</v>
      </c>
      <c r="CJ111" s="3">
        <v>0.26100000000000001</v>
      </c>
      <c r="CK111" s="3">
        <v>0.51200000000000001</v>
      </c>
      <c r="CL111" s="3">
        <v>0.09</v>
      </c>
      <c r="CM111" s="3">
        <v>0.1</v>
      </c>
      <c r="CN111" s="3">
        <v>0.66700000000000004</v>
      </c>
      <c r="CO111" s="3">
        <v>0.20799999999999999</v>
      </c>
      <c r="CP111" s="3">
        <v>0.40666666699999998</v>
      </c>
      <c r="CQ111" s="3">
        <v>0.69899999999999995</v>
      </c>
      <c r="CR111" s="3">
        <v>0.14899999999999999</v>
      </c>
      <c r="CS111" s="3">
        <v>0.40500000000000003</v>
      </c>
      <c r="CT111" s="48" t="s">
        <v>318</v>
      </c>
      <c r="CU111" s="49" t="s">
        <v>341</v>
      </c>
      <c r="CV111" s="3">
        <v>20.542000000000002</v>
      </c>
      <c r="CW111" s="3">
        <v>19.739000000000001</v>
      </c>
      <c r="CX111" s="3">
        <v>18.721</v>
      </c>
      <c r="CY111" s="3">
        <v>16.219000000000001</v>
      </c>
      <c r="CZ111" s="3">
        <v>22.135000000000002</v>
      </c>
      <c r="DA111" s="3">
        <v>15.98</v>
      </c>
      <c r="DB111" s="3">
        <v>13.641</v>
      </c>
      <c r="DC111" s="3">
        <v>21.704999999999998</v>
      </c>
      <c r="DD111" s="3">
        <v>22.841999999999999</v>
      </c>
      <c r="DE111" s="3">
        <v>22.79</v>
      </c>
      <c r="DF111" s="3">
        <v>19.459</v>
      </c>
      <c r="DG111" s="3">
        <v>16.073</v>
      </c>
      <c r="DH111" s="3">
        <v>17.806000000000001</v>
      </c>
    </row>
    <row r="112" spans="1:112" x14ac:dyDescent="0.3">
      <c r="A112" s="48" t="s">
        <v>318</v>
      </c>
      <c r="B112" s="49" t="s">
        <v>342</v>
      </c>
      <c r="C112" s="3">
        <v>36.979205</v>
      </c>
      <c r="D112" s="3">
        <v>31.864535</v>
      </c>
      <c r="E112" s="3">
        <v>31.864535</v>
      </c>
      <c r="F112" s="3">
        <v>45.628987330000001</v>
      </c>
      <c r="G112" s="3">
        <v>45.628987330000001</v>
      </c>
      <c r="H112" s="3">
        <v>31.864535</v>
      </c>
      <c r="I112" s="48" t="s">
        <v>318</v>
      </c>
      <c r="J112" s="49" t="s">
        <v>342</v>
      </c>
      <c r="K112" s="3">
        <v>33380.5</v>
      </c>
      <c r="L112" s="48" t="s">
        <v>318</v>
      </c>
      <c r="M112" s="49" t="s">
        <v>342</v>
      </c>
      <c r="N112" s="3">
        <v>907.18720180000003</v>
      </c>
      <c r="O112" s="3">
        <v>983.8711902</v>
      </c>
      <c r="P112" s="3">
        <v>195.90099319999999</v>
      </c>
      <c r="Q112" s="3">
        <v>146.79297650000001</v>
      </c>
      <c r="R112" s="3">
        <v>1454.5724889999999</v>
      </c>
      <c r="S112" s="3">
        <v>1084.6463550000001</v>
      </c>
      <c r="T112" s="3">
        <v>823.95174210000005</v>
      </c>
      <c r="U112" s="3">
        <v>1126.1801129999999</v>
      </c>
      <c r="V112" s="3">
        <v>679.75754440000003</v>
      </c>
      <c r="W112" s="3">
        <v>603.78334519999999</v>
      </c>
      <c r="X112" s="3">
        <v>1000.324967</v>
      </c>
      <c r="Y112" s="3">
        <v>21.689307620000001</v>
      </c>
      <c r="Z112" s="3">
        <v>534.22166189999996</v>
      </c>
      <c r="AA112" s="48" t="s">
        <v>318</v>
      </c>
      <c r="AB112" s="49" t="s">
        <v>342</v>
      </c>
      <c r="AC112" s="3">
        <v>413.33196809999998</v>
      </c>
      <c r="AD112" s="3">
        <v>392.50547929999999</v>
      </c>
      <c r="AE112" s="3">
        <v>242.36450590000001</v>
      </c>
      <c r="AF112" s="3">
        <v>74.205813280000001</v>
      </c>
      <c r="AG112" s="3">
        <v>747.76127210000004</v>
      </c>
      <c r="AH112" s="3">
        <v>543.69549840000002</v>
      </c>
      <c r="AI112" s="3">
        <v>506.3999432</v>
      </c>
      <c r="AJ112" s="3">
        <v>455.04165740000002</v>
      </c>
      <c r="AK112" s="3">
        <v>220.30993340000001</v>
      </c>
      <c r="AL112" s="3">
        <v>335.8492382</v>
      </c>
      <c r="AM112" s="3">
        <v>477.2958251</v>
      </c>
      <c r="AN112" s="3">
        <v>72.191086080000005</v>
      </c>
      <c r="AO112" s="3">
        <v>243.08056769999999</v>
      </c>
      <c r="AP112" s="48" t="s">
        <v>318</v>
      </c>
      <c r="AQ112" s="49" t="s">
        <v>342</v>
      </c>
      <c r="AR112" s="3">
        <v>551.19955800000002</v>
      </c>
      <c r="AS112" s="3">
        <v>1201.707351</v>
      </c>
      <c r="AT112" s="3">
        <v>947.55055200000004</v>
      </c>
      <c r="AU112" s="3">
        <v>975.11452099999997</v>
      </c>
      <c r="AV112" s="3">
        <v>180.61527899999999</v>
      </c>
      <c r="AW112" s="3">
        <v>1491.116055</v>
      </c>
      <c r="AX112" s="3">
        <v>877.26945599999999</v>
      </c>
      <c r="AY112" s="3">
        <v>1038.223563</v>
      </c>
      <c r="AZ112" s="3">
        <v>473.84808900000002</v>
      </c>
      <c r="BA112" s="3">
        <v>286.68365699999998</v>
      </c>
      <c r="BB112" s="3">
        <v>642.588572</v>
      </c>
      <c r="BC112" s="3">
        <v>152.468628</v>
      </c>
      <c r="BD112" s="3">
        <v>1058.74587</v>
      </c>
      <c r="BE112" s="48" t="s">
        <v>318</v>
      </c>
      <c r="BF112" s="49" t="s">
        <v>342</v>
      </c>
      <c r="BG112" s="3">
        <v>0.57299999999999995</v>
      </c>
      <c r="BH112" s="3">
        <v>0.218</v>
      </c>
      <c r="BI112" s="3">
        <v>0.52100000000000002</v>
      </c>
      <c r="BJ112" s="3">
        <v>0.67800000000000005</v>
      </c>
      <c r="BK112" s="3">
        <v>0.29099999999999998</v>
      </c>
      <c r="BL112" s="3">
        <v>0.47499999999999998</v>
      </c>
      <c r="BM112" s="3">
        <v>0.70899999999999996</v>
      </c>
      <c r="BN112" s="3">
        <v>0.22</v>
      </c>
      <c r="BO112" s="3">
        <v>0.39250000000000002</v>
      </c>
      <c r="BP112" s="3">
        <v>0.72299999999999998</v>
      </c>
      <c r="BQ112" s="3">
        <v>0.23799999999999999</v>
      </c>
      <c r="BR112" s="3">
        <v>0.42099999999999999</v>
      </c>
      <c r="BS112" s="3">
        <v>0.49099999999999999</v>
      </c>
      <c r="BT112" s="3">
        <v>0.125</v>
      </c>
      <c r="BU112" s="3">
        <v>0.43516666700000001</v>
      </c>
      <c r="BV112" s="3">
        <v>0.73099999999999998</v>
      </c>
      <c r="BW112" s="3">
        <v>0.32500000000000001</v>
      </c>
      <c r="BX112" s="3">
        <v>0.46100000000000002</v>
      </c>
      <c r="BY112" s="3">
        <v>0.66400000000000003</v>
      </c>
      <c r="BZ112" s="3">
        <v>9.6000000000000002E-2</v>
      </c>
      <c r="CA112" s="3">
        <v>7.4499999999999997E-2</v>
      </c>
      <c r="CB112" s="3">
        <v>0.47899999999999998</v>
      </c>
      <c r="CC112" s="3">
        <v>0.193</v>
      </c>
      <c r="CD112" s="3">
        <v>0.34933333300000002</v>
      </c>
      <c r="CE112" s="3">
        <v>0.58499999999999996</v>
      </c>
      <c r="CF112" s="3">
        <v>9.0999999999999998E-2</v>
      </c>
      <c r="CG112" s="3">
        <v>0.35299999999999998</v>
      </c>
      <c r="CH112" s="3">
        <v>0.58499999999999996</v>
      </c>
      <c r="CI112" s="3">
        <v>0.09</v>
      </c>
      <c r="CJ112" s="3">
        <v>0.28966666699999999</v>
      </c>
      <c r="CK112" s="3">
        <v>0.48</v>
      </c>
      <c r="CL112" s="3">
        <v>8.8999999999999996E-2</v>
      </c>
      <c r="CM112" s="3">
        <v>0.1</v>
      </c>
      <c r="CN112" s="3">
        <v>0.65100000000000002</v>
      </c>
      <c r="CO112" s="3">
        <v>0.20100000000000001</v>
      </c>
      <c r="CP112" s="3">
        <v>0.390333333</v>
      </c>
      <c r="CQ112" s="3">
        <v>0.69199999999999995</v>
      </c>
      <c r="CR112" s="3">
        <v>0.157</v>
      </c>
      <c r="CS112" s="3">
        <v>0.441</v>
      </c>
      <c r="CT112" s="48" t="s">
        <v>318</v>
      </c>
      <c r="CU112" s="49" t="s">
        <v>342</v>
      </c>
      <c r="CV112" s="3">
        <v>21.126999999999999</v>
      </c>
      <c r="CW112" s="3">
        <v>19.95</v>
      </c>
      <c r="CX112" s="3">
        <v>19.064</v>
      </c>
      <c r="CY112" s="3">
        <v>16.689</v>
      </c>
      <c r="CZ112" s="3">
        <v>22.364999999999998</v>
      </c>
      <c r="DA112" s="3">
        <v>16.105</v>
      </c>
      <c r="DB112" s="3">
        <v>13.778</v>
      </c>
      <c r="DC112" s="3">
        <v>21.798999999999999</v>
      </c>
      <c r="DD112" s="3">
        <v>23.37</v>
      </c>
      <c r="DE112" s="3">
        <v>23.323</v>
      </c>
      <c r="DF112" s="3">
        <v>19.765000000000001</v>
      </c>
      <c r="DG112" s="3">
        <v>16.155000000000001</v>
      </c>
      <c r="DH112" s="3">
        <v>17.949000000000002</v>
      </c>
    </row>
    <row r="113" spans="1:112" x14ac:dyDescent="0.3">
      <c r="A113" s="48" t="s">
        <v>318</v>
      </c>
      <c r="B113" s="49" t="s">
        <v>343</v>
      </c>
      <c r="C113" s="3">
        <v>38.282530000000001</v>
      </c>
      <c r="D113" s="3">
        <v>32.082929999999998</v>
      </c>
      <c r="E113" s="3">
        <v>32.082929999999998</v>
      </c>
      <c r="F113" s="3">
        <v>45.964689470000003</v>
      </c>
      <c r="G113" s="3">
        <v>45.964689470000003</v>
      </c>
      <c r="H113" s="3">
        <v>32.082929999999998</v>
      </c>
      <c r="I113" s="48" t="s">
        <v>318</v>
      </c>
      <c r="J113" s="49" t="s">
        <v>343</v>
      </c>
      <c r="K113" s="3">
        <v>33459</v>
      </c>
      <c r="L113" s="48" t="s">
        <v>318</v>
      </c>
      <c r="M113" s="49" t="s">
        <v>343</v>
      </c>
      <c r="N113" s="3">
        <v>733.51183230000004</v>
      </c>
      <c r="O113" s="3">
        <v>1003.908219</v>
      </c>
      <c r="P113" s="3">
        <v>177.85701330000001</v>
      </c>
      <c r="Q113" s="3">
        <v>158.27523479999999</v>
      </c>
      <c r="R113" s="3">
        <v>1438.3511000000001</v>
      </c>
      <c r="S113" s="3">
        <v>1062.3460889999999</v>
      </c>
      <c r="T113" s="3">
        <v>816.6141417</v>
      </c>
      <c r="U113" s="3">
        <v>1002.978983</v>
      </c>
      <c r="V113" s="3">
        <v>639.87303450000002</v>
      </c>
      <c r="W113" s="3">
        <v>556.92134069999997</v>
      </c>
      <c r="X113" s="3">
        <v>793.60053530000005</v>
      </c>
      <c r="Y113" s="3">
        <v>34.959739120000002</v>
      </c>
      <c r="Z113" s="3">
        <v>386.64154489999999</v>
      </c>
      <c r="AA113" s="48" t="s">
        <v>318</v>
      </c>
      <c r="AB113" s="49" t="s">
        <v>343</v>
      </c>
      <c r="AC113" s="3">
        <v>370.95115570000002</v>
      </c>
      <c r="AD113" s="3">
        <v>352.26010179999997</v>
      </c>
      <c r="AE113" s="3">
        <v>217.51376740000001</v>
      </c>
      <c r="AF113" s="3">
        <v>64.722936399999995</v>
      </c>
      <c r="AG113" s="3">
        <v>671.08989740000004</v>
      </c>
      <c r="AH113" s="3">
        <v>487.94791850000001</v>
      </c>
      <c r="AI113" s="3">
        <v>441.68630280000002</v>
      </c>
      <c r="AJ113" s="3">
        <v>408.38416030000002</v>
      </c>
      <c r="AK113" s="3">
        <v>197.72055080000001</v>
      </c>
      <c r="AL113" s="3">
        <v>301.41308359999999</v>
      </c>
      <c r="AM113" s="3">
        <v>416.3014455</v>
      </c>
      <c r="AN113" s="3">
        <v>64.789004669999997</v>
      </c>
      <c r="AO113" s="3">
        <v>218.15640809999999</v>
      </c>
      <c r="AP113" s="48" t="s">
        <v>318</v>
      </c>
      <c r="AQ113" s="49" t="s">
        <v>343</v>
      </c>
      <c r="AR113" s="3">
        <v>524.3462462</v>
      </c>
      <c r="AS113" s="3">
        <v>1143.162634</v>
      </c>
      <c r="AT113" s="3">
        <v>901.38783279999996</v>
      </c>
      <c r="AU113" s="3">
        <v>958.46622430000002</v>
      </c>
      <c r="AV113" s="3">
        <v>171.81607310000001</v>
      </c>
      <c r="AW113" s="3">
        <v>1418.4719399999999</v>
      </c>
      <c r="AX113" s="3">
        <v>862.29168479999998</v>
      </c>
      <c r="AY113" s="3">
        <v>987.64344070000004</v>
      </c>
      <c r="AZ113" s="3">
        <v>450.76318209999999</v>
      </c>
      <c r="BA113" s="3">
        <v>272.71701730000001</v>
      </c>
      <c r="BB113" s="3">
        <v>631.61754759999997</v>
      </c>
      <c r="BC113" s="3">
        <v>145.0406692</v>
      </c>
      <c r="BD113" s="3">
        <v>1007.165943</v>
      </c>
      <c r="BE113" s="48" t="s">
        <v>318</v>
      </c>
      <c r="BF113" s="49" t="s">
        <v>343</v>
      </c>
      <c r="BG113" s="3">
        <v>0.48499999999999999</v>
      </c>
      <c r="BH113" s="3">
        <v>0.187</v>
      </c>
      <c r="BI113" s="3">
        <v>0.46650000000000003</v>
      </c>
      <c r="BJ113" s="3">
        <v>0.61599999999999999</v>
      </c>
      <c r="BK113" s="3">
        <v>0.28399999999999997</v>
      </c>
      <c r="BL113" s="3">
        <v>0.41</v>
      </c>
      <c r="BM113" s="3">
        <v>0.63400000000000001</v>
      </c>
      <c r="BN113" s="3">
        <v>0.20499999999999999</v>
      </c>
      <c r="BO113" s="3">
        <v>0.3715</v>
      </c>
      <c r="BP113" s="3">
        <v>0.61799999999999999</v>
      </c>
      <c r="BQ113" s="3">
        <v>0.23799999999999999</v>
      </c>
      <c r="BR113" s="3">
        <v>0.41966666699999999</v>
      </c>
      <c r="BS113" s="3">
        <v>0.38800000000000001</v>
      </c>
      <c r="BT113" s="3">
        <v>0.11</v>
      </c>
      <c r="BU113" s="3">
        <v>0.36958333399999999</v>
      </c>
      <c r="BV113" s="3">
        <v>0.65700000000000003</v>
      </c>
      <c r="BW113" s="3">
        <v>0.309</v>
      </c>
      <c r="BX113" s="3">
        <v>0.44900000000000001</v>
      </c>
      <c r="BY113" s="3">
        <v>0.60499999999999998</v>
      </c>
      <c r="BZ113" s="3">
        <v>9.0999999999999998E-2</v>
      </c>
      <c r="CA113" s="3">
        <v>6.0999999999999999E-2</v>
      </c>
      <c r="CB113" s="3">
        <v>0.40100000000000002</v>
      </c>
      <c r="CC113" s="3">
        <v>0.159</v>
      </c>
      <c r="CD113" s="3">
        <v>0.27266666699999997</v>
      </c>
      <c r="CE113" s="3">
        <v>0.51</v>
      </c>
      <c r="CF113" s="3">
        <v>8.1000000000000003E-2</v>
      </c>
      <c r="CG113" s="3">
        <v>0.3095</v>
      </c>
      <c r="CH113" s="3">
        <v>0.51100000000000001</v>
      </c>
      <c r="CI113" s="3">
        <v>8.1000000000000003E-2</v>
      </c>
      <c r="CJ113" s="3">
        <v>0.31866666700000001</v>
      </c>
      <c r="CK113" s="3">
        <v>0.42199999999999999</v>
      </c>
      <c r="CL113" s="3">
        <v>0.09</v>
      </c>
      <c r="CM113" s="3">
        <v>0.1</v>
      </c>
      <c r="CN113" s="3">
        <v>0.60099999999999998</v>
      </c>
      <c r="CO113" s="3">
        <v>0.192</v>
      </c>
      <c r="CP113" s="3">
        <v>0.359666667</v>
      </c>
      <c r="CQ113" s="3">
        <v>0.624</v>
      </c>
      <c r="CR113" s="3">
        <v>0.16300000000000001</v>
      </c>
      <c r="CS113" s="3">
        <v>0.47699999999999998</v>
      </c>
      <c r="CT113" s="48" t="s">
        <v>318</v>
      </c>
      <c r="CU113" s="49" t="s">
        <v>343</v>
      </c>
      <c r="CV113" s="3">
        <v>21.302</v>
      </c>
      <c r="CW113" s="3">
        <v>19.826000000000001</v>
      </c>
      <c r="CX113" s="3">
        <v>19.222999999999999</v>
      </c>
      <c r="CY113" s="3">
        <v>16.844000000000001</v>
      </c>
      <c r="CZ113" s="3">
        <v>22.178000000000001</v>
      </c>
      <c r="DA113" s="3">
        <v>16.094999999999999</v>
      </c>
      <c r="DB113" s="3">
        <v>13.72</v>
      </c>
      <c r="DC113" s="3">
        <v>21.76</v>
      </c>
      <c r="DD113" s="3">
        <v>23.486999999999998</v>
      </c>
      <c r="DE113" s="3">
        <v>23.442</v>
      </c>
      <c r="DF113" s="3">
        <v>19.943000000000001</v>
      </c>
      <c r="DG113" s="3">
        <v>16.053000000000001</v>
      </c>
      <c r="DH113" s="3">
        <v>17.850999999999999</v>
      </c>
    </row>
    <row r="114" spans="1:112" x14ac:dyDescent="0.3">
      <c r="A114" s="48" t="s">
        <v>318</v>
      </c>
      <c r="B114" s="49" t="s">
        <v>344</v>
      </c>
      <c r="C114" s="3">
        <v>40.410119999999999</v>
      </c>
      <c r="D114" s="3">
        <v>35.182729999999999</v>
      </c>
      <c r="E114" s="3">
        <v>35.182729999999999</v>
      </c>
      <c r="F114" s="3">
        <v>46.353397200000003</v>
      </c>
      <c r="G114" s="3">
        <v>46.353397200000003</v>
      </c>
      <c r="H114" s="3">
        <v>35.182729999999999</v>
      </c>
      <c r="I114" s="48" t="s">
        <v>318</v>
      </c>
      <c r="J114" s="49" t="s">
        <v>344</v>
      </c>
      <c r="K114" s="3">
        <v>34883.5</v>
      </c>
      <c r="L114" s="48" t="s">
        <v>318</v>
      </c>
      <c r="M114" s="49" t="s">
        <v>344</v>
      </c>
      <c r="N114" s="3">
        <v>848.10635990000003</v>
      </c>
      <c r="O114" s="3">
        <v>1004.038283</v>
      </c>
      <c r="P114" s="3">
        <v>324.48259890000003</v>
      </c>
      <c r="Q114" s="3">
        <v>134.9130136</v>
      </c>
      <c r="R114" s="3">
        <v>1332.144464</v>
      </c>
      <c r="S114" s="3">
        <v>1100.4830830000001</v>
      </c>
      <c r="T114" s="3">
        <v>839.86418060000005</v>
      </c>
      <c r="U114" s="3">
        <v>1035.9806100000001</v>
      </c>
      <c r="V114" s="3">
        <v>759.62547140000004</v>
      </c>
      <c r="W114" s="3">
        <v>584.65297629999998</v>
      </c>
      <c r="X114" s="3">
        <v>683.67507379999995</v>
      </c>
      <c r="Y114" s="3">
        <v>50.932566250000001</v>
      </c>
      <c r="Z114" s="3">
        <v>408.7186317</v>
      </c>
      <c r="AA114" s="48" t="s">
        <v>318</v>
      </c>
      <c r="AB114" s="49" t="s">
        <v>344</v>
      </c>
      <c r="AC114" s="3">
        <v>320.95132080000002</v>
      </c>
      <c r="AD114" s="3">
        <v>304.77960030000003</v>
      </c>
      <c r="AE114" s="3">
        <v>188.19548040000001</v>
      </c>
      <c r="AF114" s="3">
        <v>68.497673800000001</v>
      </c>
      <c r="AG114" s="3">
        <v>580.63490479999996</v>
      </c>
      <c r="AH114" s="3">
        <v>422.17830179999999</v>
      </c>
      <c r="AI114" s="3">
        <v>467.44610139999998</v>
      </c>
      <c r="AJ114" s="3">
        <v>353.3387985</v>
      </c>
      <c r="AK114" s="3">
        <v>171.07015559999999</v>
      </c>
      <c r="AL114" s="3">
        <v>260.78615960000002</v>
      </c>
      <c r="AM114" s="3">
        <v>440.58076160000002</v>
      </c>
      <c r="AN114" s="3">
        <v>56.056212000000002</v>
      </c>
      <c r="AO114" s="3">
        <v>188.7515008</v>
      </c>
      <c r="AP114" s="48" t="s">
        <v>318</v>
      </c>
      <c r="AQ114" s="49" t="s">
        <v>344</v>
      </c>
      <c r="AR114" s="3">
        <v>528.58624280000004</v>
      </c>
      <c r="AS114" s="3">
        <v>1152.4065370000001</v>
      </c>
      <c r="AT114" s="3">
        <v>908.67668319999996</v>
      </c>
      <c r="AU114" s="3">
        <v>948.9529119</v>
      </c>
      <c r="AV114" s="3">
        <v>173.20542140000001</v>
      </c>
      <c r="AW114" s="3">
        <v>1429.942063</v>
      </c>
      <c r="AX114" s="3">
        <v>853.73295840000003</v>
      </c>
      <c r="AY114" s="3">
        <v>995.62977579999995</v>
      </c>
      <c r="AZ114" s="3">
        <v>454.40816740000002</v>
      </c>
      <c r="BA114" s="3">
        <v>274.9222762</v>
      </c>
      <c r="BB114" s="3">
        <v>625.34839079999995</v>
      </c>
      <c r="BC114" s="3">
        <v>146.21350480000001</v>
      </c>
      <c r="BD114" s="3">
        <v>1015.310142</v>
      </c>
      <c r="BE114" s="48" t="s">
        <v>318</v>
      </c>
      <c r="BF114" s="49" t="s">
        <v>344</v>
      </c>
      <c r="BG114" s="3">
        <v>0.376</v>
      </c>
      <c r="BH114" s="3">
        <v>0.16300000000000001</v>
      </c>
      <c r="BI114" s="3">
        <v>0.39550000000000002</v>
      </c>
      <c r="BJ114" s="3">
        <v>0.50700000000000001</v>
      </c>
      <c r="BK114" s="3">
        <v>0.26700000000000002</v>
      </c>
      <c r="BL114" s="3">
        <v>0.34749999999999998</v>
      </c>
      <c r="BM114" s="3">
        <v>0.52</v>
      </c>
      <c r="BN114" s="3">
        <v>0.183</v>
      </c>
      <c r="BO114" s="3">
        <v>0.34200000000000003</v>
      </c>
      <c r="BP114" s="3">
        <v>0.52100000000000002</v>
      </c>
      <c r="BQ114" s="3">
        <v>0.223</v>
      </c>
      <c r="BR114" s="3">
        <v>0.39600000000000002</v>
      </c>
      <c r="BS114" s="3">
        <v>0.311</v>
      </c>
      <c r="BT114" s="3">
        <v>9.6000000000000002E-2</v>
      </c>
      <c r="BU114" s="3">
        <v>0.30208333399999998</v>
      </c>
      <c r="BV114" s="3">
        <v>0.54400000000000004</v>
      </c>
      <c r="BW114" s="3">
        <v>0.27900000000000003</v>
      </c>
      <c r="BX114" s="3">
        <v>0.40300000000000002</v>
      </c>
      <c r="BY114" s="3">
        <v>0.496</v>
      </c>
      <c r="BZ114" s="3">
        <v>0.08</v>
      </c>
      <c r="CA114" s="3">
        <v>4.5499999999999999E-2</v>
      </c>
      <c r="CB114" s="3">
        <v>0.34399999999999997</v>
      </c>
      <c r="CC114" s="3">
        <v>0.123</v>
      </c>
      <c r="CD114" s="3">
        <v>0.208666667</v>
      </c>
      <c r="CE114" s="3">
        <v>0.39900000000000002</v>
      </c>
      <c r="CF114" s="3">
        <v>7.4999999999999997E-2</v>
      </c>
      <c r="CG114" s="3">
        <v>0.26650000000000001</v>
      </c>
      <c r="CH114" s="3">
        <v>0.4</v>
      </c>
      <c r="CI114" s="3">
        <v>7.5999999999999998E-2</v>
      </c>
      <c r="CJ114" s="3">
        <v>0.34100000000000003</v>
      </c>
      <c r="CK114" s="3">
        <v>0.33800000000000002</v>
      </c>
      <c r="CL114" s="3">
        <v>9.2999999999999999E-2</v>
      </c>
      <c r="CM114" s="3">
        <v>0.1</v>
      </c>
      <c r="CN114" s="3">
        <v>0.5</v>
      </c>
      <c r="CO114" s="3">
        <v>0.17399999999999999</v>
      </c>
      <c r="CP114" s="3">
        <v>0.306666667</v>
      </c>
      <c r="CQ114" s="3">
        <v>0.53</v>
      </c>
      <c r="CR114" s="3">
        <v>0.159</v>
      </c>
      <c r="CS114" s="3">
        <v>0.48199999999999998</v>
      </c>
      <c r="CT114" s="48" t="s">
        <v>318</v>
      </c>
      <c r="CU114" s="49" t="s">
        <v>344</v>
      </c>
      <c r="CV114" s="3">
        <v>21.259</v>
      </c>
      <c r="CW114" s="3">
        <v>19.38</v>
      </c>
      <c r="CX114" s="3">
        <v>19.186</v>
      </c>
      <c r="CY114" s="3">
        <v>16.802</v>
      </c>
      <c r="CZ114" s="3">
        <v>21.986000000000001</v>
      </c>
      <c r="DA114" s="3">
        <v>15.952</v>
      </c>
      <c r="DB114" s="3">
        <v>13.477</v>
      </c>
      <c r="DC114" s="3">
        <v>21.7</v>
      </c>
      <c r="DD114" s="3">
        <v>23.317</v>
      </c>
      <c r="DE114" s="3">
        <v>23.27</v>
      </c>
      <c r="DF114" s="3">
        <v>19.948</v>
      </c>
      <c r="DG114" s="3">
        <v>15.795</v>
      </c>
      <c r="DH114" s="3">
        <v>17.670999999999999</v>
      </c>
    </row>
    <row r="115" spans="1:112" x14ac:dyDescent="0.3">
      <c r="A115" s="48" t="s">
        <v>318</v>
      </c>
      <c r="B115" s="49" t="s">
        <v>345</v>
      </c>
      <c r="C115" s="3">
        <v>44.355319999999999</v>
      </c>
      <c r="D115" s="3">
        <v>39.705620000000003</v>
      </c>
      <c r="E115" s="3">
        <v>39.705620000000003</v>
      </c>
      <c r="F115" s="3">
        <v>46.909956000000001</v>
      </c>
      <c r="G115" s="3">
        <v>45.690827200000001</v>
      </c>
      <c r="H115" s="3">
        <v>39.705620000000003</v>
      </c>
      <c r="I115" s="48" t="s">
        <v>318</v>
      </c>
      <c r="J115" s="49" t="s">
        <v>345</v>
      </c>
      <c r="K115" s="3">
        <v>35595.5</v>
      </c>
      <c r="L115" s="48" t="s">
        <v>318</v>
      </c>
      <c r="M115" s="49" t="s">
        <v>345</v>
      </c>
      <c r="N115" s="3">
        <v>964.95834600000001</v>
      </c>
      <c r="O115" s="3">
        <v>1107.0065850000001</v>
      </c>
      <c r="P115" s="3">
        <v>692.23513690000004</v>
      </c>
      <c r="Q115" s="3">
        <v>265.2938072</v>
      </c>
      <c r="R115" s="3">
        <v>1437.233248</v>
      </c>
      <c r="S115" s="3">
        <v>1275.9612950000001</v>
      </c>
      <c r="T115" s="3">
        <v>1261.579927</v>
      </c>
      <c r="U115" s="3">
        <v>1940.437328</v>
      </c>
      <c r="V115" s="3">
        <v>1443.8508899999999</v>
      </c>
      <c r="W115" s="3">
        <v>616.45122389999995</v>
      </c>
      <c r="X115" s="3">
        <v>901.43311730000005</v>
      </c>
      <c r="Y115" s="3">
        <v>75.173324879999996</v>
      </c>
      <c r="Z115" s="3">
        <v>848.54241950000005</v>
      </c>
      <c r="AA115" s="48" t="s">
        <v>318</v>
      </c>
      <c r="AB115" s="49" t="s">
        <v>345</v>
      </c>
      <c r="AC115" s="3">
        <v>259.7394018</v>
      </c>
      <c r="AD115" s="3">
        <v>246.65195600000001</v>
      </c>
      <c r="AE115" s="3">
        <v>152.30278960000001</v>
      </c>
      <c r="AF115" s="3">
        <v>52.500883010000003</v>
      </c>
      <c r="AG115" s="3">
        <v>469.8960654</v>
      </c>
      <c r="AH115" s="3">
        <v>341.66034669999999</v>
      </c>
      <c r="AI115" s="3">
        <v>358.27980309999998</v>
      </c>
      <c r="AJ115" s="3">
        <v>285.9499313</v>
      </c>
      <c r="AK115" s="3">
        <v>138.44361119999999</v>
      </c>
      <c r="AL115" s="3">
        <v>211.04895569999999</v>
      </c>
      <c r="AM115" s="3">
        <v>337.68853360000003</v>
      </c>
      <c r="AN115" s="3">
        <v>45.365156730000002</v>
      </c>
      <c r="AO115" s="3">
        <v>152.7527657</v>
      </c>
      <c r="AP115" s="48" t="s">
        <v>318</v>
      </c>
      <c r="AQ115" s="49" t="s">
        <v>345</v>
      </c>
      <c r="AR115" s="3">
        <v>501.73293100000001</v>
      </c>
      <c r="AS115" s="3">
        <v>1093.8618200000001</v>
      </c>
      <c r="AT115" s="3">
        <v>862.51396399999999</v>
      </c>
      <c r="AU115" s="3">
        <v>977.49284909999994</v>
      </c>
      <c r="AV115" s="3">
        <v>164.4062155</v>
      </c>
      <c r="AW115" s="3">
        <v>1357.297947</v>
      </c>
      <c r="AX115" s="3">
        <v>879.40913760000001</v>
      </c>
      <c r="AY115" s="3">
        <v>945.04965349999998</v>
      </c>
      <c r="AZ115" s="3">
        <v>431.3232605</v>
      </c>
      <c r="BA115" s="3">
        <v>260.95563650000003</v>
      </c>
      <c r="BB115" s="3">
        <v>644.1558612</v>
      </c>
      <c r="BC115" s="3">
        <v>138.78554600000001</v>
      </c>
      <c r="BD115" s="3">
        <v>963.73021500000004</v>
      </c>
      <c r="BE115" s="48" t="s">
        <v>318</v>
      </c>
      <c r="BF115" s="49" t="s">
        <v>345</v>
      </c>
      <c r="BG115" s="3">
        <v>0.23599999999999999</v>
      </c>
      <c r="BH115" s="3">
        <v>0.14799999999999999</v>
      </c>
      <c r="BI115" s="3">
        <v>0.33350000000000002</v>
      </c>
      <c r="BJ115" s="3">
        <v>0.36699999999999999</v>
      </c>
      <c r="BK115" s="3">
        <v>0.22900000000000001</v>
      </c>
      <c r="BL115" s="3">
        <v>0.29649999999999999</v>
      </c>
      <c r="BM115" s="3">
        <v>0.373</v>
      </c>
      <c r="BN115" s="3">
        <v>0.14599999999999999</v>
      </c>
      <c r="BO115" s="3">
        <v>0.30599999999999999</v>
      </c>
      <c r="BP115" s="3">
        <v>0.309</v>
      </c>
      <c r="BQ115" s="3">
        <v>0.19800000000000001</v>
      </c>
      <c r="BR115" s="3">
        <v>0.36033333299999998</v>
      </c>
      <c r="BS115" s="3">
        <v>0.215</v>
      </c>
      <c r="BT115" s="3">
        <v>9.0999999999999998E-2</v>
      </c>
      <c r="BU115" s="3">
        <v>0.24791666700000001</v>
      </c>
      <c r="BV115" s="3">
        <v>0.39500000000000002</v>
      </c>
      <c r="BW115" s="3">
        <v>0.23300000000000001</v>
      </c>
      <c r="BX115" s="3">
        <v>0.34100000000000003</v>
      </c>
      <c r="BY115" s="3">
        <v>0.35499999999999998</v>
      </c>
      <c r="BZ115" s="3">
        <v>6.8000000000000005E-2</v>
      </c>
      <c r="CA115" s="3">
        <v>3.0499999999999999E-2</v>
      </c>
      <c r="CB115" s="3">
        <v>0.23699999999999999</v>
      </c>
      <c r="CC115" s="3">
        <v>8.8999999999999996E-2</v>
      </c>
      <c r="CD115" s="3">
        <v>0.162333333</v>
      </c>
      <c r="CE115" s="3">
        <v>0.27600000000000002</v>
      </c>
      <c r="CF115" s="3">
        <v>7.5999999999999998E-2</v>
      </c>
      <c r="CG115" s="3">
        <v>0.23350000000000001</v>
      </c>
      <c r="CH115" s="3">
        <v>0.27600000000000002</v>
      </c>
      <c r="CI115" s="3">
        <v>7.5999999999999998E-2</v>
      </c>
      <c r="CJ115" s="3">
        <v>0.37633333299999999</v>
      </c>
      <c r="CK115" s="3">
        <v>0.252</v>
      </c>
      <c r="CL115" s="3">
        <v>9.0999999999999998E-2</v>
      </c>
      <c r="CM115" s="3">
        <v>0.1</v>
      </c>
      <c r="CN115" s="3">
        <v>0.372</v>
      </c>
      <c r="CO115" s="3">
        <v>0.14799999999999999</v>
      </c>
      <c r="CP115" s="3">
        <v>0.25466666700000001</v>
      </c>
      <c r="CQ115" s="3">
        <v>0.39300000000000002</v>
      </c>
      <c r="CR115" s="3">
        <v>0.14099999999999999</v>
      </c>
      <c r="CS115" s="3">
        <v>0.439</v>
      </c>
      <c r="CT115" s="48" t="s">
        <v>318</v>
      </c>
      <c r="CU115" s="49" t="s">
        <v>345</v>
      </c>
      <c r="CV115" s="3">
        <v>20.908000000000001</v>
      </c>
      <c r="CW115" s="3">
        <v>18.702000000000002</v>
      </c>
      <c r="CX115" s="3">
        <v>18.866</v>
      </c>
      <c r="CY115" s="3">
        <v>16.22</v>
      </c>
      <c r="CZ115" s="3">
        <v>21.584</v>
      </c>
      <c r="DA115" s="3">
        <v>15.661</v>
      </c>
      <c r="DB115" s="3">
        <v>13.055999999999999</v>
      </c>
      <c r="DC115" s="3">
        <v>21.393000000000001</v>
      </c>
      <c r="DD115" s="3">
        <v>22.856000000000002</v>
      </c>
      <c r="DE115" s="3">
        <v>22.806999999999999</v>
      </c>
      <c r="DF115" s="3">
        <v>19.736000000000001</v>
      </c>
      <c r="DG115" s="3">
        <v>15.372999999999999</v>
      </c>
      <c r="DH115" s="3">
        <v>17.349</v>
      </c>
    </row>
    <row r="116" spans="1:112" x14ac:dyDescent="0.3">
      <c r="A116" s="48" t="s">
        <v>318</v>
      </c>
      <c r="B116" s="49" t="s">
        <v>346</v>
      </c>
      <c r="C116" s="3">
        <v>44.355319999999999</v>
      </c>
      <c r="D116" s="3">
        <v>41.671174999999998</v>
      </c>
      <c r="E116" s="3">
        <v>41.671174999999998</v>
      </c>
      <c r="F116" s="3">
        <v>47.92589667</v>
      </c>
      <c r="G116" s="3">
        <v>47.92589667</v>
      </c>
      <c r="H116" s="3">
        <v>41.671174999999998</v>
      </c>
      <c r="I116" s="48" t="s">
        <v>318</v>
      </c>
      <c r="J116" s="49" t="s">
        <v>346</v>
      </c>
      <c r="K116" s="3">
        <v>35389.5</v>
      </c>
      <c r="L116" s="48" t="s">
        <v>318</v>
      </c>
      <c r="M116" s="49" t="s">
        <v>346</v>
      </c>
      <c r="N116" s="3">
        <v>1454.1013439999999</v>
      </c>
      <c r="O116" s="3">
        <v>1577.196117</v>
      </c>
      <c r="P116" s="3">
        <v>769.52728279999997</v>
      </c>
      <c r="Q116" s="3">
        <v>550.00263610000002</v>
      </c>
      <c r="R116" s="3">
        <v>1846.334177</v>
      </c>
      <c r="S116" s="3">
        <v>1758.2882529999999</v>
      </c>
      <c r="T116" s="3">
        <v>1704.3062179999999</v>
      </c>
      <c r="U116" s="3">
        <v>2271.9026389999999</v>
      </c>
      <c r="V116" s="3">
        <v>1651.9311090000001</v>
      </c>
      <c r="W116" s="3">
        <v>1022.724651</v>
      </c>
      <c r="X116" s="3">
        <v>1273.325517</v>
      </c>
      <c r="Y116" s="3">
        <v>86.122293920000004</v>
      </c>
      <c r="Z116" s="3">
        <v>1020.80992</v>
      </c>
      <c r="AA116" s="48" t="s">
        <v>318</v>
      </c>
      <c r="AB116" s="49" t="s">
        <v>346</v>
      </c>
      <c r="AC116" s="3">
        <v>295.15841119999999</v>
      </c>
      <c r="AD116" s="3">
        <v>280.28631360000003</v>
      </c>
      <c r="AE116" s="3">
        <v>173.0713518</v>
      </c>
      <c r="AF116" s="3">
        <v>55.544412459999997</v>
      </c>
      <c r="AG116" s="3">
        <v>533.97280160000003</v>
      </c>
      <c r="AH116" s="3">
        <v>388.25039400000003</v>
      </c>
      <c r="AI116" s="3">
        <v>379.0496468</v>
      </c>
      <c r="AJ116" s="3">
        <v>324.94310380000002</v>
      </c>
      <c r="AK116" s="3">
        <v>157.32228549999999</v>
      </c>
      <c r="AL116" s="3">
        <v>239.82835879999999</v>
      </c>
      <c r="AM116" s="3">
        <v>357.2646805</v>
      </c>
      <c r="AN116" s="3">
        <v>51.551314470000001</v>
      </c>
      <c r="AO116" s="3">
        <v>173.58268820000001</v>
      </c>
      <c r="AP116" s="48" t="s">
        <v>318</v>
      </c>
      <c r="AQ116" s="49" t="s">
        <v>346</v>
      </c>
      <c r="AR116" s="3">
        <v>517.27958520000004</v>
      </c>
      <c r="AS116" s="3">
        <v>1127.7561290000001</v>
      </c>
      <c r="AT116" s="3">
        <v>889.23974880000003</v>
      </c>
      <c r="AU116" s="3">
        <v>982.24950530000001</v>
      </c>
      <c r="AV116" s="3">
        <v>169.5004926</v>
      </c>
      <c r="AW116" s="3">
        <v>1399.355067</v>
      </c>
      <c r="AX116" s="3">
        <v>883.68850080000004</v>
      </c>
      <c r="AY116" s="3">
        <v>974.33288219999997</v>
      </c>
      <c r="AZ116" s="3">
        <v>444.6882066</v>
      </c>
      <c r="BA116" s="3">
        <v>269.04158580000001</v>
      </c>
      <c r="BB116" s="3">
        <v>647.29043960000001</v>
      </c>
      <c r="BC116" s="3">
        <v>143.0859432</v>
      </c>
      <c r="BD116" s="3">
        <v>993.59227799999996</v>
      </c>
      <c r="BE116" s="48" t="s">
        <v>318</v>
      </c>
      <c r="BF116" s="49" t="s">
        <v>346</v>
      </c>
      <c r="BG116" s="3">
        <v>0.129</v>
      </c>
      <c r="BH116" s="3">
        <v>0.128</v>
      </c>
      <c r="BI116" s="3">
        <v>0.27500000000000002</v>
      </c>
      <c r="BJ116" s="3">
        <v>0.20399999999999999</v>
      </c>
      <c r="BK116" s="3">
        <v>0.184</v>
      </c>
      <c r="BL116" s="3">
        <v>0.24399999999999999</v>
      </c>
      <c r="BM116" s="3">
        <v>0.20799999999999999</v>
      </c>
      <c r="BN116" s="3">
        <v>0.114</v>
      </c>
      <c r="BO116" s="3">
        <v>0.27350000000000002</v>
      </c>
      <c r="BP116" s="3">
        <v>0.182</v>
      </c>
      <c r="BQ116" s="3">
        <v>0.17299999999999999</v>
      </c>
      <c r="BR116" s="3">
        <v>0.33300000000000002</v>
      </c>
      <c r="BS116" s="3">
        <v>0.122</v>
      </c>
      <c r="BT116" s="3">
        <v>0.09</v>
      </c>
      <c r="BU116" s="3">
        <v>0.213166667</v>
      </c>
      <c r="BV116" s="3">
        <v>0.21299999999999999</v>
      </c>
      <c r="BW116" s="3">
        <v>0.19400000000000001</v>
      </c>
      <c r="BX116" s="3">
        <v>0.28799999999999998</v>
      </c>
      <c r="BY116" s="3">
        <v>0.216</v>
      </c>
      <c r="BZ116" s="3">
        <v>5.3999999999999999E-2</v>
      </c>
      <c r="CA116" s="3">
        <v>1.9E-2</v>
      </c>
      <c r="CB116" s="3">
        <v>0.112</v>
      </c>
      <c r="CC116" s="3">
        <v>6.0999999999999999E-2</v>
      </c>
      <c r="CD116" s="3">
        <v>0.15133333299999999</v>
      </c>
      <c r="CE116" s="3">
        <v>0.158</v>
      </c>
      <c r="CF116" s="3">
        <v>7.6999999999999999E-2</v>
      </c>
      <c r="CG116" s="3">
        <v>0.2</v>
      </c>
      <c r="CH116" s="3">
        <v>0.159</v>
      </c>
      <c r="CI116" s="3">
        <v>7.8E-2</v>
      </c>
      <c r="CJ116" s="3">
        <v>0.430666667</v>
      </c>
      <c r="CK116" s="3">
        <v>0.17100000000000001</v>
      </c>
      <c r="CL116" s="3">
        <v>8.5999999999999993E-2</v>
      </c>
      <c r="CM116" s="3">
        <v>0.1</v>
      </c>
      <c r="CN116" s="3">
        <v>0.214</v>
      </c>
      <c r="CO116" s="3">
        <v>0.128</v>
      </c>
      <c r="CP116" s="3">
        <v>0.21033333300000001</v>
      </c>
      <c r="CQ116" s="3">
        <v>0.23</v>
      </c>
      <c r="CR116" s="3">
        <v>0.122</v>
      </c>
      <c r="CS116" s="3">
        <v>0.41499999999999998</v>
      </c>
      <c r="CT116" s="48" t="s">
        <v>318</v>
      </c>
      <c r="CU116" s="49" t="s">
        <v>346</v>
      </c>
      <c r="CV116" s="3">
        <v>20.29</v>
      </c>
      <c r="CW116" s="3">
        <v>17.832999999999998</v>
      </c>
      <c r="CX116" s="3">
        <v>18.297000000000001</v>
      </c>
      <c r="CY116" s="3">
        <v>15.566000000000001</v>
      </c>
      <c r="CZ116" s="3">
        <v>20.948</v>
      </c>
      <c r="DA116" s="3">
        <v>15.113</v>
      </c>
      <c r="DB116" s="3">
        <v>12.534000000000001</v>
      </c>
      <c r="DC116" s="3">
        <v>20.727</v>
      </c>
      <c r="DD116" s="3">
        <v>22.096</v>
      </c>
      <c r="DE116" s="3">
        <v>22.047999999999998</v>
      </c>
      <c r="DF116" s="3">
        <v>19.332000000000001</v>
      </c>
      <c r="DG116" s="3">
        <v>14.688000000000001</v>
      </c>
      <c r="DH116" s="3">
        <v>16.823</v>
      </c>
    </row>
    <row r="117" spans="1:112" x14ac:dyDescent="0.3">
      <c r="A117" s="48" t="s">
        <v>318</v>
      </c>
      <c r="B117" s="49" t="s">
        <v>347</v>
      </c>
      <c r="C117" s="3">
        <v>43.960799999999999</v>
      </c>
      <c r="D117" s="3">
        <v>38.726365000000001</v>
      </c>
      <c r="E117" s="3">
        <v>38.726365000000001</v>
      </c>
      <c r="F117" s="3">
        <v>48.24393027</v>
      </c>
      <c r="G117" s="3">
        <v>49.277539470000001</v>
      </c>
      <c r="H117" s="3">
        <v>38.726365000000001</v>
      </c>
      <c r="I117" s="48" t="s">
        <v>318</v>
      </c>
      <c r="J117" s="49" t="s">
        <v>347</v>
      </c>
      <c r="K117" s="3">
        <v>34762.5</v>
      </c>
      <c r="L117" s="48" t="s">
        <v>318</v>
      </c>
      <c r="M117" s="49" t="s">
        <v>347</v>
      </c>
      <c r="N117" s="3">
        <v>1789.7221380000001</v>
      </c>
      <c r="O117" s="3">
        <v>2000.45199</v>
      </c>
      <c r="P117" s="3">
        <v>856.91856399999995</v>
      </c>
      <c r="Q117" s="3">
        <v>708.75632129999997</v>
      </c>
      <c r="R117" s="3">
        <v>2227.5937869999998</v>
      </c>
      <c r="S117" s="3">
        <v>2182.5326140000002</v>
      </c>
      <c r="T117" s="3">
        <v>1665.4023589999999</v>
      </c>
      <c r="U117" s="3">
        <v>2383.8808669999999</v>
      </c>
      <c r="V117" s="3">
        <v>1734.1270910000001</v>
      </c>
      <c r="W117" s="3">
        <v>1350.788301</v>
      </c>
      <c r="X117" s="3">
        <v>1628.040577</v>
      </c>
      <c r="Y117" s="3">
        <v>162.7166301</v>
      </c>
      <c r="Z117" s="3">
        <v>1119.3020779999999</v>
      </c>
      <c r="AA117" s="48" t="s">
        <v>318</v>
      </c>
      <c r="AB117" s="49" t="s">
        <v>347</v>
      </c>
      <c r="AC117" s="3">
        <v>256.59104539999998</v>
      </c>
      <c r="AD117" s="3">
        <v>243.66223529999999</v>
      </c>
      <c r="AE117" s="3">
        <v>150.45669520000001</v>
      </c>
      <c r="AF117" s="3">
        <v>54.022647730000003</v>
      </c>
      <c r="AG117" s="3">
        <v>464.2003555</v>
      </c>
      <c r="AH117" s="3">
        <v>337.51900920000003</v>
      </c>
      <c r="AI117" s="3">
        <v>368.66472490000001</v>
      </c>
      <c r="AJ117" s="3">
        <v>282.48387159999999</v>
      </c>
      <c r="AK117" s="3">
        <v>136.76550689999999</v>
      </c>
      <c r="AL117" s="3">
        <v>208.49078660000001</v>
      </c>
      <c r="AM117" s="3">
        <v>347.47660710000002</v>
      </c>
      <c r="AN117" s="3">
        <v>44.815276040000001</v>
      </c>
      <c r="AO117" s="3">
        <v>150.901217</v>
      </c>
      <c r="AP117" s="48" t="s">
        <v>318</v>
      </c>
      <c r="AQ117" s="49" t="s">
        <v>347</v>
      </c>
      <c r="AR117" s="3">
        <v>531.41290719999995</v>
      </c>
      <c r="AS117" s="3">
        <v>1158.5691380000001</v>
      </c>
      <c r="AT117" s="3">
        <v>913.5359168</v>
      </c>
      <c r="AU117" s="3">
        <v>1006.032786</v>
      </c>
      <c r="AV117" s="3">
        <v>174.13165359999999</v>
      </c>
      <c r="AW117" s="3">
        <v>1437.588812</v>
      </c>
      <c r="AX117" s="3">
        <v>905.08531679999999</v>
      </c>
      <c r="AY117" s="3">
        <v>1000.953999</v>
      </c>
      <c r="AZ117" s="3">
        <v>456.83815759999999</v>
      </c>
      <c r="BA117" s="3">
        <v>276.39244880000001</v>
      </c>
      <c r="BB117" s="3">
        <v>662.96333159999995</v>
      </c>
      <c r="BC117" s="3">
        <v>146.99539519999999</v>
      </c>
      <c r="BD117" s="3">
        <v>1020.739608</v>
      </c>
      <c r="BE117" s="48" t="s">
        <v>318</v>
      </c>
      <c r="BF117" s="49" t="s">
        <v>347</v>
      </c>
      <c r="BG117" s="3">
        <v>5.7000000000000002E-2</v>
      </c>
      <c r="BH117" s="3">
        <v>0.11</v>
      </c>
      <c r="BI117" s="3">
        <v>0.22650000000000001</v>
      </c>
      <c r="BJ117" s="3">
        <v>6.0999999999999999E-2</v>
      </c>
      <c r="BK117" s="3">
        <v>0.152</v>
      </c>
      <c r="BL117" s="3">
        <v>0.20799999999999999</v>
      </c>
      <c r="BM117" s="3">
        <v>6.7000000000000004E-2</v>
      </c>
      <c r="BN117" s="3">
        <v>8.8999999999999996E-2</v>
      </c>
      <c r="BO117" s="3">
        <v>0.251</v>
      </c>
      <c r="BP117" s="3">
        <v>7.1999999999999995E-2</v>
      </c>
      <c r="BQ117" s="3">
        <v>0.13400000000000001</v>
      </c>
      <c r="BR117" s="3">
        <v>0.29633333299999998</v>
      </c>
      <c r="BS117" s="3">
        <v>5.5E-2</v>
      </c>
      <c r="BT117" s="3">
        <v>0.10100000000000001</v>
      </c>
      <c r="BU117" s="3">
        <v>0.19208333399999999</v>
      </c>
      <c r="BV117" s="3">
        <v>7.3999999999999996E-2</v>
      </c>
      <c r="BW117" s="3">
        <v>0.16700000000000001</v>
      </c>
      <c r="BX117" s="3">
        <v>0.246</v>
      </c>
      <c r="BY117" s="3">
        <v>9.0999999999999998E-2</v>
      </c>
      <c r="BZ117" s="3">
        <v>3.7999999999999999E-2</v>
      </c>
      <c r="CA117" s="3">
        <v>1.4500000000000001E-2</v>
      </c>
      <c r="CB117" s="3">
        <v>4.3999999999999997E-2</v>
      </c>
      <c r="CC117" s="3">
        <v>3.9E-2</v>
      </c>
      <c r="CD117" s="3">
        <v>0.15766666700000001</v>
      </c>
      <c r="CE117" s="3">
        <v>6.3E-2</v>
      </c>
      <c r="CF117" s="3">
        <v>8.7999999999999995E-2</v>
      </c>
      <c r="CG117" s="3">
        <v>0.16400000000000001</v>
      </c>
      <c r="CH117" s="3">
        <v>6.3E-2</v>
      </c>
      <c r="CI117" s="3">
        <v>0.09</v>
      </c>
      <c r="CJ117" s="3">
        <v>0.46766666699999998</v>
      </c>
      <c r="CK117" s="3">
        <v>7.3999999999999996E-2</v>
      </c>
      <c r="CL117" s="3">
        <v>9.2999999999999999E-2</v>
      </c>
      <c r="CM117" s="3">
        <v>0.1</v>
      </c>
      <c r="CN117" s="3">
        <v>6.8000000000000005E-2</v>
      </c>
      <c r="CO117" s="3">
        <v>0.115</v>
      </c>
      <c r="CP117" s="3">
        <v>0.183</v>
      </c>
      <c r="CQ117" s="3">
        <v>7.8E-2</v>
      </c>
      <c r="CR117" s="3">
        <v>0.14000000000000001</v>
      </c>
      <c r="CS117" s="3">
        <v>0.439</v>
      </c>
      <c r="CT117" s="48" t="s">
        <v>318</v>
      </c>
      <c r="CU117" s="49" t="s">
        <v>347</v>
      </c>
      <c r="CV117" s="3">
        <v>19.265000000000001</v>
      </c>
      <c r="CW117" s="3">
        <v>16.599</v>
      </c>
      <c r="CX117" s="3">
        <v>17.201000000000001</v>
      </c>
      <c r="CY117" s="3">
        <v>14.624000000000001</v>
      </c>
      <c r="CZ117" s="3">
        <v>19.984999999999999</v>
      </c>
      <c r="DA117" s="3">
        <v>14.295</v>
      </c>
      <c r="DB117" s="3">
        <v>11.817</v>
      </c>
      <c r="DC117" s="3">
        <v>19.853000000000002</v>
      </c>
      <c r="DD117" s="3">
        <v>20.997</v>
      </c>
      <c r="DE117" s="3">
        <v>20.952000000000002</v>
      </c>
      <c r="DF117" s="3">
        <v>18.637</v>
      </c>
      <c r="DG117" s="3">
        <v>13.689</v>
      </c>
      <c r="DH117" s="3">
        <v>15.901</v>
      </c>
    </row>
    <row r="118" spans="1:112" x14ac:dyDescent="0.3">
      <c r="A118" s="48" t="s">
        <v>318</v>
      </c>
      <c r="B118" s="49" t="s">
        <v>348</v>
      </c>
      <c r="C118" s="3">
        <v>32.604259999999996</v>
      </c>
      <c r="D118" s="3">
        <v>36.873530000000002</v>
      </c>
      <c r="E118" s="3">
        <v>36.873530000000002</v>
      </c>
      <c r="F118" s="3">
        <v>48.473621199999997</v>
      </c>
      <c r="G118" s="3">
        <v>49.383550669999998</v>
      </c>
      <c r="H118" s="3">
        <v>36.873530000000002</v>
      </c>
      <c r="I118" s="48" t="s">
        <v>318</v>
      </c>
      <c r="J118" s="49" t="s">
        <v>348</v>
      </c>
      <c r="K118" s="3">
        <v>34037.5</v>
      </c>
      <c r="L118" s="48" t="s">
        <v>318</v>
      </c>
      <c r="M118" s="49" t="s">
        <v>348</v>
      </c>
      <c r="N118" s="3">
        <v>1857.504919</v>
      </c>
      <c r="O118" s="3">
        <v>2111.9386279999999</v>
      </c>
      <c r="P118" s="3">
        <v>914.7475938</v>
      </c>
      <c r="Q118" s="3">
        <v>910.73776220000002</v>
      </c>
      <c r="R118" s="3">
        <v>2593.5509050000001</v>
      </c>
      <c r="S118" s="3">
        <v>2393.3216299999999</v>
      </c>
      <c r="T118" s="3">
        <v>1759.7843069999999</v>
      </c>
      <c r="U118" s="3">
        <v>2201.028687</v>
      </c>
      <c r="V118" s="3">
        <v>1567.6548929999999</v>
      </c>
      <c r="W118" s="3">
        <v>1464.9437829999999</v>
      </c>
      <c r="X118" s="3">
        <v>1831.144738</v>
      </c>
      <c r="Y118" s="3">
        <v>227.40101609999999</v>
      </c>
      <c r="Z118" s="3">
        <v>1310.1212700000001</v>
      </c>
      <c r="AA118" s="48" t="s">
        <v>318</v>
      </c>
      <c r="AB118" s="49" t="s">
        <v>348</v>
      </c>
      <c r="AC118" s="3">
        <v>177.40988229999999</v>
      </c>
      <c r="AD118" s="3">
        <v>168.47076029999999</v>
      </c>
      <c r="AE118" s="3">
        <v>104.02742050000001</v>
      </c>
      <c r="AF118" s="3">
        <v>36.750618109999998</v>
      </c>
      <c r="AG118" s="3">
        <v>320.9532519</v>
      </c>
      <c r="AH118" s="3">
        <v>233.3643702</v>
      </c>
      <c r="AI118" s="3">
        <v>250.79586219999999</v>
      </c>
      <c r="AJ118" s="3">
        <v>195.31246820000001</v>
      </c>
      <c r="AK118" s="3">
        <v>94.561181739999995</v>
      </c>
      <c r="AL118" s="3">
        <v>144.15283220000001</v>
      </c>
      <c r="AM118" s="3">
        <v>236.38197360000001</v>
      </c>
      <c r="AN118" s="3">
        <v>30.985776749999999</v>
      </c>
      <c r="AO118" s="3">
        <v>104.33476779999999</v>
      </c>
      <c r="AP118" s="48" t="s">
        <v>318</v>
      </c>
      <c r="AQ118" s="49" t="s">
        <v>348</v>
      </c>
      <c r="AR118" s="3">
        <v>575.22620540000003</v>
      </c>
      <c r="AS118" s="3">
        <v>1254.0894659999999</v>
      </c>
      <c r="AT118" s="3">
        <v>988.85403759999997</v>
      </c>
      <c r="AU118" s="3">
        <v>1001.27613</v>
      </c>
      <c r="AV118" s="3">
        <v>188.4882527</v>
      </c>
      <c r="AW118" s="3">
        <v>1556.1134219999999</v>
      </c>
      <c r="AX118" s="3">
        <v>900.80595359999995</v>
      </c>
      <c r="AY118" s="3">
        <v>1083.479462</v>
      </c>
      <c r="AZ118" s="3">
        <v>494.50300570000002</v>
      </c>
      <c r="BA118" s="3">
        <v>299.1801241</v>
      </c>
      <c r="BB118" s="3">
        <v>659.82875320000005</v>
      </c>
      <c r="BC118" s="3">
        <v>159.11469640000001</v>
      </c>
      <c r="BD118" s="3">
        <v>1104.8963309999999</v>
      </c>
      <c r="BE118" s="48" t="s">
        <v>318</v>
      </c>
      <c r="BF118" s="49" t="s">
        <v>348</v>
      </c>
      <c r="BG118" s="3">
        <v>1.0999999999999999E-2</v>
      </c>
      <c r="BH118" s="3">
        <v>0.123</v>
      </c>
      <c r="BI118" s="3">
        <v>0.20899999999999999</v>
      </c>
      <c r="BJ118" s="3">
        <v>1.9E-2</v>
      </c>
      <c r="BK118" s="3">
        <v>0.155</v>
      </c>
      <c r="BL118" s="3">
        <v>0.1895</v>
      </c>
      <c r="BM118" s="3">
        <v>1.6E-2</v>
      </c>
      <c r="BN118" s="3">
        <v>7.4999999999999997E-2</v>
      </c>
      <c r="BO118" s="3">
        <v>0.22900000000000001</v>
      </c>
      <c r="BP118" s="3">
        <v>2.1000000000000001E-2</v>
      </c>
      <c r="BQ118" s="3">
        <v>0.111</v>
      </c>
      <c r="BR118" s="3">
        <v>0.28166666699999998</v>
      </c>
      <c r="BS118" s="3">
        <v>1.0999999999999999E-2</v>
      </c>
      <c r="BT118" s="3">
        <v>0.154</v>
      </c>
      <c r="BU118" s="3">
        <v>0.18149999999999999</v>
      </c>
      <c r="BV118" s="3">
        <v>2.3E-2</v>
      </c>
      <c r="BW118" s="3">
        <v>0.16900000000000001</v>
      </c>
      <c r="BX118" s="3">
        <v>0.24099999999999999</v>
      </c>
      <c r="BY118" s="3">
        <v>0.03</v>
      </c>
      <c r="BZ118" s="3">
        <v>2.8000000000000001E-2</v>
      </c>
      <c r="CA118" s="3">
        <v>1.95E-2</v>
      </c>
      <c r="CB118" s="3">
        <v>7.0000000000000001E-3</v>
      </c>
      <c r="CC118" s="3">
        <v>2.3E-2</v>
      </c>
      <c r="CD118" s="3">
        <v>0.154</v>
      </c>
      <c r="CE118" s="3">
        <v>1.4E-2</v>
      </c>
      <c r="CF118" s="3">
        <v>0.14499999999999999</v>
      </c>
      <c r="CG118" s="3">
        <v>0.11600000000000001</v>
      </c>
      <c r="CH118" s="3">
        <v>1.4E-2</v>
      </c>
      <c r="CI118" s="3">
        <v>0.14699999999999999</v>
      </c>
      <c r="CJ118" s="3">
        <v>0.47433333300000002</v>
      </c>
      <c r="CK118" s="3">
        <v>1.7999999999999999E-2</v>
      </c>
      <c r="CL118" s="3">
        <v>0.13400000000000001</v>
      </c>
      <c r="CM118" s="3">
        <v>0.1</v>
      </c>
      <c r="CN118" s="3">
        <v>0.02</v>
      </c>
      <c r="CO118" s="3">
        <v>0.123</v>
      </c>
      <c r="CP118" s="3">
        <v>0.192</v>
      </c>
      <c r="CQ118" s="3">
        <v>2.3E-2</v>
      </c>
      <c r="CR118" s="3">
        <v>0.19900000000000001</v>
      </c>
      <c r="CS118" s="3">
        <v>0.497</v>
      </c>
      <c r="CT118" s="48" t="s">
        <v>318</v>
      </c>
      <c r="CU118" s="49" t="s">
        <v>348</v>
      </c>
      <c r="CV118" s="3">
        <v>17.234000000000002</v>
      </c>
      <c r="CW118" s="3">
        <v>14.161</v>
      </c>
      <c r="CX118" s="3">
        <v>15.504</v>
      </c>
      <c r="CY118" s="3">
        <v>13.24</v>
      </c>
      <c r="CZ118" s="3">
        <v>17.975999999999999</v>
      </c>
      <c r="DA118" s="3">
        <v>12.667999999999999</v>
      </c>
      <c r="DB118" s="3">
        <v>11.01</v>
      </c>
      <c r="DC118" s="3">
        <v>18.367000000000001</v>
      </c>
      <c r="DD118" s="3">
        <v>18.870999999999999</v>
      </c>
      <c r="DE118" s="3">
        <v>18.827000000000002</v>
      </c>
      <c r="DF118" s="3">
        <v>17.113</v>
      </c>
      <c r="DG118" s="3">
        <v>11.848000000000001</v>
      </c>
      <c r="DH118" s="3">
        <v>13.932</v>
      </c>
    </row>
    <row r="119" spans="1:112" x14ac:dyDescent="0.3">
      <c r="A119" s="48" t="s">
        <v>318</v>
      </c>
      <c r="B119" s="49" t="s">
        <v>349</v>
      </c>
      <c r="C119" s="3">
        <v>36.457875000000001</v>
      </c>
      <c r="D119" s="3">
        <v>38.028910000000003</v>
      </c>
      <c r="E119" s="3">
        <v>38.028910000000003</v>
      </c>
      <c r="F119" s="3">
        <v>48.614969469999998</v>
      </c>
      <c r="G119" s="3">
        <v>49.816429730000003</v>
      </c>
      <c r="H119" s="3">
        <v>38.028910000000003</v>
      </c>
      <c r="I119" s="48" t="s">
        <v>318</v>
      </c>
      <c r="J119" s="49" t="s">
        <v>349</v>
      </c>
      <c r="K119" s="3">
        <v>33566.5</v>
      </c>
      <c r="L119" s="48" t="s">
        <v>318</v>
      </c>
      <c r="M119" s="49" t="s">
        <v>349</v>
      </c>
      <c r="N119" s="3">
        <v>1645.6791290000001</v>
      </c>
      <c r="O119" s="3">
        <v>1898.3637779999999</v>
      </c>
      <c r="P119" s="3">
        <v>791.15573970000003</v>
      </c>
      <c r="Q119" s="3">
        <v>857.344202</v>
      </c>
      <c r="R119" s="3">
        <v>2503.0499719999998</v>
      </c>
      <c r="S119" s="3">
        <v>2273.9494530000002</v>
      </c>
      <c r="T119" s="3">
        <v>1750.359199</v>
      </c>
      <c r="U119" s="3">
        <v>1943.5637839999999</v>
      </c>
      <c r="V119" s="3">
        <v>1256.590119</v>
      </c>
      <c r="W119" s="3">
        <v>1305.2382500000001</v>
      </c>
      <c r="X119" s="3">
        <v>1730.4572519999999</v>
      </c>
      <c r="Y119" s="3">
        <v>291.52750140000001</v>
      </c>
      <c r="Z119" s="3">
        <v>1076.942773</v>
      </c>
      <c r="AA119" s="48" t="s">
        <v>318</v>
      </c>
      <c r="AB119" s="49" t="s">
        <v>349</v>
      </c>
      <c r="AC119" s="3">
        <v>189.53105439999999</v>
      </c>
      <c r="AD119" s="3">
        <v>179.98118489999999</v>
      </c>
      <c r="AE119" s="3">
        <v>111.13488409999999</v>
      </c>
      <c r="AF119" s="3">
        <v>35.046241610000003</v>
      </c>
      <c r="AG119" s="3">
        <v>342.88173499999999</v>
      </c>
      <c r="AH119" s="3">
        <v>249.30851970000001</v>
      </c>
      <c r="AI119" s="3">
        <v>239.16474969999999</v>
      </c>
      <c r="AJ119" s="3">
        <v>208.65679840000001</v>
      </c>
      <c r="AK119" s="3">
        <v>101.0218836</v>
      </c>
      <c r="AL119" s="3">
        <v>154.00178339999999</v>
      </c>
      <c r="AM119" s="3">
        <v>225.41933130000001</v>
      </c>
      <c r="AN119" s="3">
        <v>33.102817399999999</v>
      </c>
      <c r="AO119" s="3">
        <v>111.4632302</v>
      </c>
      <c r="AP119" s="48" t="s">
        <v>318</v>
      </c>
      <c r="AQ119" s="49" t="s">
        <v>349</v>
      </c>
      <c r="AR119" s="3">
        <v>578.05286980000005</v>
      </c>
      <c r="AS119" s="3">
        <v>1260.252068</v>
      </c>
      <c r="AT119" s="3">
        <v>993.71327120000001</v>
      </c>
      <c r="AU119" s="3">
        <v>991.76281770000003</v>
      </c>
      <c r="AV119" s="3">
        <v>189.41448489999999</v>
      </c>
      <c r="AW119" s="3">
        <v>1563.7601709999999</v>
      </c>
      <c r="AX119" s="3">
        <v>892.2472272</v>
      </c>
      <c r="AY119" s="3">
        <v>1088.8036850000001</v>
      </c>
      <c r="AZ119" s="3">
        <v>496.93299589999998</v>
      </c>
      <c r="BA119" s="3">
        <v>300.65029670000001</v>
      </c>
      <c r="BB119" s="3">
        <v>653.55959640000003</v>
      </c>
      <c r="BC119" s="3">
        <v>159.89658679999999</v>
      </c>
      <c r="BD119" s="3">
        <v>1110.325797</v>
      </c>
      <c r="BE119" s="48" t="s">
        <v>318</v>
      </c>
      <c r="BF119" s="49" t="s">
        <v>349</v>
      </c>
      <c r="BG119" s="3">
        <v>0</v>
      </c>
      <c r="BH119" s="3">
        <v>0.14499999999999999</v>
      </c>
      <c r="BI119" s="3">
        <v>0.20749999999999999</v>
      </c>
      <c r="BJ119" s="3">
        <v>0</v>
      </c>
      <c r="BK119" s="3">
        <v>0.16700000000000001</v>
      </c>
      <c r="BL119" s="3">
        <v>0.17899999999999999</v>
      </c>
      <c r="BM119" s="3">
        <v>0</v>
      </c>
      <c r="BN119" s="3">
        <v>7.5999999999999998E-2</v>
      </c>
      <c r="BO119" s="3">
        <v>0.2215</v>
      </c>
      <c r="BP119" s="3">
        <v>0</v>
      </c>
      <c r="BQ119" s="3">
        <v>0.10100000000000001</v>
      </c>
      <c r="BR119" s="3">
        <v>0.27600000000000002</v>
      </c>
      <c r="BS119" s="3">
        <v>0</v>
      </c>
      <c r="BT119" s="3">
        <v>0.23699999999999999</v>
      </c>
      <c r="BU119" s="3">
        <v>0.18208333400000001</v>
      </c>
      <c r="BV119" s="3">
        <v>0</v>
      </c>
      <c r="BW119" s="3">
        <v>0.192</v>
      </c>
      <c r="BX119" s="3">
        <v>0.247</v>
      </c>
      <c r="BY119" s="3">
        <v>1E-3</v>
      </c>
      <c r="BZ119" s="3">
        <v>2.3E-2</v>
      </c>
      <c r="CA119" s="3">
        <v>3.3500000000000002E-2</v>
      </c>
      <c r="CB119" s="3">
        <v>0</v>
      </c>
      <c r="CC119" s="3">
        <v>1.9E-2</v>
      </c>
      <c r="CD119" s="3">
        <v>0.15666666700000001</v>
      </c>
      <c r="CE119" s="3">
        <v>0</v>
      </c>
      <c r="CF119" s="3">
        <v>0.26100000000000001</v>
      </c>
      <c r="CG119" s="3">
        <v>8.2500000000000004E-2</v>
      </c>
      <c r="CH119" s="3">
        <v>0</v>
      </c>
      <c r="CI119" s="3">
        <v>0.26400000000000001</v>
      </c>
      <c r="CJ119" s="3">
        <v>0.47066666699999998</v>
      </c>
      <c r="CK119" s="3">
        <v>0</v>
      </c>
      <c r="CL119" s="3">
        <v>0.182</v>
      </c>
      <c r="CM119" s="3">
        <v>0.1</v>
      </c>
      <c r="CN119" s="3">
        <v>0</v>
      </c>
      <c r="CO119" s="3">
        <v>0.151</v>
      </c>
      <c r="CP119" s="3">
        <v>0.222</v>
      </c>
      <c r="CQ119" s="3">
        <v>0</v>
      </c>
      <c r="CR119" s="3">
        <v>0.28999999999999998</v>
      </c>
      <c r="CS119" s="3">
        <v>0.53400000000000003</v>
      </c>
      <c r="CT119" s="48" t="s">
        <v>318</v>
      </c>
      <c r="CU119" s="49" t="s">
        <v>349</v>
      </c>
      <c r="CV119" s="3">
        <v>15.178000000000001</v>
      </c>
      <c r="CW119" s="3">
        <v>12.013999999999999</v>
      </c>
      <c r="CX119" s="3">
        <v>13.653</v>
      </c>
      <c r="CY119" s="3">
        <v>11.436999999999999</v>
      </c>
      <c r="CZ119" s="3">
        <v>15.901</v>
      </c>
      <c r="DA119" s="3">
        <v>10.624000000000001</v>
      </c>
      <c r="DB119" s="3">
        <v>9.9179999999999993</v>
      </c>
      <c r="DC119" s="3">
        <v>17.018000000000001</v>
      </c>
      <c r="DD119" s="3">
        <v>16.814</v>
      </c>
      <c r="DE119" s="3">
        <v>16.756</v>
      </c>
      <c r="DF119" s="3">
        <v>15.567</v>
      </c>
      <c r="DG119" s="3">
        <v>9.5739999999999998</v>
      </c>
      <c r="DH119" s="3">
        <v>11.936999999999999</v>
      </c>
    </row>
    <row r="120" spans="1:112" x14ac:dyDescent="0.3">
      <c r="A120" s="48" t="s">
        <v>318</v>
      </c>
      <c r="B120" s="49" t="s">
        <v>350</v>
      </c>
      <c r="C120" s="3">
        <v>33.865315000000002</v>
      </c>
      <c r="D120" s="3">
        <v>31.512284999999999</v>
      </c>
      <c r="E120" s="3">
        <v>31.512284999999999</v>
      </c>
      <c r="F120" s="3">
        <v>47.051304270000003</v>
      </c>
      <c r="G120" s="3">
        <v>47.051304270000003</v>
      </c>
      <c r="H120" s="3">
        <v>31.512284999999999</v>
      </c>
      <c r="I120" s="48" t="s">
        <v>318</v>
      </c>
      <c r="J120" s="49" t="s">
        <v>350</v>
      </c>
      <c r="K120" s="3">
        <v>31879.5</v>
      </c>
      <c r="L120" s="48" t="s">
        <v>318</v>
      </c>
      <c r="M120" s="49" t="s">
        <v>350</v>
      </c>
      <c r="N120" s="3">
        <v>1457.2971050000001</v>
      </c>
      <c r="O120" s="3">
        <v>1846.742976</v>
      </c>
      <c r="P120" s="3">
        <v>684.35111140000004</v>
      </c>
      <c r="Q120" s="3">
        <v>836.59300180000002</v>
      </c>
      <c r="R120" s="3">
        <v>2346.0920099999998</v>
      </c>
      <c r="S120" s="3">
        <v>2176.0573530000001</v>
      </c>
      <c r="T120" s="3">
        <v>1553.6944820000001</v>
      </c>
      <c r="U120" s="3">
        <v>1601.157745</v>
      </c>
      <c r="V120" s="3">
        <v>978.97592450000002</v>
      </c>
      <c r="W120" s="3">
        <v>1125.2190869999999</v>
      </c>
      <c r="X120" s="3">
        <v>1615.285163</v>
      </c>
      <c r="Y120" s="3">
        <v>247.3145682</v>
      </c>
      <c r="Z120" s="3">
        <v>767.34845140000004</v>
      </c>
      <c r="AA120" s="48" t="s">
        <v>318</v>
      </c>
      <c r="AB120" s="49" t="s">
        <v>350</v>
      </c>
      <c r="AC120" s="3">
        <v>172.451221</v>
      </c>
      <c r="AD120" s="3">
        <v>163.7619502</v>
      </c>
      <c r="AE120" s="3">
        <v>101.1198218</v>
      </c>
      <c r="AF120" s="3">
        <v>33.448388649999998</v>
      </c>
      <c r="AG120" s="3">
        <v>311.98250890000003</v>
      </c>
      <c r="AH120" s="3">
        <v>226.84176350000001</v>
      </c>
      <c r="AI120" s="3">
        <v>228.26058180000001</v>
      </c>
      <c r="AJ120" s="3">
        <v>189.85342410000001</v>
      </c>
      <c r="AK120" s="3">
        <v>91.918167339999997</v>
      </c>
      <c r="AL120" s="3">
        <v>140.12371580000001</v>
      </c>
      <c r="AM120" s="3">
        <v>215.14185420000001</v>
      </c>
      <c r="AN120" s="3">
        <v>30.11971467</v>
      </c>
      <c r="AO120" s="3">
        <v>101.4185786</v>
      </c>
      <c r="AP120" s="48" t="s">
        <v>318</v>
      </c>
      <c r="AQ120" s="49" t="s">
        <v>350</v>
      </c>
      <c r="AR120" s="3">
        <v>565.33288000000005</v>
      </c>
      <c r="AS120" s="3">
        <v>1232.52036</v>
      </c>
      <c r="AT120" s="3">
        <v>971.84672</v>
      </c>
      <c r="AU120" s="3">
        <v>927.54795899999999</v>
      </c>
      <c r="AV120" s="3">
        <v>185.24644000000001</v>
      </c>
      <c r="AW120" s="3">
        <v>1529.3498</v>
      </c>
      <c r="AX120" s="3">
        <v>834.47582399999999</v>
      </c>
      <c r="AY120" s="3">
        <v>1064.8446799999999</v>
      </c>
      <c r="AZ120" s="3">
        <v>485.99804</v>
      </c>
      <c r="BA120" s="3">
        <v>294.03451999999999</v>
      </c>
      <c r="BB120" s="3">
        <v>611.24278800000002</v>
      </c>
      <c r="BC120" s="3">
        <v>156.37808000000001</v>
      </c>
      <c r="BD120" s="3">
        <v>1085.8932</v>
      </c>
      <c r="BE120" s="48" t="s">
        <v>318</v>
      </c>
      <c r="BF120" s="49" t="s">
        <v>350</v>
      </c>
      <c r="BG120" s="3">
        <v>0</v>
      </c>
      <c r="BH120" s="3">
        <v>0.155</v>
      </c>
      <c r="BI120" s="3">
        <v>0.17949999999999999</v>
      </c>
      <c r="BJ120" s="3">
        <v>0</v>
      </c>
      <c r="BK120" s="3">
        <v>0.153</v>
      </c>
      <c r="BL120" s="3">
        <v>0.1605</v>
      </c>
      <c r="BM120" s="3">
        <v>0</v>
      </c>
      <c r="BN120" s="3">
        <v>8.5999999999999993E-2</v>
      </c>
      <c r="BO120" s="3">
        <v>0.21149999999999999</v>
      </c>
      <c r="BP120" s="3">
        <v>0</v>
      </c>
      <c r="BQ120" s="3">
        <v>9.4E-2</v>
      </c>
      <c r="BR120" s="3">
        <v>0.24299999999999999</v>
      </c>
      <c r="BS120" s="3">
        <v>0</v>
      </c>
      <c r="BT120" s="3">
        <v>0.27900000000000003</v>
      </c>
      <c r="BU120" s="3">
        <v>0.176416667</v>
      </c>
      <c r="BV120" s="3">
        <v>0</v>
      </c>
      <c r="BW120" s="3">
        <v>0.16900000000000001</v>
      </c>
      <c r="BX120" s="3">
        <v>0.21299999999999999</v>
      </c>
      <c r="BY120" s="3">
        <v>0</v>
      </c>
      <c r="BZ120" s="3">
        <v>1.7000000000000001E-2</v>
      </c>
      <c r="CA120" s="3">
        <v>5.8999999999999997E-2</v>
      </c>
      <c r="CB120" s="3">
        <v>0</v>
      </c>
      <c r="CC120" s="3">
        <v>3.7999999999999999E-2</v>
      </c>
      <c r="CD120" s="3">
        <v>0.17333333300000001</v>
      </c>
      <c r="CE120" s="3">
        <v>0</v>
      </c>
      <c r="CF120" s="3">
        <v>0.33300000000000002</v>
      </c>
      <c r="CG120" s="3">
        <v>7.6499999999999999E-2</v>
      </c>
      <c r="CH120" s="3">
        <v>0</v>
      </c>
      <c r="CI120" s="3">
        <v>0.33500000000000002</v>
      </c>
      <c r="CJ120" s="3">
        <v>0.43099999999999999</v>
      </c>
      <c r="CK120" s="3">
        <v>0</v>
      </c>
      <c r="CL120" s="3">
        <v>0.19600000000000001</v>
      </c>
      <c r="CM120" s="3">
        <v>0.1</v>
      </c>
      <c r="CN120" s="3">
        <v>0</v>
      </c>
      <c r="CO120" s="3">
        <v>0.13800000000000001</v>
      </c>
      <c r="CP120" s="3">
        <v>0.22033333299999999</v>
      </c>
      <c r="CQ120" s="3">
        <v>0</v>
      </c>
      <c r="CR120" s="3">
        <v>0.34300000000000003</v>
      </c>
      <c r="CS120" s="3">
        <v>0.49199999999999999</v>
      </c>
      <c r="CT120" s="48" t="s">
        <v>318</v>
      </c>
      <c r="CU120" s="49" t="s">
        <v>350</v>
      </c>
      <c r="CV120" s="3">
        <v>14.141</v>
      </c>
      <c r="CW120" s="3">
        <v>11.238</v>
      </c>
      <c r="CX120" s="3">
        <v>12.558</v>
      </c>
      <c r="CY120" s="3">
        <v>10.159000000000001</v>
      </c>
      <c r="CZ120" s="3">
        <v>15.035</v>
      </c>
      <c r="DA120" s="3">
        <v>9.9719999999999995</v>
      </c>
      <c r="DB120" s="3">
        <v>9.3209999999999997</v>
      </c>
      <c r="DC120" s="3">
        <v>16.513000000000002</v>
      </c>
      <c r="DD120" s="3">
        <v>15.839</v>
      </c>
      <c r="DE120" s="3">
        <v>15.778</v>
      </c>
      <c r="DF120" s="3">
        <v>15.276999999999999</v>
      </c>
      <c r="DG120" s="3">
        <v>8.8070000000000004</v>
      </c>
      <c r="DH120" s="3">
        <v>11.374000000000001</v>
      </c>
    </row>
    <row r="121" spans="1:112" x14ac:dyDescent="0.3">
      <c r="A121" s="48" t="s">
        <v>318</v>
      </c>
      <c r="B121" s="49" t="s">
        <v>351</v>
      </c>
      <c r="C121" s="3">
        <v>36.457875000000001</v>
      </c>
      <c r="D121" s="3">
        <v>30.173735000000001</v>
      </c>
      <c r="E121" s="3">
        <v>34.703670000000002</v>
      </c>
      <c r="F121" s="3">
        <v>45.151936929999998</v>
      </c>
      <c r="G121" s="3">
        <v>44.683720800000003</v>
      </c>
      <c r="H121" s="3">
        <v>33.816000000000003</v>
      </c>
      <c r="I121" s="48" t="s">
        <v>318</v>
      </c>
      <c r="J121" s="49" t="s">
        <v>351</v>
      </c>
      <c r="K121" s="3">
        <v>27821</v>
      </c>
      <c r="L121" s="48" t="s">
        <v>318</v>
      </c>
      <c r="M121" s="49" t="s">
        <v>351</v>
      </c>
      <c r="N121" s="3">
        <v>1165.735962</v>
      </c>
      <c r="O121" s="3">
        <v>1635.3748880000001</v>
      </c>
      <c r="P121" s="3">
        <v>436.94312760000003</v>
      </c>
      <c r="Q121" s="3">
        <v>701.60792170000002</v>
      </c>
      <c r="R121" s="3">
        <v>1934.193258</v>
      </c>
      <c r="S121" s="3">
        <v>1966.731389</v>
      </c>
      <c r="T121" s="3">
        <v>1234.766525</v>
      </c>
      <c r="U121" s="3">
        <v>1195.2421179999999</v>
      </c>
      <c r="V121" s="3">
        <v>823.4590627</v>
      </c>
      <c r="W121" s="3">
        <v>978.98993570000005</v>
      </c>
      <c r="X121" s="3">
        <v>1444.616853</v>
      </c>
      <c r="Y121" s="3">
        <v>276.87195969999999</v>
      </c>
      <c r="Z121" s="3">
        <v>326.35682320000001</v>
      </c>
      <c r="AA121" s="48" t="s">
        <v>318</v>
      </c>
      <c r="AB121" s="49" t="s">
        <v>351</v>
      </c>
      <c r="AC121" s="3">
        <v>164.73774789999999</v>
      </c>
      <c r="AD121" s="3">
        <v>156.43713450000001</v>
      </c>
      <c r="AE121" s="3">
        <v>96.596890500000001</v>
      </c>
      <c r="AF121" s="3">
        <v>29.933112139999999</v>
      </c>
      <c r="AG121" s="3">
        <v>298.02801970000002</v>
      </c>
      <c r="AH121" s="3">
        <v>216.69548660000001</v>
      </c>
      <c r="AI121" s="3">
        <v>204.2714124</v>
      </c>
      <c r="AJ121" s="3">
        <v>181.3615777</v>
      </c>
      <c r="AK121" s="3">
        <v>87.806811620000005</v>
      </c>
      <c r="AL121" s="3">
        <v>133.85620130000001</v>
      </c>
      <c r="AM121" s="3">
        <v>192.53140450000001</v>
      </c>
      <c r="AN121" s="3">
        <v>28.772506979999999</v>
      </c>
      <c r="AO121" s="3">
        <v>96.882284400000003</v>
      </c>
      <c r="AP121" s="48" t="s">
        <v>318</v>
      </c>
      <c r="AQ121" s="49" t="s">
        <v>351</v>
      </c>
      <c r="AR121" s="3">
        <v>496.07960220000001</v>
      </c>
      <c r="AS121" s="3">
        <v>1081.5366160000001</v>
      </c>
      <c r="AT121" s="3">
        <v>852.79549680000002</v>
      </c>
      <c r="AU121" s="3">
        <v>801.49656970000001</v>
      </c>
      <c r="AV121" s="3">
        <v>162.5537511</v>
      </c>
      <c r="AW121" s="3">
        <v>1342.0044499999999</v>
      </c>
      <c r="AX121" s="3">
        <v>721.07269919999999</v>
      </c>
      <c r="AY121" s="3">
        <v>934.40120669999999</v>
      </c>
      <c r="AZ121" s="3">
        <v>426.46328010000002</v>
      </c>
      <c r="BA121" s="3">
        <v>258.0152913</v>
      </c>
      <c r="BB121" s="3">
        <v>528.1764604</v>
      </c>
      <c r="BC121" s="3">
        <v>137.22176519999999</v>
      </c>
      <c r="BD121" s="3">
        <v>952.87128299999995</v>
      </c>
      <c r="BE121" s="48" t="s">
        <v>318</v>
      </c>
      <c r="BF121" s="49" t="s">
        <v>351</v>
      </c>
      <c r="BG121" s="3">
        <v>0</v>
      </c>
      <c r="BH121" s="3">
        <v>0.16500000000000001</v>
      </c>
      <c r="BI121" s="3">
        <v>0.14849999999999999</v>
      </c>
      <c r="BJ121" s="3">
        <v>0</v>
      </c>
      <c r="BK121" s="3">
        <v>0.11899999999999999</v>
      </c>
      <c r="BL121" s="3">
        <v>0.14549999999999999</v>
      </c>
      <c r="BM121" s="3">
        <v>0</v>
      </c>
      <c r="BN121" s="3">
        <v>0.107</v>
      </c>
      <c r="BO121" s="3">
        <v>0.20100000000000001</v>
      </c>
      <c r="BP121" s="3">
        <v>0</v>
      </c>
      <c r="BQ121" s="3">
        <v>8.5999999999999993E-2</v>
      </c>
      <c r="BR121" s="3">
        <v>0.203333333</v>
      </c>
      <c r="BS121" s="3">
        <v>0</v>
      </c>
      <c r="BT121" s="3">
        <v>0.27200000000000002</v>
      </c>
      <c r="BU121" s="3">
        <v>0.18058333400000001</v>
      </c>
      <c r="BV121" s="3">
        <v>0</v>
      </c>
      <c r="BW121" s="3">
        <v>0.126</v>
      </c>
      <c r="BX121" s="3">
        <v>0.16700000000000001</v>
      </c>
      <c r="BY121" s="3">
        <v>0</v>
      </c>
      <c r="BZ121" s="3">
        <v>1.0999999999999999E-2</v>
      </c>
      <c r="CA121" s="3">
        <v>8.5000000000000006E-2</v>
      </c>
      <c r="CB121" s="3">
        <v>0</v>
      </c>
      <c r="CC121" s="3">
        <v>6.0999999999999999E-2</v>
      </c>
      <c r="CD121" s="3">
        <v>0.212666667</v>
      </c>
      <c r="CE121" s="3">
        <v>0</v>
      </c>
      <c r="CF121" s="3">
        <v>0.32700000000000001</v>
      </c>
      <c r="CG121" s="3">
        <v>6.5000000000000002E-2</v>
      </c>
      <c r="CH121" s="3">
        <v>0</v>
      </c>
      <c r="CI121" s="3">
        <v>0.32800000000000001</v>
      </c>
      <c r="CJ121" s="3">
        <v>0.35899999999999999</v>
      </c>
      <c r="CK121" s="3">
        <v>0</v>
      </c>
      <c r="CL121" s="3">
        <v>0.214</v>
      </c>
      <c r="CM121" s="3">
        <v>0.1</v>
      </c>
      <c r="CN121" s="3">
        <v>0</v>
      </c>
      <c r="CO121" s="3">
        <v>0.105</v>
      </c>
      <c r="CP121" s="3">
        <v>0.20799999999999999</v>
      </c>
      <c r="CQ121" s="3">
        <v>0</v>
      </c>
      <c r="CR121" s="3">
        <v>0.33700000000000002</v>
      </c>
      <c r="CS121" s="3">
        <v>0.45500000000000002</v>
      </c>
      <c r="CT121" s="48" t="s">
        <v>318</v>
      </c>
      <c r="CU121" s="49" t="s">
        <v>351</v>
      </c>
      <c r="CV121" s="3">
        <v>13.289</v>
      </c>
      <c r="CW121" s="3">
        <v>10.769</v>
      </c>
      <c r="CX121" s="3">
        <v>11.398</v>
      </c>
      <c r="CY121" s="3">
        <v>9.4260000000000002</v>
      </c>
      <c r="CZ121" s="3">
        <v>14.244999999999999</v>
      </c>
      <c r="DA121" s="3">
        <v>9.6219999999999999</v>
      </c>
      <c r="DB121" s="3">
        <v>9.08</v>
      </c>
      <c r="DC121" s="3">
        <v>16.257000000000001</v>
      </c>
      <c r="DD121" s="3">
        <v>15.157999999999999</v>
      </c>
      <c r="DE121" s="3">
        <v>15.105</v>
      </c>
      <c r="DF121" s="3">
        <v>14.807</v>
      </c>
      <c r="DG121" s="3">
        <v>8.3460000000000001</v>
      </c>
      <c r="DH121" s="3">
        <v>11.179</v>
      </c>
    </row>
    <row r="122" spans="1:112" x14ac:dyDescent="0.3">
      <c r="A122" s="48" t="s">
        <v>318</v>
      </c>
      <c r="B122" s="49" t="s">
        <v>352</v>
      </c>
      <c r="C122" s="3">
        <v>28.025010000000002</v>
      </c>
      <c r="D122" s="3">
        <v>25.989004999999999</v>
      </c>
      <c r="E122" s="3">
        <v>26.714639999999999</v>
      </c>
      <c r="F122" s="3">
        <v>43.296740929999999</v>
      </c>
      <c r="G122" s="3">
        <v>38.738259329999998</v>
      </c>
      <c r="H122" s="3">
        <v>26.580784999999999</v>
      </c>
      <c r="I122" s="48" t="s">
        <v>318</v>
      </c>
      <c r="J122" s="49" t="s">
        <v>352</v>
      </c>
      <c r="K122" s="3">
        <v>25581.5</v>
      </c>
      <c r="L122" s="48" t="s">
        <v>318</v>
      </c>
      <c r="M122" s="49" t="s">
        <v>352</v>
      </c>
      <c r="N122" s="3">
        <v>857.89412600000003</v>
      </c>
      <c r="O122" s="3">
        <v>1367.0601839999999</v>
      </c>
      <c r="P122" s="3">
        <v>67.421705979999999</v>
      </c>
      <c r="Q122" s="3">
        <v>437.07498140000001</v>
      </c>
      <c r="R122" s="3">
        <v>1485.1123909999999</v>
      </c>
      <c r="S122" s="3">
        <v>1488.1511350000001</v>
      </c>
      <c r="T122" s="3">
        <v>821.83285009999997</v>
      </c>
      <c r="U122" s="3">
        <v>718.09559549999994</v>
      </c>
      <c r="V122" s="3">
        <v>557.55700309999997</v>
      </c>
      <c r="W122" s="3">
        <v>712.72757220000005</v>
      </c>
      <c r="X122" s="3">
        <v>1161.3647229999999</v>
      </c>
      <c r="Y122" s="3">
        <v>227.7905069</v>
      </c>
      <c r="Z122" s="3">
        <v>245.8847227</v>
      </c>
      <c r="AA122" s="48" t="s">
        <v>318</v>
      </c>
      <c r="AB122" s="49" t="s">
        <v>352</v>
      </c>
      <c r="AC122" s="3">
        <v>161.43197369999999</v>
      </c>
      <c r="AD122" s="3">
        <v>153.2979278</v>
      </c>
      <c r="AE122" s="3">
        <v>94.658491359999999</v>
      </c>
      <c r="AF122" s="3">
        <v>27.3765474</v>
      </c>
      <c r="AG122" s="3">
        <v>292.04752430000002</v>
      </c>
      <c r="AH122" s="3">
        <v>212.34708219999999</v>
      </c>
      <c r="AI122" s="3">
        <v>186.8247437</v>
      </c>
      <c r="AJ122" s="3">
        <v>177.72221490000001</v>
      </c>
      <c r="AK122" s="3">
        <v>86.044802020000006</v>
      </c>
      <c r="AL122" s="3">
        <v>131.1701237</v>
      </c>
      <c r="AM122" s="3">
        <v>176.0874412</v>
      </c>
      <c r="AN122" s="3">
        <v>28.195132260000001</v>
      </c>
      <c r="AO122" s="3">
        <v>94.938158290000004</v>
      </c>
      <c r="AP122" s="48" t="s">
        <v>318</v>
      </c>
      <c r="AQ122" s="49" t="s">
        <v>352</v>
      </c>
      <c r="AR122" s="3">
        <v>395.73301600000002</v>
      </c>
      <c r="AS122" s="3">
        <v>862.76425200000006</v>
      </c>
      <c r="AT122" s="3">
        <v>680.29270399999996</v>
      </c>
      <c r="AU122" s="3">
        <v>701.60678949999999</v>
      </c>
      <c r="AV122" s="3">
        <v>129.67250799999999</v>
      </c>
      <c r="AW122" s="3">
        <v>1070.54486</v>
      </c>
      <c r="AX122" s="3">
        <v>631.20607199999995</v>
      </c>
      <c r="AY122" s="3">
        <v>745.39127599999995</v>
      </c>
      <c r="AZ122" s="3">
        <v>340.19862799999999</v>
      </c>
      <c r="BA122" s="3">
        <v>205.824164</v>
      </c>
      <c r="BB122" s="3">
        <v>462.35031400000003</v>
      </c>
      <c r="BC122" s="3">
        <v>109.46465600000001</v>
      </c>
      <c r="BD122" s="3">
        <v>760.12523999999996</v>
      </c>
      <c r="BE122" s="48" t="s">
        <v>318</v>
      </c>
      <c r="BF122" s="49" t="s">
        <v>352</v>
      </c>
      <c r="BG122" s="3">
        <v>0</v>
      </c>
      <c r="BH122" s="3">
        <v>0.17899999999999999</v>
      </c>
      <c r="BI122" s="3">
        <v>0.124</v>
      </c>
      <c r="BJ122" s="3">
        <v>0</v>
      </c>
      <c r="BK122" s="3">
        <v>0.08</v>
      </c>
      <c r="BL122" s="3">
        <v>0.1265</v>
      </c>
      <c r="BM122" s="3">
        <v>0</v>
      </c>
      <c r="BN122" s="3">
        <v>0.109</v>
      </c>
      <c r="BO122" s="3">
        <v>0.20100000000000001</v>
      </c>
      <c r="BP122" s="3">
        <v>0</v>
      </c>
      <c r="BQ122" s="3">
        <v>7.9000000000000001E-2</v>
      </c>
      <c r="BR122" s="3">
        <v>0.16866666699999999</v>
      </c>
      <c r="BS122" s="3">
        <v>0</v>
      </c>
      <c r="BT122" s="3">
        <v>0.245</v>
      </c>
      <c r="BU122" s="3">
        <v>0.18933333399999999</v>
      </c>
      <c r="BV122" s="3">
        <v>0</v>
      </c>
      <c r="BW122" s="3">
        <v>8.4000000000000005E-2</v>
      </c>
      <c r="BX122" s="3">
        <v>0.123</v>
      </c>
      <c r="BY122" s="3">
        <v>0</v>
      </c>
      <c r="BZ122" s="3">
        <v>7.0000000000000001E-3</v>
      </c>
      <c r="CA122" s="3">
        <v>9.4500000000000001E-2</v>
      </c>
      <c r="CB122" s="3">
        <v>0</v>
      </c>
      <c r="CC122" s="3">
        <v>7.9000000000000001E-2</v>
      </c>
      <c r="CD122" s="3">
        <v>0.25466666700000001</v>
      </c>
      <c r="CE122" s="3">
        <v>0</v>
      </c>
      <c r="CF122" s="3">
        <v>0.29399999999999998</v>
      </c>
      <c r="CG122" s="3">
        <v>5.3999999999999999E-2</v>
      </c>
      <c r="CH122" s="3">
        <v>0</v>
      </c>
      <c r="CI122" s="3">
        <v>0.29499999999999998</v>
      </c>
      <c r="CJ122" s="3">
        <v>0.28699999999999998</v>
      </c>
      <c r="CK122" s="3">
        <v>0</v>
      </c>
      <c r="CL122" s="3">
        <v>0.23400000000000001</v>
      </c>
      <c r="CM122" s="3">
        <v>0.1</v>
      </c>
      <c r="CN122" s="3">
        <v>0</v>
      </c>
      <c r="CO122" s="3">
        <v>8.8999999999999996E-2</v>
      </c>
      <c r="CP122" s="3">
        <v>0.201333333</v>
      </c>
      <c r="CQ122" s="3">
        <v>0</v>
      </c>
      <c r="CR122" s="3">
        <v>0.312</v>
      </c>
      <c r="CS122" s="3">
        <v>0.45300000000000001</v>
      </c>
      <c r="CT122" s="48" t="s">
        <v>318</v>
      </c>
      <c r="CU122" s="49" t="s">
        <v>352</v>
      </c>
      <c r="CV122" s="3">
        <v>12.611000000000001</v>
      </c>
      <c r="CW122" s="3">
        <v>10.430999999999999</v>
      </c>
      <c r="CX122" s="3">
        <v>10.458</v>
      </c>
      <c r="CY122" s="3">
        <v>9.0250000000000004</v>
      </c>
      <c r="CZ122" s="3">
        <v>13.616</v>
      </c>
      <c r="DA122" s="3">
        <v>9.5340000000000007</v>
      </c>
      <c r="DB122" s="3">
        <v>8.9169999999999998</v>
      </c>
      <c r="DC122" s="3">
        <v>15.928000000000001</v>
      </c>
      <c r="DD122" s="3">
        <v>14.595000000000001</v>
      </c>
      <c r="DE122" s="3">
        <v>14.532999999999999</v>
      </c>
      <c r="DF122" s="3">
        <v>13.981</v>
      </c>
      <c r="DG122" s="3">
        <v>8.173</v>
      </c>
      <c r="DH122" s="3">
        <v>10.747999999999999</v>
      </c>
    </row>
    <row r="123" spans="1:112" x14ac:dyDescent="0.3">
      <c r="A123" s="48" t="s">
        <v>319</v>
      </c>
      <c r="B123" s="49" t="s">
        <v>329</v>
      </c>
      <c r="C123" s="3">
        <v>26.317070999999999</v>
      </c>
      <c r="D123" s="3">
        <v>22.209</v>
      </c>
      <c r="E123" s="3">
        <v>23.038136000000002</v>
      </c>
      <c r="F123" s="3">
        <v>26.220752999999998</v>
      </c>
      <c r="G123" s="3">
        <v>26.220752999999998</v>
      </c>
      <c r="H123" s="3">
        <v>30.455942</v>
      </c>
      <c r="I123" s="48" t="s">
        <v>319</v>
      </c>
      <c r="J123" s="49" t="s">
        <v>329</v>
      </c>
      <c r="K123" s="3">
        <v>24197.5</v>
      </c>
      <c r="L123" s="48" t="s">
        <v>319</v>
      </c>
      <c r="M123" s="49" t="s">
        <v>329</v>
      </c>
      <c r="N123" s="3">
        <v>895.15723060000005</v>
      </c>
      <c r="O123" s="3">
        <v>1178.3620430000001</v>
      </c>
      <c r="P123" s="3">
        <v>441.03927909999999</v>
      </c>
      <c r="Q123" s="3">
        <v>176.02282980000001</v>
      </c>
      <c r="R123" s="3">
        <v>1934.6982379999999</v>
      </c>
      <c r="S123" s="3">
        <v>1173.051365</v>
      </c>
      <c r="T123" s="3">
        <v>612.79841420000002</v>
      </c>
      <c r="U123" s="3">
        <v>548.55534139999997</v>
      </c>
      <c r="V123" s="3">
        <v>502.1494189</v>
      </c>
      <c r="W123" s="3">
        <v>630.81231720000005</v>
      </c>
      <c r="X123" s="3">
        <v>1078.0779520000001</v>
      </c>
      <c r="Y123" s="3">
        <v>185.87332789999999</v>
      </c>
      <c r="Z123" s="3">
        <v>169.525779</v>
      </c>
      <c r="AA123" s="48" t="s">
        <v>319</v>
      </c>
      <c r="AB123" s="49" t="s">
        <v>329</v>
      </c>
      <c r="AC123" s="3">
        <v>471.61225200000001</v>
      </c>
      <c r="AD123" s="3">
        <v>424.0495727</v>
      </c>
      <c r="AE123" s="3">
        <v>269.19958880000001</v>
      </c>
      <c r="AF123" s="3">
        <v>93.836094410000001</v>
      </c>
      <c r="AG123" s="3">
        <v>820.66167680000001</v>
      </c>
      <c r="AH123" s="3">
        <v>566.18964270000004</v>
      </c>
      <c r="AI123" s="3">
        <v>544.79923899999994</v>
      </c>
      <c r="AJ123" s="3">
        <v>567.39726889999997</v>
      </c>
      <c r="AK123" s="3">
        <v>237.00051289999999</v>
      </c>
      <c r="AL123" s="3">
        <v>349.79713509999999</v>
      </c>
      <c r="AM123" s="3">
        <v>578.36837100000002</v>
      </c>
      <c r="AN123" s="3">
        <v>70.765966259999999</v>
      </c>
      <c r="AO123" s="3">
        <v>233.7877216</v>
      </c>
      <c r="AP123" s="48" t="s">
        <v>319</v>
      </c>
      <c r="AQ123" s="49" t="s">
        <v>329</v>
      </c>
      <c r="AR123" s="3">
        <v>561.27079040000001</v>
      </c>
      <c r="AS123" s="3">
        <v>705.60172039999998</v>
      </c>
      <c r="AT123" s="3">
        <v>672.48101559999998</v>
      </c>
      <c r="AU123" s="3">
        <v>583.21731</v>
      </c>
      <c r="AV123" s="3">
        <v>93.766859999999994</v>
      </c>
      <c r="AW123" s="3">
        <v>957.9957296</v>
      </c>
      <c r="AX123" s="3">
        <v>590.80821040000001</v>
      </c>
      <c r="AY123" s="3">
        <v>933.08199999999999</v>
      </c>
      <c r="AZ123" s="3">
        <v>334.40636480000001</v>
      </c>
      <c r="BA123" s="3">
        <v>210.43883120000001</v>
      </c>
      <c r="BB123" s="3">
        <v>287.93354199999999</v>
      </c>
      <c r="BC123" s="3">
        <v>98.9298948</v>
      </c>
      <c r="BD123" s="3">
        <v>506.7817268</v>
      </c>
      <c r="BE123" s="48" t="s">
        <v>319</v>
      </c>
      <c r="BF123" s="49" t="s">
        <v>329</v>
      </c>
      <c r="BG123" s="3">
        <v>0</v>
      </c>
      <c r="BH123" s="3">
        <v>0.39500000000000002</v>
      </c>
      <c r="BI123" s="3">
        <v>0.57799999999999996</v>
      </c>
      <c r="BJ123" s="3">
        <v>0</v>
      </c>
      <c r="BK123" s="3">
        <v>0.26900000000000002</v>
      </c>
      <c r="BL123" s="3">
        <v>0.63400000000000001</v>
      </c>
      <c r="BM123" s="3">
        <v>0</v>
      </c>
      <c r="BN123" s="3">
        <v>0.252</v>
      </c>
      <c r="BO123" s="3">
        <v>0.42549999999999999</v>
      </c>
      <c r="BP123" s="3">
        <v>0</v>
      </c>
      <c r="BQ123" s="3">
        <v>0.22800000000000001</v>
      </c>
      <c r="BR123" s="3">
        <v>0.48933333299999998</v>
      </c>
      <c r="BS123" s="3">
        <v>0</v>
      </c>
      <c r="BT123" s="3">
        <v>0.34300000000000003</v>
      </c>
      <c r="BU123" s="3">
        <v>0.65016666700000003</v>
      </c>
      <c r="BV123" s="3">
        <v>0</v>
      </c>
      <c r="BW123" s="3">
        <v>0.29099999999999998</v>
      </c>
      <c r="BX123" s="3">
        <v>0.52800000000000002</v>
      </c>
      <c r="BY123" s="3">
        <v>0</v>
      </c>
      <c r="BZ123" s="3">
        <v>0.20200000000000001</v>
      </c>
      <c r="CA123" s="3">
        <v>0.55700000000000005</v>
      </c>
      <c r="CB123" s="3">
        <v>0</v>
      </c>
      <c r="CC123" s="3">
        <v>0.46</v>
      </c>
      <c r="CD123" s="3">
        <v>0.72233333300000002</v>
      </c>
      <c r="CE123" s="3">
        <v>0</v>
      </c>
      <c r="CF123" s="3">
        <v>0.39800000000000002</v>
      </c>
      <c r="CG123" s="3">
        <v>0.72499999999999998</v>
      </c>
      <c r="CH123" s="3">
        <v>0</v>
      </c>
      <c r="CI123" s="3">
        <v>0.39800000000000002</v>
      </c>
      <c r="CJ123" s="3">
        <v>0.76466666699999997</v>
      </c>
      <c r="CK123" s="3">
        <v>0</v>
      </c>
      <c r="CL123" s="3">
        <v>0.45400000000000001</v>
      </c>
      <c r="CM123" s="3">
        <v>0.1</v>
      </c>
      <c r="CN123" s="3">
        <v>0</v>
      </c>
      <c r="CO123" s="3">
        <v>0.22900000000000001</v>
      </c>
      <c r="CP123" s="3">
        <v>0.48699999999999999</v>
      </c>
      <c r="CQ123" s="3">
        <v>0</v>
      </c>
      <c r="CR123" s="3">
        <v>0.38600000000000001</v>
      </c>
      <c r="CS123" s="3">
        <v>0.66</v>
      </c>
      <c r="CT123" s="48" t="s">
        <v>319</v>
      </c>
      <c r="CU123" s="49" t="s">
        <v>329</v>
      </c>
      <c r="CV123" s="3">
        <v>10.000999999999999</v>
      </c>
      <c r="CW123" s="3">
        <v>10.499000000000001</v>
      </c>
      <c r="CX123" s="3">
        <v>9.7490000000000006</v>
      </c>
      <c r="CY123" s="3">
        <v>7.6079999999999997</v>
      </c>
      <c r="CZ123" s="3">
        <v>10.315</v>
      </c>
      <c r="DA123" s="3">
        <v>9.0879999999999992</v>
      </c>
      <c r="DB123" s="3">
        <v>7.52</v>
      </c>
      <c r="DC123" s="3">
        <v>11.209</v>
      </c>
      <c r="DD123" s="3">
        <v>11.087999999999999</v>
      </c>
      <c r="DE123" s="3">
        <v>11.082000000000001</v>
      </c>
      <c r="DF123" s="3">
        <v>11.304</v>
      </c>
      <c r="DG123" s="3">
        <v>8.6780000000000008</v>
      </c>
      <c r="DH123" s="3">
        <v>9.6989999999999998</v>
      </c>
    </row>
    <row r="124" spans="1:112" x14ac:dyDescent="0.3">
      <c r="A124" s="48" t="s">
        <v>319</v>
      </c>
      <c r="B124" s="49" t="s">
        <v>330</v>
      </c>
      <c r="C124" s="3">
        <v>26.235593999999999</v>
      </c>
      <c r="D124" s="3">
        <v>17.648752000000002</v>
      </c>
      <c r="E124" s="3">
        <v>22.80124</v>
      </c>
      <c r="F124" s="3">
        <v>27.043158999999999</v>
      </c>
      <c r="G124" s="3">
        <v>26.290745000000001</v>
      </c>
      <c r="H124" s="3">
        <v>21.942492000000001</v>
      </c>
      <c r="I124" s="48" t="s">
        <v>319</v>
      </c>
      <c r="J124" s="49" t="s">
        <v>330</v>
      </c>
      <c r="K124" s="3">
        <v>24036.5</v>
      </c>
      <c r="L124" s="48" t="s">
        <v>319</v>
      </c>
      <c r="M124" s="49" t="s">
        <v>330</v>
      </c>
      <c r="N124" s="3">
        <v>417.26319599999999</v>
      </c>
      <c r="O124" s="3">
        <v>673.37954379999996</v>
      </c>
      <c r="P124" s="3">
        <v>347.40193260000001</v>
      </c>
      <c r="Q124" s="3">
        <v>370.0852797</v>
      </c>
      <c r="R124" s="3">
        <v>1266.9498390000001</v>
      </c>
      <c r="S124" s="3">
        <v>567.65858179999998</v>
      </c>
      <c r="T124" s="3">
        <v>344.18920680000002</v>
      </c>
      <c r="U124" s="3">
        <v>199.89805569999999</v>
      </c>
      <c r="V124" s="3">
        <v>245.68003830000001</v>
      </c>
      <c r="W124" s="3">
        <v>321.83460339999999</v>
      </c>
      <c r="X124" s="3">
        <v>617.82741039999996</v>
      </c>
      <c r="Y124" s="3">
        <v>114.8948003</v>
      </c>
      <c r="Z124" s="3">
        <v>196.1527624</v>
      </c>
      <c r="AA124" s="48" t="s">
        <v>319</v>
      </c>
      <c r="AB124" s="49" t="s">
        <v>330</v>
      </c>
      <c r="AC124" s="3">
        <v>545.52163480000002</v>
      </c>
      <c r="AD124" s="3">
        <v>490.50510270000001</v>
      </c>
      <c r="AE124" s="3">
        <v>311.38758410000003</v>
      </c>
      <c r="AF124" s="3">
        <v>102.1913631</v>
      </c>
      <c r="AG124" s="3">
        <v>949.27283520000003</v>
      </c>
      <c r="AH124" s="3">
        <v>654.92085540000005</v>
      </c>
      <c r="AI124" s="3">
        <v>630.17822420000005</v>
      </c>
      <c r="AJ124" s="3">
        <v>656.31773639999994</v>
      </c>
      <c r="AK124" s="3">
        <v>274.1423843</v>
      </c>
      <c r="AL124" s="3">
        <v>404.61608910000001</v>
      </c>
      <c r="AM124" s="3">
        <v>669.00819030000002</v>
      </c>
      <c r="AN124" s="3">
        <v>81.856155000000001</v>
      </c>
      <c r="AO124" s="3">
        <v>270.42609590000001</v>
      </c>
      <c r="AP124" s="48" t="s">
        <v>319</v>
      </c>
      <c r="AQ124" s="49" t="s">
        <v>330</v>
      </c>
      <c r="AR124" s="3">
        <v>610.67843040000002</v>
      </c>
      <c r="AS124" s="3">
        <v>767.71454789999996</v>
      </c>
      <c r="AT124" s="3">
        <v>731.67828810000003</v>
      </c>
      <c r="AU124" s="3">
        <v>606.54600240000002</v>
      </c>
      <c r="AV124" s="3">
        <v>102.020985</v>
      </c>
      <c r="AW124" s="3">
        <v>1042.3263400000001</v>
      </c>
      <c r="AX124" s="3">
        <v>642.81597539999996</v>
      </c>
      <c r="AY124" s="3">
        <v>1015.2195</v>
      </c>
      <c r="AZ124" s="3">
        <v>363.84354480000002</v>
      </c>
      <c r="BA124" s="3">
        <v>228.9633762</v>
      </c>
      <c r="BB124" s="3">
        <v>313.27980450000001</v>
      </c>
      <c r="BC124" s="3">
        <v>107.6385123</v>
      </c>
      <c r="BD124" s="3">
        <v>551.39279429999999</v>
      </c>
      <c r="BE124" s="48" t="s">
        <v>319</v>
      </c>
      <c r="BF124" s="49" t="s">
        <v>330</v>
      </c>
      <c r="BG124" s="3">
        <v>0</v>
      </c>
      <c r="BH124" s="3">
        <v>0.40699999999999997</v>
      </c>
      <c r="BI124" s="3">
        <v>0.58199999999999996</v>
      </c>
      <c r="BJ124" s="3">
        <v>0</v>
      </c>
      <c r="BK124" s="3">
        <v>0.27</v>
      </c>
      <c r="BL124" s="3">
        <v>0.63800000000000001</v>
      </c>
      <c r="BM124" s="3">
        <v>0</v>
      </c>
      <c r="BN124" s="3">
        <v>0.24099999999999999</v>
      </c>
      <c r="BO124" s="3">
        <v>0.434</v>
      </c>
      <c r="BP124" s="3">
        <v>0</v>
      </c>
      <c r="BQ124" s="3">
        <v>0.219</v>
      </c>
      <c r="BR124" s="3">
        <v>0.48299999999999998</v>
      </c>
      <c r="BS124" s="3">
        <v>0</v>
      </c>
      <c r="BT124" s="3">
        <v>0.33800000000000002</v>
      </c>
      <c r="BU124" s="3">
        <v>0.64200000000000002</v>
      </c>
      <c r="BV124" s="3">
        <v>0</v>
      </c>
      <c r="BW124" s="3">
        <v>0.26400000000000001</v>
      </c>
      <c r="BX124" s="3">
        <v>0.50700000000000001</v>
      </c>
      <c r="BY124" s="3">
        <v>0</v>
      </c>
      <c r="BZ124" s="3">
        <v>0.20499999999999999</v>
      </c>
      <c r="CA124" s="3">
        <v>0.55700000000000005</v>
      </c>
      <c r="CB124" s="3">
        <v>0</v>
      </c>
      <c r="CC124" s="3">
        <v>0.436</v>
      </c>
      <c r="CD124" s="3">
        <v>0.70199999999999996</v>
      </c>
      <c r="CE124" s="3">
        <v>0</v>
      </c>
      <c r="CF124" s="3">
        <v>0.373</v>
      </c>
      <c r="CG124" s="3">
        <v>0.69450000000000001</v>
      </c>
      <c r="CH124" s="3">
        <v>0</v>
      </c>
      <c r="CI124" s="3">
        <v>0.373</v>
      </c>
      <c r="CJ124" s="3">
        <v>0.75466666699999996</v>
      </c>
      <c r="CK124" s="3">
        <v>0</v>
      </c>
      <c r="CL124" s="3">
        <v>0.41899999999999998</v>
      </c>
      <c r="CM124" s="3">
        <v>0.1</v>
      </c>
      <c r="CN124" s="3">
        <v>0</v>
      </c>
      <c r="CO124" s="3">
        <v>0.22600000000000001</v>
      </c>
      <c r="CP124" s="3">
        <v>0.48899999999999999</v>
      </c>
      <c r="CQ124" s="3">
        <v>0</v>
      </c>
      <c r="CR124" s="3">
        <v>0.37</v>
      </c>
      <c r="CS124" s="3">
        <v>0.64400000000000002</v>
      </c>
      <c r="CT124" s="48" t="s">
        <v>319</v>
      </c>
      <c r="CU124" s="49" t="s">
        <v>330</v>
      </c>
      <c r="CV124" s="3">
        <v>9.7530000000000001</v>
      </c>
      <c r="CW124" s="3">
        <v>10.292999999999999</v>
      </c>
      <c r="CX124" s="3">
        <v>9.8680000000000003</v>
      </c>
      <c r="CY124" s="3">
        <v>7.806</v>
      </c>
      <c r="CZ124" s="3">
        <v>9.9019999999999992</v>
      </c>
      <c r="DA124" s="3">
        <v>9.1999999999999993</v>
      </c>
      <c r="DB124" s="3">
        <v>7.2939999999999996</v>
      </c>
      <c r="DC124" s="3">
        <v>10.856</v>
      </c>
      <c r="DD124" s="3">
        <v>10.624000000000001</v>
      </c>
      <c r="DE124" s="3">
        <v>10.622</v>
      </c>
      <c r="DF124" s="3">
        <v>11.196</v>
      </c>
      <c r="DG124" s="3">
        <v>8.7720000000000002</v>
      </c>
      <c r="DH124" s="3">
        <v>9.7089999999999996</v>
      </c>
    </row>
    <row r="125" spans="1:112" x14ac:dyDescent="0.3">
      <c r="A125" s="48" t="s">
        <v>319</v>
      </c>
      <c r="B125" s="49" t="s">
        <v>331</v>
      </c>
      <c r="C125" s="3">
        <v>26.235593999999999</v>
      </c>
      <c r="D125" s="3">
        <v>15.76839</v>
      </c>
      <c r="E125" s="3">
        <v>17.782005999999999</v>
      </c>
      <c r="F125" s="3">
        <v>30.604002000000001</v>
      </c>
      <c r="G125" s="3">
        <v>31.365165000000001</v>
      </c>
      <c r="H125" s="3">
        <v>17.485886000000001</v>
      </c>
      <c r="I125" s="48" t="s">
        <v>319</v>
      </c>
      <c r="J125" s="49" t="s">
        <v>331</v>
      </c>
      <c r="K125" s="3">
        <v>23182</v>
      </c>
      <c r="L125" s="48" t="s">
        <v>319</v>
      </c>
      <c r="M125" s="49" t="s">
        <v>331</v>
      </c>
      <c r="N125" s="3">
        <v>354.94446850000003</v>
      </c>
      <c r="O125" s="3">
        <v>595.4197322</v>
      </c>
      <c r="P125" s="3">
        <v>272.3957388</v>
      </c>
      <c r="Q125" s="3">
        <v>263.41967970000002</v>
      </c>
      <c r="R125" s="3">
        <v>994.41720559999999</v>
      </c>
      <c r="S125" s="3">
        <v>419.81689560000001</v>
      </c>
      <c r="T125" s="3">
        <v>251.8471241</v>
      </c>
      <c r="U125" s="3">
        <v>509.2791302</v>
      </c>
      <c r="V125" s="3">
        <v>223.5522699</v>
      </c>
      <c r="W125" s="3">
        <v>190.36539440000001</v>
      </c>
      <c r="X125" s="3">
        <v>501.30378630000001</v>
      </c>
      <c r="Y125" s="3">
        <v>72.380291360000001</v>
      </c>
      <c r="Z125" s="3">
        <v>128.65364360000001</v>
      </c>
      <c r="AA125" s="48" t="s">
        <v>319</v>
      </c>
      <c r="AB125" s="49" t="s">
        <v>331</v>
      </c>
      <c r="AC125" s="3">
        <v>559.59961250000003</v>
      </c>
      <c r="AD125" s="3">
        <v>503.16329889999997</v>
      </c>
      <c r="AE125" s="3">
        <v>319.42339270000002</v>
      </c>
      <c r="AF125" s="3">
        <v>102.1913631</v>
      </c>
      <c r="AG125" s="3">
        <v>973.77019859999996</v>
      </c>
      <c r="AH125" s="3">
        <v>671.82203879999997</v>
      </c>
      <c r="AI125" s="3">
        <v>646.44088799999997</v>
      </c>
      <c r="AJ125" s="3">
        <v>673.25496829999997</v>
      </c>
      <c r="AK125" s="3">
        <v>281.21702649999997</v>
      </c>
      <c r="AL125" s="3">
        <v>415.05779469999999</v>
      </c>
      <c r="AM125" s="3">
        <v>686.27291779999996</v>
      </c>
      <c r="AN125" s="3">
        <v>83.968571900000001</v>
      </c>
      <c r="AO125" s="3">
        <v>277.40483390000003</v>
      </c>
      <c r="AP125" s="48" t="s">
        <v>319</v>
      </c>
      <c r="AQ125" s="49" t="s">
        <v>331</v>
      </c>
      <c r="AR125" s="3">
        <v>632.41779199999996</v>
      </c>
      <c r="AS125" s="3">
        <v>795.04419199999995</v>
      </c>
      <c r="AT125" s="3">
        <v>757.72508800000003</v>
      </c>
      <c r="AU125" s="3">
        <v>624.04252169999995</v>
      </c>
      <c r="AV125" s="3">
        <v>105.6528</v>
      </c>
      <c r="AW125" s="3">
        <v>1079.431808</v>
      </c>
      <c r="AX125" s="3">
        <v>665.69939199999999</v>
      </c>
      <c r="AY125" s="3">
        <v>1051.3599999999999</v>
      </c>
      <c r="AZ125" s="3">
        <v>376.79590400000001</v>
      </c>
      <c r="BA125" s="3">
        <v>237.11417599999999</v>
      </c>
      <c r="BB125" s="3">
        <v>324.43216000000001</v>
      </c>
      <c r="BC125" s="3">
        <v>111.470304</v>
      </c>
      <c r="BD125" s="3">
        <v>571.02166399999999</v>
      </c>
      <c r="BE125" s="48" t="s">
        <v>319</v>
      </c>
      <c r="BF125" s="49" t="s">
        <v>331</v>
      </c>
      <c r="BG125" s="3">
        <v>0</v>
      </c>
      <c r="BH125" s="3">
        <v>0.40799999999999997</v>
      </c>
      <c r="BI125" s="3">
        <v>0.58899999999999997</v>
      </c>
      <c r="BJ125" s="3">
        <v>0</v>
      </c>
      <c r="BK125" s="3">
        <v>0.27700000000000002</v>
      </c>
      <c r="BL125" s="3">
        <v>0.64449999999999996</v>
      </c>
      <c r="BM125" s="3">
        <v>0</v>
      </c>
      <c r="BN125" s="3">
        <v>0.23400000000000001</v>
      </c>
      <c r="BO125" s="3">
        <v>0.443</v>
      </c>
      <c r="BP125" s="3">
        <v>0</v>
      </c>
      <c r="BQ125" s="3">
        <v>0.22500000000000001</v>
      </c>
      <c r="BR125" s="3">
        <v>0.47566666699999999</v>
      </c>
      <c r="BS125" s="3">
        <v>0</v>
      </c>
      <c r="BT125" s="3">
        <v>0.35199999999999998</v>
      </c>
      <c r="BU125" s="3">
        <v>0.63916666700000002</v>
      </c>
      <c r="BV125" s="3">
        <v>0</v>
      </c>
      <c r="BW125" s="3">
        <v>0.247</v>
      </c>
      <c r="BX125" s="3">
        <v>0.48799999999999999</v>
      </c>
      <c r="BY125" s="3">
        <v>0</v>
      </c>
      <c r="BZ125" s="3">
        <v>0.19800000000000001</v>
      </c>
      <c r="CA125" s="3">
        <v>0.53500000000000003</v>
      </c>
      <c r="CB125" s="3">
        <v>0</v>
      </c>
      <c r="CC125" s="3">
        <v>0.432</v>
      </c>
      <c r="CD125" s="3">
        <v>0.68933333299999999</v>
      </c>
      <c r="CE125" s="3">
        <v>0</v>
      </c>
      <c r="CF125" s="3">
        <v>0.34200000000000003</v>
      </c>
      <c r="CG125" s="3">
        <v>0.68600000000000005</v>
      </c>
      <c r="CH125" s="3">
        <v>0</v>
      </c>
      <c r="CI125" s="3">
        <v>0.34100000000000003</v>
      </c>
      <c r="CJ125" s="3">
        <v>0.74299999999999999</v>
      </c>
      <c r="CK125" s="3">
        <v>0</v>
      </c>
      <c r="CL125" s="3">
        <v>0.379</v>
      </c>
      <c r="CM125" s="3">
        <v>0.1</v>
      </c>
      <c r="CN125" s="3">
        <v>0</v>
      </c>
      <c r="CO125" s="3">
        <v>0.22700000000000001</v>
      </c>
      <c r="CP125" s="3">
        <v>0.49099999999999999</v>
      </c>
      <c r="CQ125" s="3">
        <v>0</v>
      </c>
      <c r="CR125" s="3">
        <v>0.36199999999999999</v>
      </c>
      <c r="CS125" s="3">
        <v>0.63100000000000001</v>
      </c>
      <c r="CT125" s="48" t="s">
        <v>319</v>
      </c>
      <c r="CU125" s="49" t="s">
        <v>331</v>
      </c>
      <c r="CV125" s="3">
        <v>9.4949999999999992</v>
      </c>
      <c r="CW125" s="3">
        <v>9.8699999999999992</v>
      </c>
      <c r="CX125" s="3">
        <v>9.8889999999999993</v>
      </c>
      <c r="CY125" s="3">
        <v>8.1120000000000001</v>
      </c>
      <c r="CZ125" s="3">
        <v>9.5690000000000008</v>
      </c>
      <c r="DA125" s="3">
        <v>9.4009999999999998</v>
      </c>
      <c r="DB125" s="3">
        <v>7.0439999999999996</v>
      </c>
      <c r="DC125" s="3">
        <v>10.593</v>
      </c>
      <c r="DD125" s="3">
        <v>9.8019999999999996</v>
      </c>
      <c r="DE125" s="3">
        <v>9.8079999999999998</v>
      </c>
      <c r="DF125" s="3">
        <v>11.04</v>
      </c>
      <c r="DG125" s="3">
        <v>9.016</v>
      </c>
      <c r="DH125" s="3">
        <v>9.7509999999999994</v>
      </c>
    </row>
    <row r="126" spans="1:112" x14ac:dyDescent="0.3">
      <c r="A126" s="48" t="s">
        <v>319</v>
      </c>
      <c r="B126" s="49" t="s">
        <v>332</v>
      </c>
      <c r="C126" s="3">
        <v>27.457749</v>
      </c>
      <c r="D126" s="3">
        <v>16.523496000000002</v>
      </c>
      <c r="E126" s="3">
        <v>20.373055999999998</v>
      </c>
      <c r="F126" s="3">
        <v>35.407203000000003</v>
      </c>
      <c r="G126" s="3">
        <v>35.407203000000003</v>
      </c>
      <c r="H126" s="3">
        <v>19.580935</v>
      </c>
      <c r="I126" s="48" t="s">
        <v>319</v>
      </c>
      <c r="J126" s="49" t="s">
        <v>332</v>
      </c>
      <c r="K126" s="3">
        <v>22733</v>
      </c>
      <c r="L126" s="48" t="s">
        <v>319</v>
      </c>
      <c r="M126" s="49" t="s">
        <v>332</v>
      </c>
      <c r="N126" s="3">
        <v>272.16623929999997</v>
      </c>
      <c r="O126" s="3">
        <v>562.76495409999995</v>
      </c>
      <c r="P126" s="3">
        <v>215.9041191</v>
      </c>
      <c r="Q126" s="3">
        <v>197.51504689999999</v>
      </c>
      <c r="R126" s="3">
        <v>793.22601129999998</v>
      </c>
      <c r="S126" s="3">
        <v>246.36098029999999</v>
      </c>
      <c r="T126" s="3">
        <v>547.1538534</v>
      </c>
      <c r="U126" s="3">
        <v>305.27884399999999</v>
      </c>
      <c r="V126" s="3">
        <v>197.66191259999999</v>
      </c>
      <c r="W126" s="3">
        <v>91.392860630000001</v>
      </c>
      <c r="X126" s="3">
        <v>466.05134600000002</v>
      </c>
      <c r="Y126" s="3">
        <v>86.674363279999994</v>
      </c>
      <c r="Z126" s="3">
        <v>143.07658960000001</v>
      </c>
      <c r="AA126" s="48" t="s">
        <v>319</v>
      </c>
      <c r="AB126" s="49" t="s">
        <v>332</v>
      </c>
      <c r="AC126" s="3">
        <v>628.22975369999995</v>
      </c>
      <c r="AD126" s="3">
        <v>564.87200540000003</v>
      </c>
      <c r="AE126" s="3">
        <v>358.59795980000001</v>
      </c>
      <c r="AF126" s="3">
        <v>116.652405</v>
      </c>
      <c r="AG126" s="3">
        <v>1093.1948460000001</v>
      </c>
      <c r="AH126" s="3">
        <v>754.21530770000004</v>
      </c>
      <c r="AI126" s="3">
        <v>725.72137429999998</v>
      </c>
      <c r="AJ126" s="3">
        <v>755.82397379999998</v>
      </c>
      <c r="AK126" s="3">
        <v>315.70590709999999</v>
      </c>
      <c r="AL126" s="3">
        <v>465.96110909999999</v>
      </c>
      <c r="AM126" s="3">
        <v>770.43846429999996</v>
      </c>
      <c r="AN126" s="3">
        <v>94.266604299999997</v>
      </c>
      <c r="AO126" s="3">
        <v>311.42618140000002</v>
      </c>
      <c r="AP126" s="48" t="s">
        <v>319</v>
      </c>
      <c r="AQ126" s="49" t="s">
        <v>332</v>
      </c>
      <c r="AR126" s="3">
        <v>693.68326560000003</v>
      </c>
      <c r="AS126" s="3">
        <v>872.06409810000002</v>
      </c>
      <c r="AT126" s="3">
        <v>831.12970589999998</v>
      </c>
      <c r="AU126" s="3">
        <v>678.4761373</v>
      </c>
      <c r="AV126" s="3">
        <v>115.88791500000001</v>
      </c>
      <c r="AW126" s="3">
        <v>1184.0017640000001</v>
      </c>
      <c r="AX126" s="3">
        <v>730.18902060000005</v>
      </c>
      <c r="AY126" s="3">
        <v>1153.2104999999999</v>
      </c>
      <c r="AZ126" s="3">
        <v>413.29800719999997</v>
      </c>
      <c r="BA126" s="3">
        <v>260.0846118</v>
      </c>
      <c r="BB126" s="3">
        <v>355.86152550000003</v>
      </c>
      <c r="BC126" s="3">
        <v>122.26898970000001</v>
      </c>
      <c r="BD126" s="3">
        <v>626.33938769999997</v>
      </c>
      <c r="BE126" s="48" t="s">
        <v>319</v>
      </c>
      <c r="BF126" s="49" t="s">
        <v>332</v>
      </c>
      <c r="BG126" s="3">
        <v>0</v>
      </c>
      <c r="BH126" s="3">
        <v>0.39600000000000002</v>
      </c>
      <c r="BI126" s="3">
        <v>0.55649999999999999</v>
      </c>
      <c r="BJ126" s="3">
        <v>0</v>
      </c>
      <c r="BK126" s="3">
        <v>0.27600000000000002</v>
      </c>
      <c r="BL126" s="3">
        <v>0.64049999999999996</v>
      </c>
      <c r="BM126" s="3">
        <v>0</v>
      </c>
      <c r="BN126" s="3">
        <v>0.221</v>
      </c>
      <c r="BO126" s="3">
        <v>0.4345</v>
      </c>
      <c r="BP126" s="3">
        <v>0</v>
      </c>
      <c r="BQ126" s="3">
        <v>0.20899999999999999</v>
      </c>
      <c r="BR126" s="3">
        <v>0.44066666700000001</v>
      </c>
      <c r="BS126" s="3">
        <v>0</v>
      </c>
      <c r="BT126" s="3">
        <v>0.34699999999999998</v>
      </c>
      <c r="BU126" s="3">
        <v>0.61575000000000002</v>
      </c>
      <c r="BV126" s="3">
        <v>0</v>
      </c>
      <c r="BW126" s="3">
        <v>0.23300000000000001</v>
      </c>
      <c r="BX126" s="3">
        <v>0.44400000000000001</v>
      </c>
      <c r="BY126" s="3">
        <v>0</v>
      </c>
      <c r="BZ126" s="3">
        <v>0.17199999999999999</v>
      </c>
      <c r="CA126" s="3">
        <v>0.4965</v>
      </c>
      <c r="CB126" s="3">
        <v>0</v>
      </c>
      <c r="CC126" s="3">
        <v>0.433</v>
      </c>
      <c r="CD126" s="3">
        <v>0.67500000000000004</v>
      </c>
      <c r="CE126" s="3">
        <v>0</v>
      </c>
      <c r="CF126" s="3">
        <v>0.34300000000000003</v>
      </c>
      <c r="CG126" s="3">
        <v>0.6875</v>
      </c>
      <c r="CH126" s="3">
        <v>0</v>
      </c>
      <c r="CI126" s="3">
        <v>0.34300000000000003</v>
      </c>
      <c r="CJ126" s="3">
        <v>0.72099999999999997</v>
      </c>
      <c r="CK126" s="3">
        <v>0</v>
      </c>
      <c r="CL126" s="3">
        <v>0.34200000000000003</v>
      </c>
      <c r="CM126" s="3">
        <v>0.1</v>
      </c>
      <c r="CN126" s="3">
        <v>0</v>
      </c>
      <c r="CO126" s="3">
        <v>0.191</v>
      </c>
      <c r="CP126" s="3">
        <v>0.46733333300000002</v>
      </c>
      <c r="CQ126" s="3">
        <v>0</v>
      </c>
      <c r="CR126" s="3">
        <v>0.34899999999999998</v>
      </c>
      <c r="CS126" s="3">
        <v>0.628</v>
      </c>
      <c r="CT126" s="48" t="s">
        <v>319</v>
      </c>
      <c r="CU126" s="49" t="s">
        <v>332</v>
      </c>
      <c r="CV126" s="3">
        <v>9.1489999999999991</v>
      </c>
      <c r="CW126" s="3">
        <v>9.1969999999999992</v>
      </c>
      <c r="CX126" s="3">
        <v>9.7539999999999996</v>
      </c>
      <c r="CY126" s="3">
        <v>8.3889999999999993</v>
      </c>
      <c r="CZ126" s="3">
        <v>8.8960000000000008</v>
      </c>
      <c r="DA126" s="3">
        <v>9.5039999999999996</v>
      </c>
      <c r="DB126" s="3">
        <v>6.8419999999999996</v>
      </c>
      <c r="DC126" s="3">
        <v>10.234</v>
      </c>
      <c r="DD126" s="3">
        <v>9.1669999999999998</v>
      </c>
      <c r="DE126" s="3">
        <v>9.1620000000000008</v>
      </c>
      <c r="DF126" s="3">
        <v>10.826000000000001</v>
      </c>
      <c r="DG126" s="3">
        <v>9.1180000000000003</v>
      </c>
      <c r="DH126" s="3">
        <v>9.7560000000000002</v>
      </c>
    </row>
    <row r="127" spans="1:112" x14ac:dyDescent="0.3">
      <c r="A127" s="48" t="s">
        <v>319</v>
      </c>
      <c r="B127" s="49" t="s">
        <v>333</v>
      </c>
      <c r="C127" s="3">
        <v>26.235593999999999</v>
      </c>
      <c r="D127" s="3">
        <v>18.396455</v>
      </c>
      <c r="E127" s="3">
        <v>24.933304</v>
      </c>
      <c r="F127" s="3">
        <v>37.576954999999998</v>
      </c>
      <c r="G127" s="3">
        <v>37.576954999999998</v>
      </c>
      <c r="H127" s="3">
        <v>23.785838999999999</v>
      </c>
      <c r="I127" s="48" t="s">
        <v>319</v>
      </c>
      <c r="J127" s="49" t="s">
        <v>333</v>
      </c>
      <c r="K127" s="3">
        <v>22942</v>
      </c>
      <c r="L127" s="48" t="s">
        <v>319</v>
      </c>
      <c r="M127" s="49" t="s">
        <v>333</v>
      </c>
      <c r="N127" s="3">
        <v>999.82907899999998</v>
      </c>
      <c r="O127" s="3">
        <v>251.91919609999999</v>
      </c>
      <c r="P127" s="3">
        <v>198.21767399999999</v>
      </c>
      <c r="Q127" s="3">
        <v>156.25998430000001</v>
      </c>
      <c r="R127" s="3">
        <v>475.94500870000002</v>
      </c>
      <c r="S127" s="3">
        <v>1260.4012299999999</v>
      </c>
      <c r="T127" s="3">
        <v>842.46058259999995</v>
      </c>
      <c r="U127" s="3">
        <v>88.699627579999998</v>
      </c>
      <c r="V127" s="3">
        <v>408.49439100000001</v>
      </c>
      <c r="W127" s="3">
        <v>511.99277339999998</v>
      </c>
      <c r="X127" s="3">
        <v>181.5039256</v>
      </c>
      <c r="Y127" s="3">
        <v>100.9684352</v>
      </c>
      <c r="Z127" s="3">
        <v>91.458231339999998</v>
      </c>
      <c r="AA127" s="48" t="s">
        <v>319</v>
      </c>
      <c r="AB127" s="49" t="s">
        <v>333</v>
      </c>
      <c r="AC127" s="3">
        <v>865.7956269</v>
      </c>
      <c r="AD127" s="3">
        <v>778.47906620000003</v>
      </c>
      <c r="AE127" s="3">
        <v>494.2022303</v>
      </c>
      <c r="AF127" s="3">
        <v>148.14534080000001</v>
      </c>
      <c r="AG127" s="3">
        <v>1506.587855</v>
      </c>
      <c r="AH127" s="3">
        <v>1039.422777</v>
      </c>
      <c r="AI127" s="3">
        <v>1000.153827</v>
      </c>
      <c r="AJ127" s="3">
        <v>1041.639762</v>
      </c>
      <c r="AK127" s="3">
        <v>435.09049379999999</v>
      </c>
      <c r="AL127" s="3">
        <v>642.16488990000005</v>
      </c>
      <c r="AM127" s="3">
        <v>1061.780741</v>
      </c>
      <c r="AN127" s="3">
        <v>129.91363949999999</v>
      </c>
      <c r="AO127" s="3">
        <v>429.1923845</v>
      </c>
      <c r="AP127" s="48" t="s">
        <v>319</v>
      </c>
      <c r="AQ127" s="49" t="s">
        <v>333</v>
      </c>
      <c r="AR127" s="3">
        <v>796.45115680000004</v>
      </c>
      <c r="AS127" s="3">
        <v>1001.258779</v>
      </c>
      <c r="AT127" s="3">
        <v>954.26003270000001</v>
      </c>
      <c r="AU127" s="3">
        <v>740.68598369999995</v>
      </c>
      <c r="AV127" s="3">
        <v>133.05649500000001</v>
      </c>
      <c r="AW127" s="3">
        <v>1359.409433</v>
      </c>
      <c r="AX127" s="3">
        <v>838.36517179999998</v>
      </c>
      <c r="AY127" s="3">
        <v>1324.0564999999999</v>
      </c>
      <c r="AZ127" s="3">
        <v>474.5273416</v>
      </c>
      <c r="BA127" s="3">
        <v>298.61566540000001</v>
      </c>
      <c r="BB127" s="3">
        <v>408.5817515</v>
      </c>
      <c r="BC127" s="3">
        <v>140.38291409999999</v>
      </c>
      <c r="BD127" s="3">
        <v>719.13040809999995</v>
      </c>
      <c r="BE127" s="48" t="s">
        <v>319</v>
      </c>
      <c r="BF127" s="49" t="s">
        <v>333</v>
      </c>
      <c r="BG127" s="3">
        <v>0</v>
      </c>
      <c r="BH127" s="3">
        <v>0.39</v>
      </c>
      <c r="BI127" s="3">
        <v>0.53</v>
      </c>
      <c r="BJ127" s="3">
        <v>0</v>
      </c>
      <c r="BK127" s="3">
        <v>0.27400000000000002</v>
      </c>
      <c r="BL127" s="3">
        <v>0.64</v>
      </c>
      <c r="BM127" s="3">
        <v>0</v>
      </c>
      <c r="BN127" s="3">
        <v>0.22700000000000001</v>
      </c>
      <c r="BO127" s="3">
        <v>0.441</v>
      </c>
      <c r="BP127" s="3">
        <v>0</v>
      </c>
      <c r="BQ127" s="3">
        <v>0.187</v>
      </c>
      <c r="BR127" s="3">
        <v>0.41133333300000002</v>
      </c>
      <c r="BS127" s="3">
        <v>0</v>
      </c>
      <c r="BT127" s="3">
        <v>0.34699999999999998</v>
      </c>
      <c r="BU127" s="3">
        <v>0.59799999999999998</v>
      </c>
      <c r="BV127" s="3">
        <v>0</v>
      </c>
      <c r="BW127" s="3">
        <v>0.221</v>
      </c>
      <c r="BX127" s="3">
        <v>0.39800000000000002</v>
      </c>
      <c r="BY127" s="3">
        <v>0</v>
      </c>
      <c r="BZ127" s="3">
        <v>0.154</v>
      </c>
      <c r="CA127" s="3">
        <v>0.49</v>
      </c>
      <c r="CB127" s="3">
        <v>0</v>
      </c>
      <c r="CC127" s="3">
        <v>0.43</v>
      </c>
      <c r="CD127" s="3">
        <v>0.66600000000000004</v>
      </c>
      <c r="CE127" s="3">
        <v>0</v>
      </c>
      <c r="CF127" s="3">
        <v>0.35199999999999998</v>
      </c>
      <c r="CG127" s="3">
        <v>0.67049999999999998</v>
      </c>
      <c r="CH127" s="3">
        <v>0</v>
      </c>
      <c r="CI127" s="3">
        <v>0.35299999999999998</v>
      </c>
      <c r="CJ127" s="3">
        <v>0.71766666700000004</v>
      </c>
      <c r="CK127" s="3">
        <v>0</v>
      </c>
      <c r="CL127" s="3">
        <v>0.313</v>
      </c>
      <c r="CM127" s="3">
        <v>0.1</v>
      </c>
      <c r="CN127" s="3">
        <v>0</v>
      </c>
      <c r="CO127" s="3">
        <v>0.17100000000000001</v>
      </c>
      <c r="CP127" s="3">
        <v>0.45700000000000002</v>
      </c>
      <c r="CQ127" s="3">
        <v>0</v>
      </c>
      <c r="CR127" s="3">
        <v>0.33800000000000002</v>
      </c>
      <c r="CS127" s="3">
        <v>0.61399999999999999</v>
      </c>
      <c r="CT127" s="48" t="s">
        <v>319</v>
      </c>
      <c r="CU127" s="49" t="s">
        <v>333</v>
      </c>
      <c r="CV127" s="3">
        <v>8.6229999999999993</v>
      </c>
      <c r="CW127" s="3">
        <v>8.5370000000000008</v>
      </c>
      <c r="CX127" s="3">
        <v>9.32</v>
      </c>
      <c r="CY127" s="3">
        <v>8.4870000000000001</v>
      </c>
      <c r="CZ127" s="3">
        <v>8.1839999999999993</v>
      </c>
      <c r="DA127" s="3">
        <v>9.4190000000000005</v>
      </c>
      <c r="DB127" s="3">
        <v>6.7249999999999996</v>
      </c>
      <c r="DC127" s="3">
        <v>9.7439999999999998</v>
      </c>
      <c r="DD127" s="3">
        <v>8.7530000000000001</v>
      </c>
      <c r="DE127" s="3">
        <v>8.75</v>
      </c>
      <c r="DF127" s="3">
        <v>10.52</v>
      </c>
      <c r="DG127" s="3">
        <v>9.0869999999999997</v>
      </c>
      <c r="DH127" s="3">
        <v>9.7110000000000003</v>
      </c>
    </row>
    <row r="128" spans="1:112" x14ac:dyDescent="0.3">
      <c r="A128" s="48" t="s">
        <v>319</v>
      </c>
      <c r="B128" s="49" t="s">
        <v>334</v>
      </c>
      <c r="C128" s="3">
        <v>28.383102000000001</v>
      </c>
      <c r="D128" s="3">
        <v>21.261416000000001</v>
      </c>
      <c r="E128" s="3">
        <v>31.625616000000001</v>
      </c>
      <c r="F128" s="3">
        <v>38.224381000000001</v>
      </c>
      <c r="G128" s="3">
        <v>38.224381000000001</v>
      </c>
      <c r="H128" s="3">
        <v>29.982150000000001</v>
      </c>
      <c r="I128" s="48" t="s">
        <v>319</v>
      </c>
      <c r="J128" s="49" t="s">
        <v>334</v>
      </c>
      <c r="K128" s="3">
        <v>24062</v>
      </c>
      <c r="L128" s="48" t="s">
        <v>319</v>
      </c>
      <c r="M128" s="49" t="s">
        <v>334</v>
      </c>
      <c r="N128" s="3">
        <v>68.163912069999995</v>
      </c>
      <c r="O128" s="3">
        <v>401.79474850000003</v>
      </c>
      <c r="P128" s="3">
        <v>525.43228999999997</v>
      </c>
      <c r="Q128" s="3">
        <v>171.2575995</v>
      </c>
      <c r="R128" s="3">
        <v>643.61625849999996</v>
      </c>
      <c r="S128" s="3">
        <v>1577.897968</v>
      </c>
      <c r="T128" s="3">
        <v>1271.9129559999999</v>
      </c>
      <c r="U128" s="3">
        <v>353.07050329999998</v>
      </c>
      <c r="V128" s="3">
        <v>619.32686939999996</v>
      </c>
      <c r="W128" s="3">
        <v>537.94841429999997</v>
      </c>
      <c r="X128" s="3">
        <v>405.17580129999999</v>
      </c>
      <c r="Y128" s="3">
        <v>81.304848829999997</v>
      </c>
      <c r="Z128" s="3">
        <v>159.7915485</v>
      </c>
      <c r="AA128" s="48" t="s">
        <v>319</v>
      </c>
      <c r="AB128" s="49" t="s">
        <v>334</v>
      </c>
      <c r="AC128" s="3">
        <v>1015.37414</v>
      </c>
      <c r="AD128" s="3">
        <v>912.97240079999995</v>
      </c>
      <c r="AE128" s="3">
        <v>579.58269689999997</v>
      </c>
      <c r="AF128" s="3">
        <v>160.9996003</v>
      </c>
      <c r="AG128" s="3">
        <v>1766.8723419999999</v>
      </c>
      <c r="AH128" s="3">
        <v>1218.99785</v>
      </c>
      <c r="AI128" s="3">
        <v>1172.94463</v>
      </c>
      <c r="AJ128" s="3">
        <v>1221.597851</v>
      </c>
      <c r="AK128" s="3">
        <v>510.25856690000001</v>
      </c>
      <c r="AL128" s="3">
        <v>753.1080111</v>
      </c>
      <c r="AM128" s="3">
        <v>1245.21847</v>
      </c>
      <c r="AN128" s="3">
        <v>152.35806909999999</v>
      </c>
      <c r="AO128" s="3">
        <v>503.34147530000001</v>
      </c>
      <c r="AP128" s="48" t="s">
        <v>319</v>
      </c>
      <c r="AQ128" s="49" t="s">
        <v>334</v>
      </c>
      <c r="AR128" s="3">
        <v>918.98210400000005</v>
      </c>
      <c r="AS128" s="3">
        <v>1155.2985920000001</v>
      </c>
      <c r="AT128" s="3">
        <v>1101.0692690000001</v>
      </c>
      <c r="AU128" s="3">
        <v>898.15465740000002</v>
      </c>
      <c r="AV128" s="3">
        <v>153.526725</v>
      </c>
      <c r="AW128" s="3">
        <v>1568.549346</v>
      </c>
      <c r="AX128" s="3">
        <v>967.34442899999999</v>
      </c>
      <c r="AY128" s="3">
        <v>1527.7574999999999</v>
      </c>
      <c r="AZ128" s="3">
        <v>547.53154800000004</v>
      </c>
      <c r="BA128" s="3">
        <v>344.55653699999999</v>
      </c>
      <c r="BB128" s="3">
        <v>471.44048249999997</v>
      </c>
      <c r="BC128" s="3">
        <v>161.98028550000001</v>
      </c>
      <c r="BD128" s="3">
        <v>829.76585550000004</v>
      </c>
      <c r="BE128" s="48" t="s">
        <v>319</v>
      </c>
      <c r="BF128" s="49" t="s">
        <v>334</v>
      </c>
      <c r="BG128" s="3">
        <v>0</v>
      </c>
      <c r="BH128" s="3">
        <v>0.40200000000000002</v>
      </c>
      <c r="BI128" s="3">
        <v>0.54249999999999998</v>
      </c>
      <c r="BJ128" s="3">
        <v>0</v>
      </c>
      <c r="BK128" s="3">
        <v>0.28199999999999997</v>
      </c>
      <c r="BL128" s="3">
        <v>0.65200000000000002</v>
      </c>
      <c r="BM128" s="3">
        <v>0</v>
      </c>
      <c r="BN128" s="3">
        <v>0.22800000000000001</v>
      </c>
      <c r="BO128" s="3">
        <v>0.45250000000000001</v>
      </c>
      <c r="BP128" s="3">
        <v>0</v>
      </c>
      <c r="BQ128" s="3">
        <v>0.17899999999999999</v>
      </c>
      <c r="BR128" s="3">
        <v>0.41133333300000002</v>
      </c>
      <c r="BS128" s="3">
        <v>0</v>
      </c>
      <c r="BT128" s="3">
        <v>0.36399999999999999</v>
      </c>
      <c r="BU128" s="3">
        <v>0.60791666700000002</v>
      </c>
      <c r="BV128" s="3">
        <v>0</v>
      </c>
      <c r="BW128" s="3">
        <v>0.23300000000000001</v>
      </c>
      <c r="BX128" s="3">
        <v>0.39800000000000002</v>
      </c>
      <c r="BY128" s="3">
        <v>0</v>
      </c>
      <c r="BZ128" s="3">
        <v>0.13800000000000001</v>
      </c>
      <c r="CA128" s="3">
        <v>0.49249999999999999</v>
      </c>
      <c r="CB128" s="3">
        <v>0</v>
      </c>
      <c r="CC128" s="3">
        <v>0.437</v>
      </c>
      <c r="CD128" s="3">
        <v>0.67333333299999998</v>
      </c>
      <c r="CE128" s="3">
        <v>0</v>
      </c>
      <c r="CF128" s="3">
        <v>0.35</v>
      </c>
      <c r="CG128" s="3">
        <v>0.67249999999999999</v>
      </c>
      <c r="CH128" s="3">
        <v>0</v>
      </c>
      <c r="CI128" s="3">
        <v>0.35099999999999998</v>
      </c>
      <c r="CJ128" s="3">
        <v>0.71799999999999997</v>
      </c>
      <c r="CK128" s="3">
        <v>0</v>
      </c>
      <c r="CL128" s="3">
        <v>0.34100000000000003</v>
      </c>
      <c r="CM128" s="3">
        <v>0.1</v>
      </c>
      <c r="CN128" s="3">
        <v>0</v>
      </c>
      <c r="CO128" s="3">
        <v>0.18099999999999999</v>
      </c>
      <c r="CP128" s="3">
        <v>0.45733333300000001</v>
      </c>
      <c r="CQ128" s="3">
        <v>0</v>
      </c>
      <c r="CR128" s="3">
        <v>0.34100000000000003</v>
      </c>
      <c r="CS128" s="3">
        <v>0.61599999999999999</v>
      </c>
      <c r="CT128" s="48" t="s">
        <v>319</v>
      </c>
      <c r="CU128" s="49" t="s">
        <v>334</v>
      </c>
      <c r="CV128" s="3">
        <v>8.1449999999999996</v>
      </c>
      <c r="CW128" s="3">
        <v>8.07</v>
      </c>
      <c r="CX128" s="3">
        <v>8.9320000000000004</v>
      </c>
      <c r="CY128" s="3">
        <v>8.4510000000000005</v>
      </c>
      <c r="CZ128" s="3">
        <v>7.6989999999999998</v>
      </c>
      <c r="DA128" s="3">
        <v>9.2390000000000008</v>
      </c>
      <c r="DB128" s="3">
        <v>6.6319999999999997</v>
      </c>
      <c r="DC128" s="3">
        <v>9.4909999999999997</v>
      </c>
      <c r="DD128" s="3">
        <v>8.4</v>
      </c>
      <c r="DE128" s="3">
        <v>8.4</v>
      </c>
      <c r="DF128" s="3">
        <v>10.025</v>
      </c>
      <c r="DG128" s="3">
        <v>8.9789999999999992</v>
      </c>
      <c r="DH128" s="3">
        <v>9.5190000000000001</v>
      </c>
    </row>
    <row r="129" spans="1:112" x14ac:dyDescent="0.3">
      <c r="A129" s="48" t="s">
        <v>319</v>
      </c>
      <c r="B129" s="49" t="s">
        <v>335</v>
      </c>
      <c r="C129" s="3">
        <v>26.665606</v>
      </c>
      <c r="D129" s="3">
        <v>21.202192</v>
      </c>
      <c r="E129" s="3">
        <v>29.641611999999999</v>
      </c>
      <c r="F129" s="3">
        <v>38.434356999999999</v>
      </c>
      <c r="G129" s="3">
        <v>38.434356999999999</v>
      </c>
      <c r="H129" s="3">
        <v>28.553370999999999</v>
      </c>
      <c r="I129" s="48" t="s">
        <v>319</v>
      </c>
      <c r="J129" s="49" t="s">
        <v>335</v>
      </c>
      <c r="K129" s="3">
        <v>24817</v>
      </c>
      <c r="L129" s="48" t="s">
        <v>319</v>
      </c>
      <c r="M129" s="49" t="s">
        <v>335</v>
      </c>
      <c r="N129" s="3">
        <v>1508.605006</v>
      </c>
      <c r="O129" s="3">
        <v>1384.308362</v>
      </c>
      <c r="P129" s="3">
        <v>186.83078879999999</v>
      </c>
      <c r="Q129" s="3">
        <v>398.60984459999997</v>
      </c>
      <c r="R129" s="3">
        <v>282.9151986</v>
      </c>
      <c r="S129" s="3">
        <v>1156.5764919999999</v>
      </c>
      <c r="T129" s="3">
        <v>830.89638690000004</v>
      </c>
      <c r="U129" s="3">
        <v>3297.7397110000002</v>
      </c>
      <c r="V129" s="3">
        <v>2195.3740269999998</v>
      </c>
      <c r="W129" s="3">
        <v>806.52983630000006</v>
      </c>
      <c r="X129" s="3">
        <v>1204.153607</v>
      </c>
      <c r="Y129" s="3">
        <v>99.768213040000006</v>
      </c>
      <c r="Z129" s="3">
        <v>223.07620420000001</v>
      </c>
      <c r="AA129" s="48" t="s">
        <v>319</v>
      </c>
      <c r="AB129" s="49" t="s">
        <v>335</v>
      </c>
      <c r="AC129" s="3">
        <v>1356.7650980000001</v>
      </c>
      <c r="AD129" s="3">
        <v>1219.933659</v>
      </c>
      <c r="AE129" s="3">
        <v>774.45105590000003</v>
      </c>
      <c r="AF129" s="3">
        <v>198.91966590000001</v>
      </c>
      <c r="AG129" s="3">
        <v>2360.9334060000001</v>
      </c>
      <c r="AH129" s="3">
        <v>1628.851547</v>
      </c>
      <c r="AI129" s="3">
        <v>1567.3142290000001</v>
      </c>
      <c r="AJ129" s="3">
        <v>1632.3257249999999</v>
      </c>
      <c r="AK129" s="3">
        <v>681.81863969999995</v>
      </c>
      <c r="AL129" s="3">
        <v>1006.31937</v>
      </c>
      <c r="AM129" s="3">
        <v>1663.8881120000001</v>
      </c>
      <c r="AN129" s="3">
        <v>203.58417900000001</v>
      </c>
      <c r="AO129" s="3">
        <v>672.57587090000004</v>
      </c>
      <c r="AP129" s="48" t="s">
        <v>319</v>
      </c>
      <c r="AQ129" s="49" t="s">
        <v>335</v>
      </c>
      <c r="AR129" s="3">
        <v>1061.2761069999999</v>
      </c>
      <c r="AS129" s="3">
        <v>1334.1835349999999</v>
      </c>
      <c r="AT129" s="3">
        <v>1271.557413</v>
      </c>
      <c r="AU129" s="3">
        <v>1026.4624659999999</v>
      </c>
      <c r="AV129" s="3">
        <v>177.29860500000001</v>
      </c>
      <c r="AW129" s="3">
        <v>1811.421503</v>
      </c>
      <c r="AX129" s="3">
        <v>1117.126792</v>
      </c>
      <c r="AY129" s="3">
        <v>1764.3135</v>
      </c>
      <c r="AZ129" s="3">
        <v>632.31062640000005</v>
      </c>
      <c r="BA129" s="3">
        <v>397.9072266</v>
      </c>
      <c r="BB129" s="3">
        <v>544.43771849999996</v>
      </c>
      <c r="BC129" s="3">
        <v>187.06110390000001</v>
      </c>
      <c r="BD129" s="3">
        <v>958.24572990000001</v>
      </c>
      <c r="BE129" s="48" t="s">
        <v>319</v>
      </c>
      <c r="BF129" s="49" t="s">
        <v>335</v>
      </c>
      <c r="BG129" s="3">
        <v>1E-3</v>
      </c>
      <c r="BH129" s="3">
        <v>0.42499999999999999</v>
      </c>
      <c r="BI129" s="3">
        <v>0.55600000000000005</v>
      </c>
      <c r="BJ129" s="3">
        <v>0</v>
      </c>
      <c r="BK129" s="3">
        <v>0.28999999999999998</v>
      </c>
      <c r="BL129" s="3">
        <v>0.67700000000000005</v>
      </c>
      <c r="BM129" s="3">
        <v>0</v>
      </c>
      <c r="BN129" s="3">
        <v>0.22500000000000001</v>
      </c>
      <c r="BO129" s="3">
        <v>0.46500000000000002</v>
      </c>
      <c r="BP129" s="3">
        <v>0</v>
      </c>
      <c r="BQ129" s="3">
        <v>0.193</v>
      </c>
      <c r="BR129" s="3">
        <v>0.421666667</v>
      </c>
      <c r="BS129" s="3">
        <v>1E-3</v>
      </c>
      <c r="BT129" s="3">
        <v>0.38200000000000001</v>
      </c>
      <c r="BU129" s="3">
        <v>0.62649999999999995</v>
      </c>
      <c r="BV129" s="3">
        <v>0</v>
      </c>
      <c r="BW129" s="3">
        <v>0.245</v>
      </c>
      <c r="BX129" s="3">
        <v>0.41399999999999998</v>
      </c>
      <c r="BY129" s="3">
        <v>0</v>
      </c>
      <c r="BZ129" s="3">
        <v>0.13600000000000001</v>
      </c>
      <c r="CA129" s="3">
        <v>0.47899999999999998</v>
      </c>
      <c r="CB129" s="3">
        <v>2E-3</v>
      </c>
      <c r="CC129" s="3">
        <v>0.45900000000000002</v>
      </c>
      <c r="CD129" s="3">
        <v>0.69699999999999995</v>
      </c>
      <c r="CE129" s="3">
        <v>0</v>
      </c>
      <c r="CF129" s="3">
        <v>0.34499999999999997</v>
      </c>
      <c r="CG129" s="3">
        <v>0.6915</v>
      </c>
      <c r="CH129" s="3">
        <v>0</v>
      </c>
      <c r="CI129" s="3">
        <v>0.34499999999999997</v>
      </c>
      <c r="CJ129" s="3">
        <v>0.70699999999999996</v>
      </c>
      <c r="CK129" s="3">
        <v>0</v>
      </c>
      <c r="CL129" s="3">
        <v>0.35599999999999998</v>
      </c>
      <c r="CM129" s="3">
        <v>0.1</v>
      </c>
      <c r="CN129" s="3">
        <v>0</v>
      </c>
      <c r="CO129" s="3">
        <v>0.186</v>
      </c>
      <c r="CP129" s="3">
        <v>0.45466666700000002</v>
      </c>
      <c r="CQ129" s="3">
        <v>0</v>
      </c>
      <c r="CR129" s="3">
        <v>0.33100000000000002</v>
      </c>
      <c r="CS129" s="3">
        <v>0.61199999999999999</v>
      </c>
      <c r="CT129" s="48" t="s">
        <v>319</v>
      </c>
      <c r="CU129" s="49" t="s">
        <v>335</v>
      </c>
      <c r="CV129" s="3">
        <v>7.8529999999999998</v>
      </c>
      <c r="CW129" s="3">
        <v>7.5129999999999999</v>
      </c>
      <c r="CX129" s="3">
        <v>8.3940000000000001</v>
      </c>
      <c r="CY129" s="3">
        <v>8.2970000000000006</v>
      </c>
      <c r="CZ129" s="3">
        <v>7.3869999999999996</v>
      </c>
      <c r="DA129" s="3">
        <v>8.8369999999999997</v>
      </c>
      <c r="DB129" s="3">
        <v>6.59</v>
      </c>
      <c r="DC129" s="3">
        <v>9.3520000000000003</v>
      </c>
      <c r="DD129" s="3">
        <v>8.01</v>
      </c>
      <c r="DE129" s="3">
        <v>8</v>
      </c>
      <c r="DF129" s="3">
        <v>9.64</v>
      </c>
      <c r="DG129" s="3">
        <v>8.6910000000000007</v>
      </c>
      <c r="DH129" s="3">
        <v>9.1270000000000007</v>
      </c>
    </row>
    <row r="130" spans="1:112" x14ac:dyDescent="0.3">
      <c r="A130" s="48" t="s">
        <v>319</v>
      </c>
      <c r="B130" s="49" t="s">
        <v>336</v>
      </c>
      <c r="C130" s="3">
        <v>26.747039000000001</v>
      </c>
      <c r="D130" s="3">
        <v>23.186195999999999</v>
      </c>
      <c r="E130" s="3">
        <v>34.668249000000003</v>
      </c>
      <c r="F130" s="3">
        <v>38.294373</v>
      </c>
      <c r="G130" s="3">
        <v>38.294373</v>
      </c>
      <c r="H130" s="3">
        <v>33.313499999999998</v>
      </c>
      <c r="I130" s="48" t="s">
        <v>319</v>
      </c>
      <c r="J130" s="49" t="s">
        <v>336</v>
      </c>
      <c r="K130" s="3">
        <v>27605</v>
      </c>
      <c r="L130" s="48" t="s">
        <v>319</v>
      </c>
      <c r="M130" s="49" t="s">
        <v>336</v>
      </c>
      <c r="N130" s="3">
        <v>2197.9910540000001</v>
      </c>
      <c r="O130" s="3">
        <v>1762.9601170000001</v>
      </c>
      <c r="P130" s="3">
        <v>1242.9139560000001</v>
      </c>
      <c r="Q130" s="3">
        <v>320.26753539999999</v>
      </c>
      <c r="R130" s="3">
        <v>2491.304787</v>
      </c>
      <c r="S130" s="3">
        <v>1096.148758</v>
      </c>
      <c r="T130" s="3">
        <v>2265.774191</v>
      </c>
      <c r="U130" s="3">
        <v>5208.3000380000003</v>
      </c>
      <c r="V130" s="3">
        <v>3443.445874</v>
      </c>
      <c r="W130" s="3">
        <v>1266.6249069999999</v>
      </c>
      <c r="X130" s="3">
        <v>1444.5653669999999</v>
      </c>
      <c r="Y130" s="3">
        <v>145.2378999</v>
      </c>
      <c r="Z130" s="3">
        <v>55.711452020000003</v>
      </c>
      <c r="AA130" s="48" t="s">
        <v>319</v>
      </c>
      <c r="AB130" s="49" t="s">
        <v>336</v>
      </c>
      <c r="AC130" s="3">
        <v>1198.387849</v>
      </c>
      <c r="AD130" s="3">
        <v>1077.528951</v>
      </c>
      <c r="AE130" s="3">
        <v>684.04820900000004</v>
      </c>
      <c r="AF130" s="3">
        <v>196.348814</v>
      </c>
      <c r="AG130" s="3">
        <v>2085.3380670000001</v>
      </c>
      <c r="AH130" s="3">
        <v>1438.7132340000001</v>
      </c>
      <c r="AI130" s="3">
        <v>1384.3592599999999</v>
      </c>
      <c r="AJ130" s="3">
        <v>1441.781866</v>
      </c>
      <c r="AK130" s="3">
        <v>602.22891519999996</v>
      </c>
      <c r="AL130" s="3">
        <v>888.85018290000005</v>
      </c>
      <c r="AM130" s="3">
        <v>1469.659928</v>
      </c>
      <c r="AN130" s="3">
        <v>179.81948890000001</v>
      </c>
      <c r="AO130" s="3">
        <v>594.06506879999995</v>
      </c>
      <c r="AP130" s="48" t="s">
        <v>319</v>
      </c>
      <c r="AQ130" s="49" t="s">
        <v>336</v>
      </c>
      <c r="AR130" s="3">
        <v>1124.5178860000001</v>
      </c>
      <c r="AS130" s="3">
        <v>1413.687954</v>
      </c>
      <c r="AT130" s="3">
        <v>1347.3299219999999</v>
      </c>
      <c r="AU130" s="3">
        <v>1057.567389</v>
      </c>
      <c r="AV130" s="3">
        <v>187.86388500000001</v>
      </c>
      <c r="AW130" s="3">
        <v>1919.3646839999999</v>
      </c>
      <c r="AX130" s="3">
        <v>1183.696731</v>
      </c>
      <c r="AY130" s="3">
        <v>1869.4494999999999</v>
      </c>
      <c r="AZ130" s="3">
        <v>669.99021679999998</v>
      </c>
      <c r="BA130" s="3">
        <v>421.61864420000001</v>
      </c>
      <c r="BB130" s="3">
        <v>576.88093449999997</v>
      </c>
      <c r="BC130" s="3">
        <v>198.20813430000001</v>
      </c>
      <c r="BD130" s="3">
        <v>1015.347896</v>
      </c>
      <c r="BE130" s="48" t="s">
        <v>319</v>
      </c>
      <c r="BF130" s="49" t="s">
        <v>336</v>
      </c>
      <c r="BG130" s="3">
        <v>8.5999999999999993E-2</v>
      </c>
      <c r="BH130" s="3">
        <v>0.38600000000000001</v>
      </c>
      <c r="BI130" s="3">
        <v>0.56599999999999995</v>
      </c>
      <c r="BJ130" s="3">
        <v>8.3000000000000004E-2</v>
      </c>
      <c r="BK130" s="3">
        <v>0.26800000000000002</v>
      </c>
      <c r="BL130" s="3">
        <v>0.6835</v>
      </c>
      <c r="BM130" s="3">
        <v>0.04</v>
      </c>
      <c r="BN130" s="3">
        <v>0.224</v>
      </c>
      <c r="BO130" s="3">
        <v>0.47699999999999998</v>
      </c>
      <c r="BP130" s="3">
        <v>1.2999999999999999E-2</v>
      </c>
      <c r="BQ130" s="3">
        <v>0.188</v>
      </c>
      <c r="BR130" s="3">
        <v>0.41766666699999999</v>
      </c>
      <c r="BS130" s="3">
        <v>0.109</v>
      </c>
      <c r="BT130" s="3">
        <v>0.32800000000000001</v>
      </c>
      <c r="BU130" s="3">
        <v>0.63366666699999996</v>
      </c>
      <c r="BV130" s="3">
        <v>3.4000000000000002E-2</v>
      </c>
      <c r="BW130" s="3">
        <v>0.23100000000000001</v>
      </c>
      <c r="BX130" s="3">
        <v>0.39800000000000002</v>
      </c>
      <c r="BY130" s="3">
        <v>5.0000000000000001E-3</v>
      </c>
      <c r="BZ130" s="3">
        <v>0.125</v>
      </c>
      <c r="CA130" s="3">
        <v>0.46500000000000002</v>
      </c>
      <c r="CB130" s="3">
        <v>0.11799999999999999</v>
      </c>
      <c r="CC130" s="3">
        <v>0.42599999999999999</v>
      </c>
      <c r="CD130" s="3">
        <v>0.701333333</v>
      </c>
      <c r="CE130" s="3">
        <v>7.6999999999999999E-2</v>
      </c>
      <c r="CF130" s="3">
        <v>0.31</v>
      </c>
      <c r="CG130" s="3">
        <v>0.67149999999999999</v>
      </c>
      <c r="CH130" s="3">
        <v>7.5999999999999998E-2</v>
      </c>
      <c r="CI130" s="3">
        <v>0.31</v>
      </c>
      <c r="CJ130" s="3">
        <v>0.69499999999999995</v>
      </c>
      <c r="CK130" s="3">
        <v>4.4999999999999998E-2</v>
      </c>
      <c r="CL130" s="3">
        <v>0.32900000000000001</v>
      </c>
      <c r="CM130" s="3">
        <v>0.1</v>
      </c>
      <c r="CN130" s="3">
        <v>5.2999999999999999E-2</v>
      </c>
      <c r="CO130" s="3">
        <v>0.19500000000000001</v>
      </c>
      <c r="CP130" s="3">
        <v>0.442</v>
      </c>
      <c r="CQ130" s="3">
        <v>0.04</v>
      </c>
      <c r="CR130" s="3">
        <v>0.30499999999999999</v>
      </c>
      <c r="CS130" s="3">
        <v>0.59099999999999997</v>
      </c>
      <c r="CT130" s="48" t="s">
        <v>319</v>
      </c>
      <c r="CU130" s="49" t="s">
        <v>336</v>
      </c>
      <c r="CV130" s="3">
        <v>9.3580000000000005</v>
      </c>
      <c r="CW130" s="3">
        <v>8.73</v>
      </c>
      <c r="CX130" s="3">
        <v>9.0510000000000002</v>
      </c>
      <c r="CY130" s="3">
        <v>8.6630000000000003</v>
      </c>
      <c r="CZ130" s="3">
        <v>8.9250000000000007</v>
      </c>
      <c r="DA130" s="3">
        <v>9.3469999999999995</v>
      </c>
      <c r="DB130" s="3">
        <v>6.86</v>
      </c>
      <c r="DC130" s="3">
        <v>10.742000000000001</v>
      </c>
      <c r="DD130" s="3">
        <v>8.5670000000000002</v>
      </c>
      <c r="DE130" s="3">
        <v>8.5519999999999996</v>
      </c>
      <c r="DF130" s="3">
        <v>9.6379999999999999</v>
      </c>
      <c r="DG130" s="3">
        <v>8.9670000000000005</v>
      </c>
      <c r="DH130" s="3">
        <v>9.1829999999999998</v>
      </c>
    </row>
    <row r="131" spans="1:112" x14ac:dyDescent="0.3">
      <c r="A131" s="48" t="s">
        <v>319</v>
      </c>
      <c r="B131" s="49" t="s">
        <v>337</v>
      </c>
      <c r="C131" s="3">
        <v>33.380127000000002</v>
      </c>
      <c r="D131" s="3">
        <v>21.816641000000001</v>
      </c>
      <c r="E131" s="3">
        <v>31.825496999999999</v>
      </c>
      <c r="F131" s="3">
        <v>38.198134000000003</v>
      </c>
      <c r="G131" s="3">
        <v>38.198134000000003</v>
      </c>
      <c r="H131" s="3">
        <v>30.574390000000001</v>
      </c>
      <c r="I131" s="48" t="s">
        <v>319</v>
      </c>
      <c r="J131" s="49" t="s">
        <v>337</v>
      </c>
      <c r="K131" s="3">
        <v>29787</v>
      </c>
      <c r="L131" s="48" t="s">
        <v>319</v>
      </c>
      <c r="M131" s="49" t="s">
        <v>337</v>
      </c>
      <c r="N131" s="3">
        <v>3445.3317630000001</v>
      </c>
      <c r="O131" s="3">
        <v>3801.6926039999998</v>
      </c>
      <c r="P131" s="3">
        <v>1537.042938</v>
      </c>
      <c r="Q131" s="3">
        <v>1056.0976069999999</v>
      </c>
      <c r="R131" s="3">
        <v>3727.1359160000002</v>
      </c>
      <c r="S131" s="3">
        <v>2821.818064</v>
      </c>
      <c r="T131" s="3">
        <v>2672.7605739999999</v>
      </c>
      <c r="U131" s="3">
        <v>4423.4294319999999</v>
      </c>
      <c r="V131" s="3">
        <v>3043.638207</v>
      </c>
      <c r="W131" s="3">
        <v>2299.7550719999999</v>
      </c>
      <c r="X131" s="3">
        <v>2751.0625909999999</v>
      </c>
      <c r="Y131" s="3">
        <v>190.7075868</v>
      </c>
      <c r="Z131" s="3">
        <v>586.2222481</v>
      </c>
      <c r="AA131" s="48" t="s">
        <v>319</v>
      </c>
      <c r="AB131" s="49" t="s">
        <v>337</v>
      </c>
      <c r="AC131" s="3">
        <v>1050.569084</v>
      </c>
      <c r="AD131" s="3">
        <v>944.6178913</v>
      </c>
      <c r="AE131" s="3">
        <v>599.67221840000002</v>
      </c>
      <c r="AF131" s="3">
        <v>189.27897129999999</v>
      </c>
      <c r="AG131" s="3">
        <v>1828.1157499999999</v>
      </c>
      <c r="AH131" s="3">
        <v>1261.2508089999999</v>
      </c>
      <c r="AI131" s="3">
        <v>1213.6012900000001</v>
      </c>
      <c r="AJ131" s="3">
        <v>1263.9409310000001</v>
      </c>
      <c r="AK131" s="3">
        <v>527.94517240000005</v>
      </c>
      <c r="AL131" s="3">
        <v>779.21227490000001</v>
      </c>
      <c r="AM131" s="3">
        <v>1288.3802889999999</v>
      </c>
      <c r="AN131" s="3">
        <v>157.63911139999999</v>
      </c>
      <c r="AO131" s="3">
        <v>520.78832020000004</v>
      </c>
      <c r="AP131" s="48" t="s">
        <v>319</v>
      </c>
      <c r="AQ131" s="49" t="s">
        <v>337</v>
      </c>
      <c r="AR131" s="3">
        <v>1096.849608</v>
      </c>
      <c r="AS131" s="3">
        <v>1378.904771</v>
      </c>
      <c r="AT131" s="3">
        <v>1314.1794500000001</v>
      </c>
      <c r="AU131" s="3">
        <v>1034.2386959999999</v>
      </c>
      <c r="AV131" s="3">
        <v>183.24157500000001</v>
      </c>
      <c r="AW131" s="3">
        <v>1872.1395419999999</v>
      </c>
      <c r="AX131" s="3">
        <v>1154.5723829999999</v>
      </c>
      <c r="AY131" s="3">
        <v>1823.4525000000001</v>
      </c>
      <c r="AZ131" s="3">
        <v>653.50539600000002</v>
      </c>
      <c r="BA131" s="3">
        <v>411.24489899999998</v>
      </c>
      <c r="BB131" s="3">
        <v>562.6870275</v>
      </c>
      <c r="BC131" s="3">
        <v>193.33130850000001</v>
      </c>
      <c r="BD131" s="3">
        <v>990.36569850000001</v>
      </c>
      <c r="BE131" s="48" t="s">
        <v>319</v>
      </c>
      <c r="BF131" s="49" t="s">
        <v>337</v>
      </c>
      <c r="BG131" s="3">
        <v>0.26100000000000001</v>
      </c>
      <c r="BH131" s="3">
        <v>0.30499999999999999</v>
      </c>
      <c r="BI131" s="3">
        <v>0.52600000000000002</v>
      </c>
      <c r="BJ131" s="3">
        <v>0.27600000000000002</v>
      </c>
      <c r="BK131" s="3">
        <v>0.20699999999999999</v>
      </c>
      <c r="BL131" s="3">
        <v>0.65900000000000003</v>
      </c>
      <c r="BM131" s="3">
        <v>0.19600000000000001</v>
      </c>
      <c r="BN131" s="3">
        <v>0.16</v>
      </c>
      <c r="BO131" s="3">
        <v>0.45100000000000001</v>
      </c>
      <c r="BP131" s="3">
        <v>6.6000000000000003E-2</v>
      </c>
      <c r="BQ131" s="3">
        <v>0.14799999999999999</v>
      </c>
      <c r="BR131" s="3">
        <v>0.36733333299999998</v>
      </c>
      <c r="BS131" s="3">
        <v>0.316</v>
      </c>
      <c r="BT131" s="3">
        <v>0.27800000000000002</v>
      </c>
      <c r="BU131" s="3">
        <v>0.60850000000000004</v>
      </c>
      <c r="BV131" s="3">
        <v>0.17299999999999999</v>
      </c>
      <c r="BW131" s="3">
        <v>0.17499999999999999</v>
      </c>
      <c r="BX131" s="3">
        <v>0.32500000000000001</v>
      </c>
      <c r="BY131" s="3">
        <v>3.7999999999999999E-2</v>
      </c>
      <c r="BZ131" s="3">
        <v>0.126</v>
      </c>
      <c r="CA131" s="3">
        <v>0.40400000000000003</v>
      </c>
      <c r="CB131" s="3">
        <v>0.317</v>
      </c>
      <c r="CC131" s="3">
        <v>0.41399999999999998</v>
      </c>
      <c r="CD131" s="3">
        <v>0.69099999999999995</v>
      </c>
      <c r="CE131" s="3">
        <v>0.30099999999999999</v>
      </c>
      <c r="CF131" s="3">
        <v>0.28499999999999998</v>
      </c>
      <c r="CG131" s="3">
        <v>0.67500000000000004</v>
      </c>
      <c r="CH131" s="3">
        <v>0.29899999999999999</v>
      </c>
      <c r="CI131" s="3">
        <v>0.28499999999999998</v>
      </c>
      <c r="CJ131" s="3">
        <v>0.67433333299999998</v>
      </c>
      <c r="CK131" s="3">
        <v>0.214</v>
      </c>
      <c r="CL131" s="3">
        <v>0.30199999999999999</v>
      </c>
      <c r="CM131" s="3">
        <v>0.1</v>
      </c>
      <c r="CN131" s="3">
        <v>0.23599999999999999</v>
      </c>
      <c r="CO131" s="3">
        <v>0.14899999999999999</v>
      </c>
      <c r="CP131" s="3">
        <v>0.40666666699999998</v>
      </c>
      <c r="CQ131" s="3">
        <v>0.18</v>
      </c>
      <c r="CR131" s="3">
        <v>0.26200000000000001</v>
      </c>
      <c r="CS131" s="3">
        <v>0.53</v>
      </c>
      <c r="CT131" s="48" t="s">
        <v>319</v>
      </c>
      <c r="CU131" s="49" t="s">
        <v>337</v>
      </c>
      <c r="CV131" s="3">
        <v>10.989000000000001</v>
      </c>
      <c r="CW131" s="3">
        <v>10.558999999999999</v>
      </c>
      <c r="CX131" s="3">
        <v>10.608000000000001</v>
      </c>
      <c r="CY131" s="3">
        <v>9.41</v>
      </c>
      <c r="CZ131" s="3">
        <v>10.785</v>
      </c>
      <c r="DA131" s="3">
        <v>10.345000000000001</v>
      </c>
      <c r="DB131" s="3">
        <v>7.5540000000000003</v>
      </c>
      <c r="DC131" s="3">
        <v>12.111000000000001</v>
      </c>
      <c r="DD131" s="3">
        <v>10.045</v>
      </c>
      <c r="DE131" s="3">
        <v>10.023</v>
      </c>
      <c r="DF131" s="3">
        <v>10.426</v>
      </c>
      <c r="DG131" s="3">
        <v>9.7509999999999994</v>
      </c>
      <c r="DH131" s="3">
        <v>9.9860000000000007</v>
      </c>
    </row>
    <row r="132" spans="1:112" x14ac:dyDescent="0.3">
      <c r="A132" s="48" t="s">
        <v>319</v>
      </c>
      <c r="B132" s="49" t="s">
        <v>338</v>
      </c>
      <c r="C132" s="3">
        <v>35.660251000000002</v>
      </c>
      <c r="D132" s="3">
        <v>23.067748000000002</v>
      </c>
      <c r="E132" s="3">
        <v>35.534399999999998</v>
      </c>
      <c r="F132" s="3">
        <v>37.961911000000001</v>
      </c>
      <c r="G132" s="3">
        <v>37.961911000000001</v>
      </c>
      <c r="H132" s="3">
        <v>33.868724999999998</v>
      </c>
      <c r="I132" s="48" t="s">
        <v>319</v>
      </c>
      <c r="J132" s="49" t="s">
        <v>338</v>
      </c>
      <c r="K132" s="3">
        <v>30714.5</v>
      </c>
      <c r="L132" s="48" t="s">
        <v>319</v>
      </c>
      <c r="M132" s="49" t="s">
        <v>338</v>
      </c>
      <c r="N132" s="3">
        <v>3221.803629</v>
      </c>
      <c r="O132" s="3">
        <v>3756.7084500000001</v>
      </c>
      <c r="P132" s="3">
        <v>1380.9131159999999</v>
      </c>
      <c r="Q132" s="3">
        <v>1339.4385360000001</v>
      </c>
      <c r="R132" s="3">
        <v>4057.878866</v>
      </c>
      <c r="S132" s="3">
        <v>3479.380365</v>
      </c>
      <c r="T132" s="3">
        <v>2429.381828</v>
      </c>
      <c r="U132" s="3">
        <v>3259.5324129999999</v>
      </c>
      <c r="V132" s="3">
        <v>2356.9352020000001</v>
      </c>
      <c r="W132" s="3">
        <v>2266.279211</v>
      </c>
      <c r="X132" s="3">
        <v>3093.0423190000001</v>
      </c>
      <c r="Y132" s="3">
        <v>256.37362050000002</v>
      </c>
      <c r="Z132" s="3">
        <v>840.33740490000002</v>
      </c>
      <c r="AA132" s="48" t="s">
        <v>319</v>
      </c>
      <c r="AB132" s="49" t="s">
        <v>338</v>
      </c>
      <c r="AC132" s="3">
        <v>922.1075376</v>
      </c>
      <c r="AD132" s="3">
        <v>829.111851</v>
      </c>
      <c r="AE132" s="3">
        <v>526.34546469999998</v>
      </c>
      <c r="AF132" s="3">
        <v>171.283008</v>
      </c>
      <c r="AG132" s="3">
        <v>1604.5773079999999</v>
      </c>
      <c r="AH132" s="3">
        <v>1107.0275099999999</v>
      </c>
      <c r="AI132" s="3">
        <v>1065.2044820000001</v>
      </c>
      <c r="AJ132" s="3">
        <v>1109.38869</v>
      </c>
      <c r="AK132" s="3">
        <v>463.38906250000002</v>
      </c>
      <c r="AL132" s="3">
        <v>683.93171199999995</v>
      </c>
      <c r="AM132" s="3">
        <v>1130.839651</v>
      </c>
      <c r="AN132" s="3">
        <v>138.36330720000001</v>
      </c>
      <c r="AO132" s="3">
        <v>457.10733640000001</v>
      </c>
      <c r="AP132" s="48" t="s">
        <v>319</v>
      </c>
      <c r="AQ132" s="49" t="s">
        <v>338</v>
      </c>
      <c r="AR132" s="3">
        <v>1025.7026060000001</v>
      </c>
      <c r="AS132" s="3">
        <v>1289.462299</v>
      </c>
      <c r="AT132" s="3">
        <v>1228.935377</v>
      </c>
      <c r="AU132" s="3">
        <v>991.469427</v>
      </c>
      <c r="AV132" s="3">
        <v>171.35563500000001</v>
      </c>
      <c r="AW132" s="3">
        <v>1750.7034639999999</v>
      </c>
      <c r="AX132" s="3">
        <v>1079.6812010000001</v>
      </c>
      <c r="AY132" s="3">
        <v>1705.1745000000001</v>
      </c>
      <c r="AZ132" s="3">
        <v>611.11585679999996</v>
      </c>
      <c r="BA132" s="3">
        <v>384.56955420000003</v>
      </c>
      <c r="BB132" s="3">
        <v>526.18840950000003</v>
      </c>
      <c r="BC132" s="3">
        <v>180.79089930000001</v>
      </c>
      <c r="BD132" s="3">
        <v>926.12576130000002</v>
      </c>
      <c r="BE132" s="48" t="s">
        <v>319</v>
      </c>
      <c r="BF132" s="49" t="s">
        <v>338</v>
      </c>
      <c r="BG132" s="3">
        <v>0.46200000000000002</v>
      </c>
      <c r="BH132" s="3">
        <v>0.39300000000000002</v>
      </c>
      <c r="BI132" s="3">
        <v>0.52300000000000002</v>
      </c>
      <c r="BJ132" s="3">
        <v>0.44600000000000001</v>
      </c>
      <c r="BK132" s="3">
        <v>0.28799999999999998</v>
      </c>
      <c r="BL132" s="3">
        <v>0.66749999999999998</v>
      </c>
      <c r="BM132" s="3">
        <v>0.34200000000000003</v>
      </c>
      <c r="BN132" s="3">
        <v>0.224</v>
      </c>
      <c r="BO132" s="3">
        <v>0.48449999999999999</v>
      </c>
      <c r="BP132" s="3">
        <v>0.16600000000000001</v>
      </c>
      <c r="BQ132" s="3">
        <v>0.17499999999999999</v>
      </c>
      <c r="BR132" s="3">
        <v>0.367666667</v>
      </c>
      <c r="BS132" s="3">
        <v>0.47699999999999998</v>
      </c>
      <c r="BT132" s="3">
        <v>0.36099999999999999</v>
      </c>
      <c r="BU132" s="3">
        <v>0.59799999999999998</v>
      </c>
      <c r="BV132" s="3">
        <v>0.35199999999999998</v>
      </c>
      <c r="BW132" s="3">
        <v>0.217</v>
      </c>
      <c r="BX132" s="3">
        <v>0.33800000000000002</v>
      </c>
      <c r="BY132" s="3">
        <v>9.2999999999999999E-2</v>
      </c>
      <c r="BZ132" s="3">
        <v>0.13800000000000001</v>
      </c>
      <c r="CA132" s="3">
        <v>0.35499999999999998</v>
      </c>
      <c r="CB132" s="3">
        <v>0.49199999999999999</v>
      </c>
      <c r="CC132" s="3">
        <v>0.438</v>
      </c>
      <c r="CD132" s="3">
        <v>0.67300000000000004</v>
      </c>
      <c r="CE132" s="3">
        <v>0.46700000000000003</v>
      </c>
      <c r="CF132" s="3">
        <v>0.373</v>
      </c>
      <c r="CG132" s="3">
        <v>0.6905</v>
      </c>
      <c r="CH132" s="3">
        <v>0.46500000000000002</v>
      </c>
      <c r="CI132" s="3">
        <v>0.372</v>
      </c>
      <c r="CJ132" s="3">
        <v>0.673666667</v>
      </c>
      <c r="CK132" s="3">
        <v>0.39200000000000002</v>
      </c>
      <c r="CL132" s="3">
        <v>0.33200000000000002</v>
      </c>
      <c r="CM132" s="3">
        <v>0.1</v>
      </c>
      <c r="CN132" s="3">
        <v>0.433</v>
      </c>
      <c r="CO132" s="3">
        <v>0.16500000000000001</v>
      </c>
      <c r="CP132" s="3">
        <v>0.39</v>
      </c>
      <c r="CQ132" s="3">
        <v>0.372</v>
      </c>
      <c r="CR132" s="3">
        <v>0.27400000000000002</v>
      </c>
      <c r="CS132" s="3">
        <v>0.47399999999999998</v>
      </c>
      <c r="CT132" s="48" t="s">
        <v>319</v>
      </c>
      <c r="CU132" s="49" t="s">
        <v>338</v>
      </c>
      <c r="CV132" s="3">
        <v>12.529</v>
      </c>
      <c r="CW132" s="3">
        <v>12.071</v>
      </c>
      <c r="CX132" s="3">
        <v>11.887</v>
      </c>
      <c r="CY132" s="3">
        <v>10.215</v>
      </c>
      <c r="CZ132" s="3">
        <v>12.663</v>
      </c>
      <c r="DA132" s="3">
        <v>11.707000000000001</v>
      </c>
      <c r="DB132" s="3">
        <v>8.1929999999999996</v>
      </c>
      <c r="DC132" s="3">
        <v>13.115</v>
      </c>
      <c r="DD132" s="3">
        <v>12.053000000000001</v>
      </c>
      <c r="DE132" s="3">
        <v>12.026999999999999</v>
      </c>
      <c r="DF132" s="3">
        <v>11.592000000000001</v>
      </c>
      <c r="DG132" s="3">
        <v>10.781000000000001</v>
      </c>
      <c r="DH132" s="3">
        <v>11.173</v>
      </c>
    </row>
    <row r="133" spans="1:112" x14ac:dyDescent="0.3">
      <c r="A133" s="48" t="s">
        <v>319</v>
      </c>
      <c r="B133" s="49" t="s">
        <v>339</v>
      </c>
      <c r="C133" s="3">
        <v>34.72007</v>
      </c>
      <c r="D133" s="3">
        <v>27.650205</v>
      </c>
      <c r="E133" s="3">
        <v>25.910499999999999</v>
      </c>
      <c r="F133" s="3">
        <v>37.795679999999997</v>
      </c>
      <c r="G133" s="3">
        <v>37.795679999999997</v>
      </c>
      <c r="H133" s="3">
        <v>29.500955000000001</v>
      </c>
      <c r="I133" s="48" t="s">
        <v>319</v>
      </c>
      <c r="J133" s="49" t="s">
        <v>339</v>
      </c>
      <c r="K133" s="3">
        <v>30979</v>
      </c>
      <c r="L133" s="48" t="s">
        <v>319</v>
      </c>
      <c r="M133" s="49" t="s">
        <v>339</v>
      </c>
      <c r="N133" s="3">
        <v>2290.9813559999998</v>
      </c>
      <c r="O133" s="3">
        <v>2811.6597099999999</v>
      </c>
      <c r="P133" s="3">
        <v>815.43237409999995</v>
      </c>
      <c r="Q133" s="3">
        <v>1218.882249</v>
      </c>
      <c r="R133" s="3">
        <v>3501.5764640000002</v>
      </c>
      <c r="S133" s="3">
        <v>3081.7444169999999</v>
      </c>
      <c r="T133" s="3">
        <v>1981.4148970000001</v>
      </c>
      <c r="U133" s="3">
        <v>2570.6360060000002</v>
      </c>
      <c r="V133" s="3">
        <v>1676.504428</v>
      </c>
      <c r="W133" s="3">
        <v>1807.5262869999999</v>
      </c>
      <c r="X133" s="3">
        <v>2512.928093</v>
      </c>
      <c r="Y133" s="3">
        <v>186.548</v>
      </c>
      <c r="Z133" s="3">
        <v>853.91499720000002</v>
      </c>
      <c r="AA133" s="48" t="s">
        <v>319</v>
      </c>
      <c r="AB133" s="49" t="s">
        <v>339</v>
      </c>
      <c r="AC133" s="3">
        <v>950.43946770000002</v>
      </c>
      <c r="AD133" s="3">
        <v>854.58647089999999</v>
      </c>
      <c r="AE133" s="3">
        <v>542.51752959999999</v>
      </c>
      <c r="AF133" s="3">
        <v>174.6251154</v>
      </c>
      <c r="AG133" s="3">
        <v>1653.878252</v>
      </c>
      <c r="AH133" s="3">
        <v>1141.041142</v>
      </c>
      <c r="AI133" s="3">
        <v>1097.9330930000001</v>
      </c>
      <c r="AJ133" s="3">
        <v>1143.4748689999999</v>
      </c>
      <c r="AK133" s="3">
        <v>477.62677989999997</v>
      </c>
      <c r="AL133" s="3">
        <v>704.94564439999999</v>
      </c>
      <c r="AM133" s="3">
        <v>1165.5849149999999</v>
      </c>
      <c r="AN133" s="3">
        <v>142.61454620000001</v>
      </c>
      <c r="AO133" s="3">
        <v>471.15204649999998</v>
      </c>
      <c r="AP133" s="48" t="s">
        <v>319</v>
      </c>
      <c r="AQ133" s="49" t="s">
        <v>339</v>
      </c>
      <c r="AR133" s="3">
        <v>962.46082720000004</v>
      </c>
      <c r="AS133" s="3">
        <v>1209.9578799999999</v>
      </c>
      <c r="AT133" s="3">
        <v>1153.1628679999999</v>
      </c>
      <c r="AU133" s="3">
        <v>946.75609989999998</v>
      </c>
      <c r="AV133" s="3">
        <v>160.79035500000001</v>
      </c>
      <c r="AW133" s="3">
        <v>1642.7602830000001</v>
      </c>
      <c r="AX133" s="3">
        <v>1013.111262</v>
      </c>
      <c r="AY133" s="3">
        <v>1600.0385000000001</v>
      </c>
      <c r="AZ133" s="3">
        <v>573.43626640000002</v>
      </c>
      <c r="BA133" s="3">
        <v>360.85813660000002</v>
      </c>
      <c r="BB133" s="3">
        <v>493.74519350000003</v>
      </c>
      <c r="BC133" s="3">
        <v>169.6438689</v>
      </c>
      <c r="BD133" s="3">
        <v>869.02359490000003</v>
      </c>
      <c r="BE133" s="48" t="s">
        <v>319</v>
      </c>
      <c r="BF133" s="49" t="s">
        <v>339</v>
      </c>
      <c r="BG133" s="3">
        <v>0.57099999999999995</v>
      </c>
      <c r="BH133" s="3">
        <v>0.35199999999999998</v>
      </c>
      <c r="BI133" s="3">
        <v>0.48199999999999998</v>
      </c>
      <c r="BJ133" s="3">
        <v>0.53700000000000003</v>
      </c>
      <c r="BK133" s="3">
        <v>0.26100000000000001</v>
      </c>
      <c r="BL133" s="3">
        <v>0.629</v>
      </c>
      <c r="BM133" s="3">
        <v>0.43099999999999999</v>
      </c>
      <c r="BN133" s="3">
        <v>0.24399999999999999</v>
      </c>
      <c r="BO133" s="3">
        <v>0.496</v>
      </c>
      <c r="BP133" s="3">
        <v>0.23799999999999999</v>
      </c>
      <c r="BQ133" s="3">
        <v>0.20100000000000001</v>
      </c>
      <c r="BR133" s="3">
        <v>0.36533333299999998</v>
      </c>
      <c r="BS133" s="3">
        <v>0.57299999999999995</v>
      </c>
      <c r="BT133" s="3">
        <v>0.32800000000000001</v>
      </c>
      <c r="BU133" s="3">
        <v>0.54433333399999995</v>
      </c>
      <c r="BV133" s="3">
        <v>0.47399999999999998</v>
      </c>
      <c r="BW133" s="3">
        <v>0.19500000000000001</v>
      </c>
      <c r="BX133" s="3">
        <v>0.29399999999999998</v>
      </c>
      <c r="BY133" s="3">
        <v>0.16500000000000001</v>
      </c>
      <c r="BZ133" s="3">
        <v>0.153</v>
      </c>
      <c r="CA133" s="3">
        <v>0.39050000000000001</v>
      </c>
      <c r="CB133" s="3">
        <v>0.59799999999999998</v>
      </c>
      <c r="CC133" s="3">
        <v>0.40699999999999997</v>
      </c>
      <c r="CD133" s="3">
        <v>0.60666666700000005</v>
      </c>
      <c r="CE133" s="3">
        <v>0.57499999999999996</v>
      </c>
      <c r="CF133" s="3">
        <v>0.35499999999999998</v>
      </c>
      <c r="CG133" s="3">
        <v>0.66949999999999998</v>
      </c>
      <c r="CH133" s="3">
        <v>0.57299999999999995</v>
      </c>
      <c r="CI133" s="3">
        <v>0.35499999999999998</v>
      </c>
      <c r="CJ133" s="3">
        <v>0.64066666699999997</v>
      </c>
      <c r="CK133" s="3">
        <v>0.51600000000000001</v>
      </c>
      <c r="CL133" s="3">
        <v>0.309</v>
      </c>
      <c r="CM133" s="3">
        <v>0.1</v>
      </c>
      <c r="CN133" s="3">
        <v>0.54900000000000004</v>
      </c>
      <c r="CO133" s="3">
        <v>0.14699999999999999</v>
      </c>
      <c r="CP133" s="3">
        <v>0.34666666699999998</v>
      </c>
      <c r="CQ133" s="3">
        <v>0.49</v>
      </c>
      <c r="CR133" s="3">
        <v>0.25900000000000001</v>
      </c>
      <c r="CS133" s="3">
        <v>0.40500000000000003</v>
      </c>
      <c r="CT133" s="48" t="s">
        <v>319</v>
      </c>
      <c r="CU133" s="49" t="s">
        <v>339</v>
      </c>
      <c r="CV133" s="3">
        <v>13.394</v>
      </c>
      <c r="CW133" s="3">
        <v>12.959</v>
      </c>
      <c r="CX133" s="3">
        <v>12.667</v>
      </c>
      <c r="CY133" s="3">
        <v>10.891999999999999</v>
      </c>
      <c r="CZ133" s="3">
        <v>13.776</v>
      </c>
      <c r="DA133" s="3">
        <v>12.641999999999999</v>
      </c>
      <c r="DB133" s="3">
        <v>8.8680000000000003</v>
      </c>
      <c r="DC133" s="3">
        <v>13.724</v>
      </c>
      <c r="DD133" s="3">
        <v>13.513999999999999</v>
      </c>
      <c r="DE133" s="3">
        <v>13.493</v>
      </c>
      <c r="DF133" s="3">
        <v>12.733000000000001</v>
      </c>
      <c r="DG133" s="3">
        <v>11.86</v>
      </c>
      <c r="DH133" s="3">
        <v>12.236000000000001</v>
      </c>
    </row>
    <row r="134" spans="1:112" x14ac:dyDescent="0.3">
      <c r="A134" s="48" t="s">
        <v>319</v>
      </c>
      <c r="B134" s="49" t="s">
        <v>340</v>
      </c>
      <c r="C134" s="3">
        <v>34.379531999999998</v>
      </c>
      <c r="D134" s="3">
        <v>21.039325999999999</v>
      </c>
      <c r="E134" s="3">
        <v>25.880887999999999</v>
      </c>
      <c r="F134" s="3">
        <v>37.743186000000001</v>
      </c>
      <c r="G134" s="3">
        <v>37.743186000000001</v>
      </c>
      <c r="H134" s="3">
        <v>23.171389999999999</v>
      </c>
      <c r="I134" s="48" t="s">
        <v>319</v>
      </c>
      <c r="J134" s="49" t="s">
        <v>340</v>
      </c>
      <c r="K134" s="3">
        <v>31191</v>
      </c>
      <c r="L134" s="48" t="s">
        <v>319</v>
      </c>
      <c r="M134" s="49" t="s">
        <v>340</v>
      </c>
      <c r="N134" s="3">
        <v>1487.3100810000001</v>
      </c>
      <c r="O134" s="3">
        <v>1946.4355109999999</v>
      </c>
      <c r="P134" s="3">
        <v>595.95983249999995</v>
      </c>
      <c r="Q134" s="3">
        <v>891.51343199999997</v>
      </c>
      <c r="R134" s="3">
        <v>2891.1932550000001</v>
      </c>
      <c r="S134" s="3">
        <v>2515.8557179999998</v>
      </c>
      <c r="T134" s="3">
        <v>1683.537065</v>
      </c>
      <c r="U134" s="3">
        <v>2682.2412199999999</v>
      </c>
      <c r="V134" s="3">
        <v>1272.0843460000001</v>
      </c>
      <c r="W134" s="3">
        <v>1387.1673499999999</v>
      </c>
      <c r="X134" s="3">
        <v>2042.821594</v>
      </c>
      <c r="Y134" s="3">
        <v>113.95242709999999</v>
      </c>
      <c r="Z134" s="3">
        <v>702.40680069999996</v>
      </c>
      <c r="AA134" s="48" t="s">
        <v>319</v>
      </c>
      <c r="AB134" s="49" t="s">
        <v>340</v>
      </c>
      <c r="AC134" s="3">
        <v>973.08741420000001</v>
      </c>
      <c r="AD134" s="3">
        <v>874.95034399999997</v>
      </c>
      <c r="AE134" s="3">
        <v>555.44513670000003</v>
      </c>
      <c r="AF134" s="3">
        <v>181.5889105</v>
      </c>
      <c r="AG134" s="3">
        <v>1693.2883859999999</v>
      </c>
      <c r="AH134" s="3">
        <v>1168.2309210000001</v>
      </c>
      <c r="AI134" s="3">
        <v>1124.095654</v>
      </c>
      <c r="AJ134" s="3">
        <v>1170.7226410000001</v>
      </c>
      <c r="AK134" s="3">
        <v>489.00811049999999</v>
      </c>
      <c r="AL134" s="3">
        <v>721.74373809999997</v>
      </c>
      <c r="AM134" s="3">
        <v>1193.359545</v>
      </c>
      <c r="AN134" s="3">
        <v>146.01289689999999</v>
      </c>
      <c r="AO134" s="3">
        <v>482.3790912</v>
      </c>
      <c r="AP134" s="48" t="s">
        <v>319</v>
      </c>
      <c r="AQ134" s="49" t="s">
        <v>340</v>
      </c>
      <c r="AR134" s="3">
        <v>883.40860320000002</v>
      </c>
      <c r="AS134" s="3">
        <v>1110.577356</v>
      </c>
      <c r="AT134" s="3">
        <v>1058.447232</v>
      </c>
      <c r="AU134" s="3">
        <v>892.32248430000004</v>
      </c>
      <c r="AV134" s="3">
        <v>147.583755</v>
      </c>
      <c r="AW134" s="3">
        <v>1507.8313069999999</v>
      </c>
      <c r="AX134" s="3">
        <v>929.8988382</v>
      </c>
      <c r="AY134" s="3">
        <v>1468.6185</v>
      </c>
      <c r="AZ134" s="3">
        <v>526.33677839999996</v>
      </c>
      <c r="BA134" s="3">
        <v>331.21886460000002</v>
      </c>
      <c r="BB134" s="3">
        <v>453.19117349999999</v>
      </c>
      <c r="BC134" s="3">
        <v>155.71008090000001</v>
      </c>
      <c r="BD134" s="3">
        <v>797.64588690000005</v>
      </c>
      <c r="BE134" s="48" t="s">
        <v>319</v>
      </c>
      <c r="BF134" s="49" t="s">
        <v>340</v>
      </c>
      <c r="BG134" s="3">
        <v>0.63600000000000001</v>
      </c>
      <c r="BH134" s="3">
        <v>0.30499999999999999</v>
      </c>
      <c r="BI134" s="3">
        <v>0.42849999999999999</v>
      </c>
      <c r="BJ134" s="3">
        <v>0.56000000000000005</v>
      </c>
      <c r="BK134" s="3">
        <v>0.22500000000000001</v>
      </c>
      <c r="BL134" s="3">
        <v>0.57850000000000001</v>
      </c>
      <c r="BM134" s="3">
        <v>0.46899999999999997</v>
      </c>
      <c r="BN134" s="3">
        <v>0.22</v>
      </c>
      <c r="BO134" s="3">
        <v>0.46500000000000002</v>
      </c>
      <c r="BP134" s="3">
        <v>0.25700000000000001</v>
      </c>
      <c r="BQ134" s="3">
        <v>0.183</v>
      </c>
      <c r="BR134" s="3">
        <v>0.32766666700000002</v>
      </c>
      <c r="BS134" s="3">
        <v>0.63100000000000001</v>
      </c>
      <c r="BT134" s="3">
        <v>0.28999999999999998</v>
      </c>
      <c r="BU134" s="3">
        <v>0.48091666700000002</v>
      </c>
      <c r="BV134" s="3">
        <v>0.51200000000000001</v>
      </c>
      <c r="BW134" s="3">
        <v>0.158</v>
      </c>
      <c r="BX134" s="3">
        <v>0.23300000000000001</v>
      </c>
      <c r="BY134" s="3">
        <v>0.19400000000000001</v>
      </c>
      <c r="BZ134" s="3">
        <v>0.155</v>
      </c>
      <c r="CA134" s="3">
        <v>0.441</v>
      </c>
      <c r="CB134" s="3">
        <v>0.65600000000000003</v>
      </c>
      <c r="CC134" s="3">
        <v>0.376</v>
      </c>
      <c r="CD134" s="3">
        <v>0.53333333299999997</v>
      </c>
      <c r="CE134" s="3">
        <v>0.63500000000000001</v>
      </c>
      <c r="CF134" s="3">
        <v>0.318</v>
      </c>
      <c r="CG134" s="3">
        <v>0.64200000000000002</v>
      </c>
      <c r="CH134" s="3">
        <v>0.63300000000000001</v>
      </c>
      <c r="CI134" s="3">
        <v>0.317</v>
      </c>
      <c r="CJ134" s="3">
        <v>0.59599999999999997</v>
      </c>
      <c r="CK134" s="3">
        <v>0.57499999999999996</v>
      </c>
      <c r="CL134" s="3">
        <v>0.27200000000000002</v>
      </c>
      <c r="CM134" s="3">
        <v>0.1</v>
      </c>
      <c r="CN134" s="3">
        <v>0.6</v>
      </c>
      <c r="CO134" s="3">
        <v>0.11799999999999999</v>
      </c>
      <c r="CP134" s="3">
        <v>0.29899999999999999</v>
      </c>
      <c r="CQ134" s="3">
        <v>0.55200000000000005</v>
      </c>
      <c r="CR134" s="3">
        <v>0.22700000000000001</v>
      </c>
      <c r="CS134" s="3">
        <v>0.35499999999999998</v>
      </c>
      <c r="CT134" s="48" t="s">
        <v>319</v>
      </c>
      <c r="CU134" s="49" t="s">
        <v>340</v>
      </c>
      <c r="CV134" s="3">
        <v>13.977</v>
      </c>
      <c r="CW134" s="3">
        <v>13.56</v>
      </c>
      <c r="CX134" s="3">
        <v>13.073</v>
      </c>
      <c r="CY134" s="3">
        <v>11.382</v>
      </c>
      <c r="CZ134" s="3">
        <v>14.56</v>
      </c>
      <c r="DA134" s="3">
        <v>13.327</v>
      </c>
      <c r="DB134" s="3">
        <v>9.4550000000000001</v>
      </c>
      <c r="DC134" s="3">
        <v>14.12</v>
      </c>
      <c r="DD134" s="3">
        <v>14.58</v>
      </c>
      <c r="DE134" s="3">
        <v>14.565</v>
      </c>
      <c r="DF134" s="3">
        <v>13.715999999999999</v>
      </c>
      <c r="DG134" s="3">
        <v>12.722</v>
      </c>
      <c r="DH134" s="3">
        <v>13.089</v>
      </c>
    </row>
    <row r="135" spans="1:112" x14ac:dyDescent="0.3">
      <c r="A135" s="48" t="s">
        <v>319</v>
      </c>
      <c r="B135" s="49" t="s">
        <v>341</v>
      </c>
      <c r="C135" s="3">
        <v>35.038398999999998</v>
      </c>
      <c r="D135" s="3">
        <v>12.992265</v>
      </c>
      <c r="E135" s="3">
        <v>29.567582000000002</v>
      </c>
      <c r="F135" s="3">
        <v>37.708190000000002</v>
      </c>
      <c r="G135" s="3">
        <v>37.708190000000002</v>
      </c>
      <c r="H135" s="3">
        <v>15.376030999999999</v>
      </c>
      <c r="I135" s="48" t="s">
        <v>319</v>
      </c>
      <c r="J135" s="49" t="s">
        <v>341</v>
      </c>
      <c r="K135" s="3">
        <v>30424.5</v>
      </c>
      <c r="L135" s="48" t="s">
        <v>319</v>
      </c>
      <c r="M135" s="49" t="s">
        <v>341</v>
      </c>
      <c r="N135" s="3">
        <v>1255.9418470000001</v>
      </c>
      <c r="O135" s="3">
        <v>1693.794001</v>
      </c>
      <c r="P135" s="3">
        <v>655.02853110000001</v>
      </c>
      <c r="Q135" s="3">
        <v>807.57523500000002</v>
      </c>
      <c r="R135" s="3">
        <v>2714.0582469999999</v>
      </c>
      <c r="S135" s="3">
        <v>2221.3173059999999</v>
      </c>
      <c r="T135" s="3">
        <v>1742.4194869999999</v>
      </c>
      <c r="U135" s="3">
        <v>2765.7594410000002</v>
      </c>
      <c r="V135" s="3">
        <v>1334.1079380000001</v>
      </c>
      <c r="W135" s="3">
        <v>1232.123443</v>
      </c>
      <c r="X135" s="3">
        <v>1786.992534</v>
      </c>
      <c r="Y135" s="3">
        <v>134.1779281</v>
      </c>
      <c r="Z135" s="3">
        <v>601.67844520000006</v>
      </c>
      <c r="AA135" s="48" t="s">
        <v>319</v>
      </c>
      <c r="AB135" s="49" t="s">
        <v>341</v>
      </c>
      <c r="AC135" s="3">
        <v>898.56211989999997</v>
      </c>
      <c r="AD135" s="3">
        <v>807.94101790000002</v>
      </c>
      <c r="AE135" s="3">
        <v>512.90557479999995</v>
      </c>
      <c r="AF135" s="3">
        <v>172.2567181</v>
      </c>
      <c r="AG135" s="3">
        <v>1563.605468</v>
      </c>
      <c r="AH135" s="3">
        <v>1078.7602810000001</v>
      </c>
      <c r="AI135" s="3">
        <v>1038.005177</v>
      </c>
      <c r="AJ135" s="3">
        <v>1081.0611699999999</v>
      </c>
      <c r="AK135" s="3">
        <v>451.55672349999998</v>
      </c>
      <c r="AL135" s="3">
        <v>666.46795950000001</v>
      </c>
      <c r="AM135" s="3">
        <v>1101.9643940000001</v>
      </c>
      <c r="AN135" s="3">
        <v>134.8302899</v>
      </c>
      <c r="AO135" s="3">
        <v>445.43539709999999</v>
      </c>
      <c r="AP135" s="48" t="s">
        <v>319</v>
      </c>
      <c r="AQ135" s="49" t="s">
        <v>341</v>
      </c>
      <c r="AR135" s="3">
        <v>855.74032480000005</v>
      </c>
      <c r="AS135" s="3">
        <v>1075.7941719999999</v>
      </c>
      <c r="AT135" s="3">
        <v>1025.2967599999999</v>
      </c>
      <c r="AU135" s="3">
        <v>843.72104179999997</v>
      </c>
      <c r="AV135" s="3">
        <v>142.961445</v>
      </c>
      <c r="AW135" s="3">
        <v>1460.6061649999999</v>
      </c>
      <c r="AX135" s="3">
        <v>900.77448979999997</v>
      </c>
      <c r="AY135" s="3">
        <v>1422.6215</v>
      </c>
      <c r="AZ135" s="3">
        <v>509.85195759999999</v>
      </c>
      <c r="BA135" s="3">
        <v>320.84511939999999</v>
      </c>
      <c r="BB135" s="3">
        <v>438.99726650000002</v>
      </c>
      <c r="BC135" s="3">
        <v>150.8332551</v>
      </c>
      <c r="BD135" s="3">
        <v>772.66368910000006</v>
      </c>
      <c r="BE135" s="48" t="s">
        <v>319</v>
      </c>
      <c r="BF135" s="49" t="s">
        <v>341</v>
      </c>
      <c r="BG135" s="3">
        <v>0.63100000000000001</v>
      </c>
      <c r="BH135" s="3">
        <v>0.26300000000000001</v>
      </c>
      <c r="BI135" s="3">
        <v>0.373</v>
      </c>
      <c r="BJ135" s="3">
        <v>0.53900000000000003</v>
      </c>
      <c r="BK135" s="3">
        <v>0.192</v>
      </c>
      <c r="BL135" s="3">
        <v>0.51449999999999996</v>
      </c>
      <c r="BM135" s="3">
        <v>0.46500000000000002</v>
      </c>
      <c r="BN135" s="3">
        <v>0.184</v>
      </c>
      <c r="BO135" s="3">
        <v>0.40600000000000003</v>
      </c>
      <c r="BP135" s="3">
        <v>0.26100000000000001</v>
      </c>
      <c r="BQ135" s="3">
        <v>0.157</v>
      </c>
      <c r="BR135" s="3">
        <v>0.27633333300000001</v>
      </c>
      <c r="BS135" s="3">
        <v>0.63300000000000001</v>
      </c>
      <c r="BT135" s="3">
        <v>0.26400000000000001</v>
      </c>
      <c r="BU135" s="3">
        <v>0.42983333400000001</v>
      </c>
      <c r="BV135" s="3">
        <v>0.497</v>
      </c>
      <c r="BW135" s="3">
        <v>0.126</v>
      </c>
      <c r="BX135" s="3">
        <v>0.17699999999999999</v>
      </c>
      <c r="BY135" s="3">
        <v>0.16900000000000001</v>
      </c>
      <c r="BZ135" s="3">
        <v>0.14499999999999999</v>
      </c>
      <c r="CA135" s="3">
        <v>0.47299999999999998</v>
      </c>
      <c r="CB135" s="3">
        <v>0.65600000000000003</v>
      </c>
      <c r="CC135" s="3">
        <v>0.35599999999999998</v>
      </c>
      <c r="CD135" s="3">
        <v>0.486666667</v>
      </c>
      <c r="CE135" s="3">
        <v>0.64700000000000002</v>
      </c>
      <c r="CF135" s="3">
        <v>0.29099999999999998</v>
      </c>
      <c r="CG135" s="3">
        <v>0.621</v>
      </c>
      <c r="CH135" s="3">
        <v>0.64700000000000002</v>
      </c>
      <c r="CI135" s="3">
        <v>0.28999999999999998</v>
      </c>
      <c r="CJ135" s="3">
        <v>0.55800000000000005</v>
      </c>
      <c r="CK135" s="3">
        <v>0.58599999999999997</v>
      </c>
      <c r="CL135" s="3">
        <v>0.23699999999999999</v>
      </c>
      <c r="CM135" s="3">
        <v>0.1</v>
      </c>
      <c r="CN135" s="3">
        <v>0.59399999999999997</v>
      </c>
      <c r="CO135" s="3">
        <v>9.5000000000000001E-2</v>
      </c>
      <c r="CP135" s="3">
        <v>0.255</v>
      </c>
      <c r="CQ135" s="3">
        <v>0.56299999999999994</v>
      </c>
      <c r="CR135" s="3">
        <v>0.19400000000000001</v>
      </c>
      <c r="CS135" s="3">
        <v>0.308</v>
      </c>
      <c r="CT135" s="48" t="s">
        <v>319</v>
      </c>
      <c r="CU135" s="49" t="s">
        <v>341</v>
      </c>
      <c r="CV135" s="3">
        <v>14.244999999999999</v>
      </c>
      <c r="CW135" s="3">
        <v>13.901999999999999</v>
      </c>
      <c r="CX135" s="3">
        <v>13.21</v>
      </c>
      <c r="CY135" s="3">
        <v>11.72</v>
      </c>
      <c r="CZ135" s="3">
        <v>15.013999999999999</v>
      </c>
      <c r="DA135" s="3">
        <v>13.76</v>
      </c>
      <c r="DB135" s="3">
        <v>9.76</v>
      </c>
      <c r="DC135" s="3">
        <v>14.281000000000001</v>
      </c>
      <c r="DD135" s="3">
        <v>15.332000000000001</v>
      </c>
      <c r="DE135" s="3">
        <v>15.323</v>
      </c>
      <c r="DF135" s="3">
        <v>14.465999999999999</v>
      </c>
      <c r="DG135" s="3">
        <v>13.314</v>
      </c>
      <c r="DH135" s="3">
        <v>13.743</v>
      </c>
    </row>
    <row r="136" spans="1:112" x14ac:dyDescent="0.3">
      <c r="A136" s="48" t="s">
        <v>319</v>
      </c>
      <c r="B136" s="49" t="s">
        <v>342</v>
      </c>
      <c r="C136" s="3">
        <v>27.035755999999999</v>
      </c>
      <c r="D136" s="3">
        <v>12.318592000000001</v>
      </c>
      <c r="E136" s="3">
        <v>25.170200000000001</v>
      </c>
      <c r="F136" s="3">
        <v>37.708190000000002</v>
      </c>
      <c r="G136" s="3">
        <v>37.708190000000002</v>
      </c>
      <c r="H136" s="3">
        <v>14.147133</v>
      </c>
      <c r="I136" s="48" t="s">
        <v>319</v>
      </c>
      <c r="J136" s="49" t="s">
        <v>342</v>
      </c>
      <c r="K136" s="3">
        <v>29912</v>
      </c>
      <c r="L136" s="48" t="s">
        <v>319</v>
      </c>
      <c r="M136" s="49" t="s">
        <v>342</v>
      </c>
      <c r="N136" s="3">
        <v>1448.2721019999999</v>
      </c>
      <c r="O136" s="3">
        <v>1636.603683</v>
      </c>
      <c r="P136" s="3">
        <v>539.19111320000002</v>
      </c>
      <c r="Q136" s="3">
        <v>984.27823690000002</v>
      </c>
      <c r="R136" s="3">
        <v>2756.1454789999998</v>
      </c>
      <c r="S136" s="3">
        <v>2076.0502750000001</v>
      </c>
      <c r="T136" s="3">
        <v>1727.327241</v>
      </c>
      <c r="U136" s="3">
        <v>2310.5076720000002</v>
      </c>
      <c r="V136" s="3">
        <v>968.8380674</v>
      </c>
      <c r="W136" s="3">
        <v>1252.1406280000001</v>
      </c>
      <c r="X136" s="3">
        <v>1714.0560989999999</v>
      </c>
      <c r="Y136" s="3">
        <v>123.153801</v>
      </c>
      <c r="Z136" s="3">
        <v>610.88206339999999</v>
      </c>
      <c r="AA136" s="48" t="s">
        <v>319</v>
      </c>
      <c r="AB136" s="49" t="s">
        <v>342</v>
      </c>
      <c r="AC136" s="3">
        <v>858.10553159999995</v>
      </c>
      <c r="AD136" s="3">
        <v>771.56452650000006</v>
      </c>
      <c r="AE136" s="3">
        <v>489.81266979999998</v>
      </c>
      <c r="AF136" s="3">
        <v>166.42409789999999</v>
      </c>
      <c r="AG136" s="3">
        <v>1493.2061699999999</v>
      </c>
      <c r="AH136" s="3">
        <v>1030.1905059999999</v>
      </c>
      <c r="AI136" s="3">
        <v>991.27034660000004</v>
      </c>
      <c r="AJ136" s="3">
        <v>1032.3877990000001</v>
      </c>
      <c r="AK136" s="3">
        <v>431.22597050000002</v>
      </c>
      <c r="AL136" s="3">
        <v>636.46110820000001</v>
      </c>
      <c r="AM136" s="3">
        <v>1052.3498830000001</v>
      </c>
      <c r="AN136" s="3">
        <v>128.7597318</v>
      </c>
      <c r="AO136" s="3">
        <v>425.38024890000003</v>
      </c>
      <c r="AP136" s="48" t="s">
        <v>319</v>
      </c>
      <c r="AQ136" s="49" t="s">
        <v>342</v>
      </c>
      <c r="AR136" s="3">
        <v>810.28529600000002</v>
      </c>
      <c r="AS136" s="3">
        <v>1018.650371</v>
      </c>
      <c r="AT136" s="3">
        <v>970.83526900000004</v>
      </c>
      <c r="AU136" s="3">
        <v>830.11263789999998</v>
      </c>
      <c r="AV136" s="3">
        <v>135.36765</v>
      </c>
      <c r="AW136" s="3">
        <v>1383.0220039999999</v>
      </c>
      <c r="AX136" s="3">
        <v>852.92734599999994</v>
      </c>
      <c r="AY136" s="3">
        <v>1347.0550000000001</v>
      </c>
      <c r="AZ136" s="3">
        <v>482.76975199999998</v>
      </c>
      <c r="BA136" s="3">
        <v>303.80253800000003</v>
      </c>
      <c r="BB136" s="3">
        <v>415.67870499999998</v>
      </c>
      <c r="BC136" s="3">
        <v>142.821327</v>
      </c>
      <c r="BD136" s="3">
        <v>731.62150699999995</v>
      </c>
      <c r="BE136" s="48" t="s">
        <v>319</v>
      </c>
      <c r="BF136" s="49" t="s">
        <v>342</v>
      </c>
      <c r="BG136" s="3">
        <v>0.57499999999999996</v>
      </c>
      <c r="BH136" s="3">
        <v>0.24299999999999999</v>
      </c>
      <c r="BI136" s="3">
        <v>0.32900000000000001</v>
      </c>
      <c r="BJ136" s="3">
        <v>0.47199999999999998</v>
      </c>
      <c r="BK136" s="3">
        <v>0.17199999999999999</v>
      </c>
      <c r="BL136" s="3">
        <v>0.45900000000000002</v>
      </c>
      <c r="BM136" s="3">
        <v>0.39100000000000001</v>
      </c>
      <c r="BN136" s="3">
        <v>0.153</v>
      </c>
      <c r="BO136" s="3">
        <v>0.33750000000000002</v>
      </c>
      <c r="BP136" s="3">
        <v>0.23799999999999999</v>
      </c>
      <c r="BQ136" s="3">
        <v>0.13200000000000001</v>
      </c>
      <c r="BR136" s="3">
        <v>0.22266666700000001</v>
      </c>
      <c r="BS136" s="3">
        <v>0.58299999999999996</v>
      </c>
      <c r="BT136" s="3">
        <v>0.25900000000000001</v>
      </c>
      <c r="BU136" s="3">
        <v>0.40633333399999999</v>
      </c>
      <c r="BV136" s="3">
        <v>0.44900000000000001</v>
      </c>
      <c r="BW136" s="3">
        <v>0.104</v>
      </c>
      <c r="BX136" s="3">
        <v>0.13800000000000001</v>
      </c>
      <c r="BY136" s="3">
        <v>0.124</v>
      </c>
      <c r="BZ136" s="3">
        <v>0.126</v>
      </c>
      <c r="CA136" s="3">
        <v>0.47649999999999998</v>
      </c>
      <c r="CB136" s="3">
        <v>0.60799999999999998</v>
      </c>
      <c r="CC136" s="3">
        <v>0.36199999999999999</v>
      </c>
      <c r="CD136" s="3">
        <v>0.48366666699999999</v>
      </c>
      <c r="CE136" s="3">
        <v>0.6</v>
      </c>
      <c r="CF136" s="3">
        <v>0.27800000000000002</v>
      </c>
      <c r="CG136" s="3">
        <v>0.626</v>
      </c>
      <c r="CH136" s="3">
        <v>0.6</v>
      </c>
      <c r="CI136" s="3">
        <v>0.27800000000000002</v>
      </c>
      <c r="CJ136" s="3">
        <v>0.52100000000000002</v>
      </c>
      <c r="CK136" s="3">
        <v>0.52500000000000002</v>
      </c>
      <c r="CL136" s="3">
        <v>0.21199999999999999</v>
      </c>
      <c r="CM136" s="3">
        <v>0.1</v>
      </c>
      <c r="CN136" s="3">
        <v>0.53600000000000003</v>
      </c>
      <c r="CO136" s="3">
        <v>7.9000000000000001E-2</v>
      </c>
      <c r="CP136" s="3">
        <v>0.22366666700000001</v>
      </c>
      <c r="CQ136" s="3">
        <v>0.505</v>
      </c>
      <c r="CR136" s="3">
        <v>0.16800000000000001</v>
      </c>
      <c r="CS136" s="3">
        <v>0.26900000000000002</v>
      </c>
      <c r="CT136" s="48" t="s">
        <v>319</v>
      </c>
      <c r="CU136" s="49" t="s">
        <v>342</v>
      </c>
      <c r="CV136" s="3">
        <v>14.163</v>
      </c>
      <c r="CW136" s="3">
        <v>13.930999999999999</v>
      </c>
      <c r="CX136" s="3">
        <v>13.103</v>
      </c>
      <c r="CY136" s="3">
        <v>11.817</v>
      </c>
      <c r="CZ136" s="3">
        <v>15.108000000000001</v>
      </c>
      <c r="DA136" s="3">
        <v>13.948</v>
      </c>
      <c r="DB136" s="3">
        <v>9.8070000000000004</v>
      </c>
      <c r="DC136" s="3">
        <v>14.221</v>
      </c>
      <c r="DD136" s="3">
        <v>15.702</v>
      </c>
      <c r="DE136" s="3">
        <v>15.699</v>
      </c>
      <c r="DF136" s="3">
        <v>14.935</v>
      </c>
      <c r="DG136" s="3">
        <v>13.552</v>
      </c>
      <c r="DH136" s="3">
        <v>14.074999999999999</v>
      </c>
    </row>
    <row r="137" spans="1:112" x14ac:dyDescent="0.3">
      <c r="A137" s="48" t="s">
        <v>319</v>
      </c>
      <c r="B137" s="49" t="s">
        <v>343</v>
      </c>
      <c r="C137" s="3">
        <v>27.465129999999998</v>
      </c>
      <c r="D137" s="3">
        <v>14.857821</v>
      </c>
      <c r="E137" s="3">
        <v>24.015332000000001</v>
      </c>
      <c r="F137" s="3">
        <v>37.865672000000004</v>
      </c>
      <c r="G137" s="3">
        <v>37.865672000000004</v>
      </c>
      <c r="H137" s="3">
        <v>16.560511000000002</v>
      </c>
      <c r="I137" s="48" t="s">
        <v>319</v>
      </c>
      <c r="J137" s="49" t="s">
        <v>343</v>
      </c>
      <c r="K137" s="3">
        <v>30563</v>
      </c>
      <c r="L137" s="48" t="s">
        <v>319</v>
      </c>
      <c r="M137" s="49" t="s">
        <v>343</v>
      </c>
      <c r="N137" s="3">
        <v>1208.9292600000001</v>
      </c>
      <c r="O137" s="3">
        <v>1533.5697580000001</v>
      </c>
      <c r="P137" s="3">
        <v>603.59877270000004</v>
      </c>
      <c r="Q137" s="3">
        <v>1033.7095440000001</v>
      </c>
      <c r="R137" s="3">
        <v>2583.7824500000002</v>
      </c>
      <c r="S137" s="3">
        <v>1915.9791150000001</v>
      </c>
      <c r="T137" s="3">
        <v>1854.4138290000001</v>
      </c>
      <c r="U137" s="3">
        <v>1589.7929200000001</v>
      </c>
      <c r="V137" s="3">
        <v>1014.936566</v>
      </c>
      <c r="W137" s="3">
        <v>1101.046282</v>
      </c>
      <c r="X137" s="3">
        <v>1522.213716</v>
      </c>
      <c r="Y137" s="3">
        <v>123.51485599999999</v>
      </c>
      <c r="Z137" s="3">
        <v>523.77255409999998</v>
      </c>
      <c r="AA137" s="48" t="s">
        <v>319</v>
      </c>
      <c r="AB137" s="49" t="s">
        <v>343</v>
      </c>
      <c r="AC137" s="3">
        <v>748.44688429999997</v>
      </c>
      <c r="AD137" s="3">
        <v>672.96508949999998</v>
      </c>
      <c r="AE137" s="3">
        <v>427.21874300000002</v>
      </c>
      <c r="AF137" s="3">
        <v>155.8864973</v>
      </c>
      <c r="AG137" s="3">
        <v>1302.387019</v>
      </c>
      <c r="AH137" s="3">
        <v>898.54085039999995</v>
      </c>
      <c r="AI137" s="3">
        <v>864.59435940000003</v>
      </c>
      <c r="AJ137" s="3">
        <v>900.45734849999997</v>
      </c>
      <c r="AK137" s="3">
        <v>376.1189296</v>
      </c>
      <c r="AL137" s="3">
        <v>555.12674819999995</v>
      </c>
      <c r="AM137" s="3">
        <v>917.86844659999997</v>
      </c>
      <c r="AN137" s="3">
        <v>112.3053244</v>
      </c>
      <c r="AO137" s="3">
        <v>371.02024189999997</v>
      </c>
      <c r="AP137" s="48" t="s">
        <v>319</v>
      </c>
      <c r="AQ137" s="49" t="s">
        <v>343</v>
      </c>
      <c r="AR137" s="3">
        <v>796.45115680000004</v>
      </c>
      <c r="AS137" s="3">
        <v>1001.258779</v>
      </c>
      <c r="AT137" s="3">
        <v>954.26003270000001</v>
      </c>
      <c r="AU137" s="3">
        <v>816.504234</v>
      </c>
      <c r="AV137" s="3">
        <v>133.05649500000001</v>
      </c>
      <c r="AW137" s="3">
        <v>1359.409433</v>
      </c>
      <c r="AX137" s="3">
        <v>838.36517179999998</v>
      </c>
      <c r="AY137" s="3">
        <v>1324.0564999999999</v>
      </c>
      <c r="AZ137" s="3">
        <v>474.5273416</v>
      </c>
      <c r="BA137" s="3">
        <v>298.61566540000001</v>
      </c>
      <c r="BB137" s="3">
        <v>408.5817515</v>
      </c>
      <c r="BC137" s="3">
        <v>140.38291409999999</v>
      </c>
      <c r="BD137" s="3">
        <v>719.13040809999995</v>
      </c>
      <c r="BE137" s="48" t="s">
        <v>319</v>
      </c>
      <c r="BF137" s="49" t="s">
        <v>343</v>
      </c>
      <c r="BG137" s="3">
        <v>0.46500000000000002</v>
      </c>
      <c r="BH137" s="3">
        <v>0.251</v>
      </c>
      <c r="BI137" s="3">
        <v>0.30549999999999999</v>
      </c>
      <c r="BJ137" s="3">
        <v>0.35899999999999999</v>
      </c>
      <c r="BK137" s="3">
        <v>0.17699999999999999</v>
      </c>
      <c r="BL137" s="3">
        <v>0.438</v>
      </c>
      <c r="BM137" s="3">
        <v>0.28000000000000003</v>
      </c>
      <c r="BN137" s="3">
        <v>0.13900000000000001</v>
      </c>
      <c r="BO137" s="3">
        <v>0.28999999999999998</v>
      </c>
      <c r="BP137" s="3">
        <v>0.17499999999999999</v>
      </c>
      <c r="BQ137" s="3">
        <v>0.113</v>
      </c>
      <c r="BR137" s="3">
        <v>0.179666667</v>
      </c>
      <c r="BS137" s="3">
        <v>0.47599999999999998</v>
      </c>
      <c r="BT137" s="3">
        <v>0.27800000000000002</v>
      </c>
      <c r="BU137" s="3">
        <v>0.41008333400000002</v>
      </c>
      <c r="BV137" s="3">
        <v>0.33800000000000002</v>
      </c>
      <c r="BW137" s="3">
        <v>9.5000000000000001E-2</v>
      </c>
      <c r="BX137" s="3">
        <v>0.111</v>
      </c>
      <c r="BY137" s="3">
        <v>8.5000000000000006E-2</v>
      </c>
      <c r="BZ137" s="3">
        <v>9.9000000000000005E-2</v>
      </c>
      <c r="CA137" s="3">
        <v>0.45650000000000002</v>
      </c>
      <c r="CB137" s="3">
        <v>0.504</v>
      </c>
      <c r="CC137" s="3">
        <v>0.39300000000000002</v>
      </c>
      <c r="CD137" s="3">
        <v>0.51466666699999997</v>
      </c>
      <c r="CE137" s="3">
        <v>0.48</v>
      </c>
      <c r="CF137" s="3">
        <v>0.28699999999999998</v>
      </c>
      <c r="CG137" s="3">
        <v>0.66149999999999998</v>
      </c>
      <c r="CH137" s="3">
        <v>0.47899999999999998</v>
      </c>
      <c r="CI137" s="3">
        <v>0.28499999999999998</v>
      </c>
      <c r="CJ137" s="3">
        <v>0.498</v>
      </c>
      <c r="CK137" s="3">
        <v>0.39900000000000002</v>
      </c>
      <c r="CL137" s="3">
        <v>0.2</v>
      </c>
      <c r="CM137" s="3">
        <v>0.1</v>
      </c>
      <c r="CN137" s="3">
        <v>0.42899999999999999</v>
      </c>
      <c r="CO137" s="3">
        <v>7.1999999999999995E-2</v>
      </c>
      <c r="CP137" s="3">
        <v>0.21533333299999999</v>
      </c>
      <c r="CQ137" s="3">
        <v>0.377</v>
      </c>
      <c r="CR137" s="3">
        <v>0.151</v>
      </c>
      <c r="CS137" s="3">
        <v>0.24099999999999999</v>
      </c>
      <c r="CT137" s="48" t="s">
        <v>319</v>
      </c>
      <c r="CU137" s="49" t="s">
        <v>343</v>
      </c>
      <c r="CV137" s="3">
        <v>13.669</v>
      </c>
      <c r="CW137" s="3">
        <v>13.599</v>
      </c>
      <c r="CX137" s="3">
        <v>12.725</v>
      </c>
      <c r="CY137" s="3">
        <v>11.654999999999999</v>
      </c>
      <c r="CZ137" s="3">
        <v>14.771000000000001</v>
      </c>
      <c r="DA137" s="3">
        <v>13.805999999999999</v>
      </c>
      <c r="DB137" s="3">
        <v>9.7119999999999997</v>
      </c>
      <c r="DC137" s="3">
        <v>13.885999999999999</v>
      </c>
      <c r="DD137" s="3">
        <v>15.616</v>
      </c>
      <c r="DE137" s="3">
        <v>15.614000000000001</v>
      </c>
      <c r="DF137" s="3">
        <v>15.023999999999999</v>
      </c>
      <c r="DG137" s="3">
        <v>13.407</v>
      </c>
      <c r="DH137" s="3">
        <v>14.115</v>
      </c>
    </row>
    <row r="138" spans="1:112" x14ac:dyDescent="0.3">
      <c r="A138" s="48" t="s">
        <v>319</v>
      </c>
      <c r="B138" s="49" t="s">
        <v>344</v>
      </c>
      <c r="C138" s="3">
        <v>27.924116000000001</v>
      </c>
      <c r="D138" s="3">
        <v>22.964106000000001</v>
      </c>
      <c r="E138" s="3">
        <v>31.418331999999999</v>
      </c>
      <c r="F138" s="3">
        <v>38.311870999999996</v>
      </c>
      <c r="G138" s="3">
        <v>42.038944999999998</v>
      </c>
      <c r="H138" s="3">
        <v>30.182030999999998</v>
      </c>
      <c r="I138" s="48" t="s">
        <v>319</v>
      </c>
      <c r="J138" s="49" t="s">
        <v>344</v>
      </c>
      <c r="K138" s="3">
        <v>32810.5</v>
      </c>
      <c r="L138" s="48" t="s">
        <v>319</v>
      </c>
      <c r="M138" s="49" t="s">
        <v>344</v>
      </c>
      <c r="N138" s="3">
        <v>1019.859298</v>
      </c>
      <c r="O138" s="3">
        <v>1258.7989339999999</v>
      </c>
      <c r="P138" s="3">
        <v>690.36525779999999</v>
      </c>
      <c r="Q138" s="3">
        <v>1026.1931729999999</v>
      </c>
      <c r="R138" s="3">
        <v>2170.3762219999999</v>
      </c>
      <c r="S138" s="3">
        <v>1695.91427</v>
      </c>
      <c r="T138" s="3">
        <v>2128.4818329999998</v>
      </c>
      <c r="U138" s="3">
        <v>1914.1396259999999</v>
      </c>
      <c r="V138" s="3">
        <v>1214.2770579999999</v>
      </c>
      <c r="W138" s="3">
        <v>897.77359200000001</v>
      </c>
      <c r="X138" s="3">
        <v>1324.951986</v>
      </c>
      <c r="Y138" s="3">
        <v>136.82938239999999</v>
      </c>
      <c r="Z138" s="3">
        <v>430.40138489999998</v>
      </c>
      <c r="AA138" s="48" t="s">
        <v>319</v>
      </c>
      <c r="AB138" s="49" t="s">
        <v>344</v>
      </c>
      <c r="AC138" s="3">
        <v>792.09741380000003</v>
      </c>
      <c r="AD138" s="3">
        <v>712.21340910000004</v>
      </c>
      <c r="AE138" s="3">
        <v>452.13477210000002</v>
      </c>
      <c r="AF138" s="3">
        <v>156.70306410000001</v>
      </c>
      <c r="AG138" s="3">
        <v>1378.344157</v>
      </c>
      <c r="AH138" s="3">
        <v>950.94508210000004</v>
      </c>
      <c r="AI138" s="3">
        <v>915.01878150000005</v>
      </c>
      <c r="AJ138" s="3">
        <v>952.97335320000002</v>
      </c>
      <c r="AK138" s="3">
        <v>398.05474199999998</v>
      </c>
      <c r="AL138" s="3">
        <v>587.50256139999999</v>
      </c>
      <c r="AM138" s="3">
        <v>971.39989230000003</v>
      </c>
      <c r="AN138" s="3">
        <v>118.85513709999999</v>
      </c>
      <c r="AO138" s="3">
        <v>392.65869129999999</v>
      </c>
      <c r="AP138" s="48" t="s">
        <v>319</v>
      </c>
      <c r="AQ138" s="49" t="s">
        <v>344</v>
      </c>
      <c r="AR138" s="3">
        <v>788.54593439999996</v>
      </c>
      <c r="AS138" s="3">
        <v>991.32072689999995</v>
      </c>
      <c r="AT138" s="3">
        <v>944.78846910000004</v>
      </c>
      <c r="AU138" s="3">
        <v>820.39234939999994</v>
      </c>
      <c r="AV138" s="3">
        <v>131.73583500000001</v>
      </c>
      <c r="AW138" s="3">
        <v>1345.916536</v>
      </c>
      <c r="AX138" s="3">
        <v>830.04392940000002</v>
      </c>
      <c r="AY138" s="3">
        <v>1310.9145000000001</v>
      </c>
      <c r="AZ138" s="3">
        <v>469.81739279999999</v>
      </c>
      <c r="BA138" s="3">
        <v>295.65173820000001</v>
      </c>
      <c r="BB138" s="3">
        <v>404.52634949999998</v>
      </c>
      <c r="BC138" s="3">
        <v>138.9895353</v>
      </c>
      <c r="BD138" s="3">
        <v>711.99263729999996</v>
      </c>
      <c r="BE138" s="48" t="s">
        <v>319</v>
      </c>
      <c r="BF138" s="49" t="s">
        <v>344</v>
      </c>
      <c r="BG138" s="3">
        <v>0.3</v>
      </c>
      <c r="BH138" s="3">
        <v>0.28100000000000003</v>
      </c>
      <c r="BI138" s="3">
        <v>0.3105</v>
      </c>
      <c r="BJ138" s="3">
        <v>0.215</v>
      </c>
      <c r="BK138" s="3">
        <v>0.20100000000000001</v>
      </c>
      <c r="BL138" s="3">
        <v>0.45600000000000002</v>
      </c>
      <c r="BM138" s="3">
        <v>0.16800000000000001</v>
      </c>
      <c r="BN138" s="3">
        <v>0.14499999999999999</v>
      </c>
      <c r="BO138" s="3">
        <v>0.27400000000000002</v>
      </c>
      <c r="BP138" s="3">
        <v>0.10100000000000001</v>
      </c>
      <c r="BQ138" s="3">
        <v>0.107</v>
      </c>
      <c r="BR138" s="3">
        <v>0.15766666700000001</v>
      </c>
      <c r="BS138" s="3">
        <v>0.29899999999999999</v>
      </c>
      <c r="BT138" s="3">
        <v>0.30399999999999999</v>
      </c>
      <c r="BU138" s="3">
        <v>0.43341666699999998</v>
      </c>
      <c r="BV138" s="3">
        <v>0.157</v>
      </c>
      <c r="BW138" s="3">
        <v>0.1</v>
      </c>
      <c r="BX138" s="3">
        <v>0.106</v>
      </c>
      <c r="BY138" s="3">
        <v>5.2999999999999999E-2</v>
      </c>
      <c r="BZ138" s="3">
        <v>7.3999999999999996E-2</v>
      </c>
      <c r="CA138" s="3">
        <v>0.46500000000000002</v>
      </c>
      <c r="CB138" s="3">
        <v>0.33100000000000002</v>
      </c>
      <c r="CC138" s="3">
        <v>0.43</v>
      </c>
      <c r="CD138" s="3">
        <v>0.55633333299999999</v>
      </c>
      <c r="CE138" s="3">
        <v>0.28299999999999997</v>
      </c>
      <c r="CF138" s="3">
        <v>0.3</v>
      </c>
      <c r="CG138" s="3">
        <v>0.70699999999999996</v>
      </c>
      <c r="CH138" s="3">
        <v>0.28299999999999997</v>
      </c>
      <c r="CI138" s="3">
        <v>0.29799999999999999</v>
      </c>
      <c r="CJ138" s="3">
        <v>0.48899999999999999</v>
      </c>
      <c r="CK138" s="3">
        <v>0.23799999999999999</v>
      </c>
      <c r="CL138" s="3">
        <v>0.20499999999999999</v>
      </c>
      <c r="CM138" s="3">
        <v>0.1</v>
      </c>
      <c r="CN138" s="3">
        <v>0.23699999999999999</v>
      </c>
      <c r="CO138" s="3">
        <v>7.1999999999999995E-2</v>
      </c>
      <c r="CP138" s="3">
        <v>0.22966666699999999</v>
      </c>
      <c r="CQ138" s="3">
        <v>0.20200000000000001</v>
      </c>
      <c r="CR138" s="3">
        <v>0.14599999999999999</v>
      </c>
      <c r="CS138" s="3">
        <v>0.23499999999999999</v>
      </c>
      <c r="CT138" s="48" t="s">
        <v>319</v>
      </c>
      <c r="CU138" s="49" t="s">
        <v>344</v>
      </c>
      <c r="CV138" s="3">
        <v>12.766</v>
      </c>
      <c r="CW138" s="3">
        <v>12.872999999999999</v>
      </c>
      <c r="CX138" s="3">
        <v>12.055</v>
      </c>
      <c r="CY138" s="3">
        <v>11.23</v>
      </c>
      <c r="CZ138" s="3">
        <v>13.962999999999999</v>
      </c>
      <c r="DA138" s="3">
        <v>13.23</v>
      </c>
      <c r="DB138" s="3">
        <v>9.4809999999999999</v>
      </c>
      <c r="DC138" s="3">
        <v>13.231999999999999</v>
      </c>
      <c r="DD138" s="3">
        <v>15.016999999999999</v>
      </c>
      <c r="DE138" s="3">
        <v>15.016999999999999</v>
      </c>
      <c r="DF138" s="3">
        <v>14.708</v>
      </c>
      <c r="DG138" s="3">
        <v>12.878</v>
      </c>
      <c r="DH138" s="3">
        <v>13.702999999999999</v>
      </c>
    </row>
    <row r="139" spans="1:112" x14ac:dyDescent="0.3">
      <c r="A139" s="48" t="s">
        <v>319</v>
      </c>
      <c r="B139" s="49" t="s">
        <v>345</v>
      </c>
      <c r="C139" s="3">
        <v>33.765082999999997</v>
      </c>
      <c r="D139" s="3">
        <v>28.679221999999999</v>
      </c>
      <c r="E139" s="3">
        <v>32.543588</v>
      </c>
      <c r="F139" s="3">
        <v>38.364364999999999</v>
      </c>
      <c r="G139" s="3">
        <v>42.511391000000003</v>
      </c>
      <c r="H139" s="3">
        <v>31.995766</v>
      </c>
      <c r="I139" s="48" t="s">
        <v>319</v>
      </c>
      <c r="J139" s="49" t="s">
        <v>345</v>
      </c>
      <c r="K139" s="3">
        <v>35356.5</v>
      </c>
      <c r="L139" s="48" t="s">
        <v>319</v>
      </c>
      <c r="M139" s="49" t="s">
        <v>345</v>
      </c>
      <c r="N139" s="3">
        <v>1585.2988009999999</v>
      </c>
      <c r="O139" s="3">
        <v>2040.9688369999999</v>
      </c>
      <c r="P139" s="3">
        <v>1973.878786</v>
      </c>
      <c r="Q139" s="3">
        <v>1337.799448</v>
      </c>
      <c r="R139" s="3">
        <v>2691.676731</v>
      </c>
      <c r="S139" s="3">
        <v>2690.99017</v>
      </c>
      <c r="T139" s="3">
        <v>3611.033664</v>
      </c>
      <c r="U139" s="3">
        <v>4257.2401719999998</v>
      </c>
      <c r="V139" s="3">
        <v>3016.7257060000002</v>
      </c>
      <c r="W139" s="3">
        <v>1275.7001359999999</v>
      </c>
      <c r="X139" s="3">
        <v>1839.491462</v>
      </c>
      <c r="Y139" s="3">
        <v>259.44121259999997</v>
      </c>
      <c r="Z139" s="3">
        <v>682.30403809999996</v>
      </c>
      <c r="AA139" s="48" t="s">
        <v>319</v>
      </c>
      <c r="AB139" s="49" t="s">
        <v>345</v>
      </c>
      <c r="AC139" s="3">
        <v>607.11278709999999</v>
      </c>
      <c r="AD139" s="3">
        <v>545.8847111</v>
      </c>
      <c r="AE139" s="3">
        <v>346.5442468</v>
      </c>
      <c r="AF139" s="3">
        <v>123.72224780000001</v>
      </c>
      <c r="AG139" s="3">
        <v>1056.4487999999999</v>
      </c>
      <c r="AH139" s="3">
        <v>728.86353259999998</v>
      </c>
      <c r="AI139" s="3">
        <v>701.32737850000001</v>
      </c>
      <c r="AJ139" s="3">
        <v>730.41812600000003</v>
      </c>
      <c r="AK139" s="3">
        <v>305.09394379999998</v>
      </c>
      <c r="AL139" s="3">
        <v>450.29855079999999</v>
      </c>
      <c r="AM139" s="3">
        <v>744.54137309999999</v>
      </c>
      <c r="AN139" s="3">
        <v>91.097978949999998</v>
      </c>
      <c r="AO139" s="3">
        <v>300.95807450000001</v>
      </c>
      <c r="AP139" s="48" t="s">
        <v>319</v>
      </c>
      <c r="AQ139" s="49" t="s">
        <v>345</v>
      </c>
      <c r="AR139" s="3">
        <v>812.26160159999995</v>
      </c>
      <c r="AS139" s="3">
        <v>1021.1348840000001</v>
      </c>
      <c r="AT139" s="3">
        <v>973.20315989999995</v>
      </c>
      <c r="AU139" s="3">
        <v>822.33640709999997</v>
      </c>
      <c r="AV139" s="3">
        <v>135.69781499999999</v>
      </c>
      <c r="AW139" s="3">
        <v>1386.3952280000001</v>
      </c>
      <c r="AX139" s="3">
        <v>855.00765660000002</v>
      </c>
      <c r="AY139" s="3">
        <v>1350.3405</v>
      </c>
      <c r="AZ139" s="3">
        <v>483.94723920000001</v>
      </c>
      <c r="BA139" s="3">
        <v>304.54351980000001</v>
      </c>
      <c r="BB139" s="3">
        <v>416.69255550000003</v>
      </c>
      <c r="BC139" s="3">
        <v>143.16967170000001</v>
      </c>
      <c r="BD139" s="3">
        <v>733.40594969999995</v>
      </c>
      <c r="BE139" s="48" t="s">
        <v>319</v>
      </c>
      <c r="BF139" s="49" t="s">
        <v>345</v>
      </c>
      <c r="BG139" s="3">
        <v>0.114</v>
      </c>
      <c r="BH139" s="3">
        <v>0.311</v>
      </c>
      <c r="BI139" s="3">
        <v>0.34849999999999998</v>
      </c>
      <c r="BJ139" s="3">
        <v>7.8E-2</v>
      </c>
      <c r="BK139" s="3">
        <v>0.23400000000000001</v>
      </c>
      <c r="BL139" s="3">
        <v>0.51049999999999995</v>
      </c>
      <c r="BM139" s="3">
        <v>6.2E-2</v>
      </c>
      <c r="BN139" s="3">
        <v>0.16800000000000001</v>
      </c>
      <c r="BO139" s="3">
        <v>0.3</v>
      </c>
      <c r="BP139" s="3">
        <v>3.7999999999999999E-2</v>
      </c>
      <c r="BQ139" s="3">
        <v>0.126</v>
      </c>
      <c r="BR139" s="3">
        <v>0.16866666699999999</v>
      </c>
      <c r="BS139" s="3">
        <v>0.1</v>
      </c>
      <c r="BT139" s="3">
        <v>0.32200000000000001</v>
      </c>
      <c r="BU139" s="3">
        <v>0.47058333400000002</v>
      </c>
      <c r="BV139" s="3">
        <v>4.2999999999999997E-2</v>
      </c>
      <c r="BW139" s="3">
        <v>0.125</v>
      </c>
      <c r="BX139" s="3">
        <v>0.13500000000000001</v>
      </c>
      <c r="BY139" s="3">
        <v>2.1999999999999999E-2</v>
      </c>
      <c r="BZ139" s="3">
        <v>7.9000000000000001E-2</v>
      </c>
      <c r="CA139" s="3">
        <v>0.53</v>
      </c>
      <c r="CB139" s="3">
        <v>0.112</v>
      </c>
      <c r="CC139" s="3">
        <v>0.44700000000000001</v>
      </c>
      <c r="CD139" s="3">
        <v>0.59266666700000004</v>
      </c>
      <c r="CE139" s="3">
        <v>9.8000000000000004E-2</v>
      </c>
      <c r="CF139" s="3">
        <v>0.317</v>
      </c>
      <c r="CG139" s="3">
        <v>0.74199999999999999</v>
      </c>
      <c r="CH139" s="3">
        <v>9.8000000000000004E-2</v>
      </c>
      <c r="CI139" s="3">
        <v>0.316</v>
      </c>
      <c r="CJ139" s="3">
        <v>0.495</v>
      </c>
      <c r="CK139" s="3">
        <v>8.7999999999999995E-2</v>
      </c>
      <c r="CL139" s="3">
        <v>0.22</v>
      </c>
      <c r="CM139" s="3">
        <v>0.1</v>
      </c>
      <c r="CN139" s="3">
        <v>7.0999999999999994E-2</v>
      </c>
      <c r="CO139" s="3">
        <v>9.0999999999999998E-2</v>
      </c>
      <c r="CP139" s="3">
        <v>0.258333333</v>
      </c>
      <c r="CQ139" s="3">
        <v>5.6000000000000001E-2</v>
      </c>
      <c r="CR139" s="3">
        <v>0.156</v>
      </c>
      <c r="CS139" s="3">
        <v>0.251</v>
      </c>
      <c r="CT139" s="48" t="s">
        <v>319</v>
      </c>
      <c r="CU139" s="49" t="s">
        <v>345</v>
      </c>
      <c r="CV139" s="3">
        <v>11.103999999999999</v>
      </c>
      <c r="CW139" s="3">
        <v>11.436999999999999</v>
      </c>
      <c r="CX139" s="3">
        <v>10.734999999999999</v>
      </c>
      <c r="CY139" s="3">
        <v>10.253</v>
      </c>
      <c r="CZ139" s="3">
        <v>12.286</v>
      </c>
      <c r="DA139" s="3">
        <v>11.976000000000001</v>
      </c>
      <c r="DB139" s="3">
        <v>8.8689999999999998</v>
      </c>
      <c r="DC139" s="3">
        <v>12.042</v>
      </c>
      <c r="DD139" s="3">
        <v>13.472</v>
      </c>
      <c r="DE139" s="3">
        <v>13.471</v>
      </c>
      <c r="DF139" s="3">
        <v>13.603</v>
      </c>
      <c r="DG139" s="3">
        <v>11.794</v>
      </c>
      <c r="DH139" s="3">
        <v>12.622999999999999</v>
      </c>
    </row>
    <row r="140" spans="1:112" x14ac:dyDescent="0.3">
      <c r="A140" s="48" t="s">
        <v>319</v>
      </c>
      <c r="B140" s="49" t="s">
        <v>346</v>
      </c>
      <c r="C140" s="3">
        <v>37.340732000000003</v>
      </c>
      <c r="D140" s="3">
        <v>37.555419000000001</v>
      </c>
      <c r="E140" s="3">
        <v>46.283555999999997</v>
      </c>
      <c r="F140" s="3">
        <v>38.233130000000003</v>
      </c>
      <c r="G140" s="3">
        <v>42.091439000000001</v>
      </c>
      <c r="H140" s="3">
        <v>45.010240000000003</v>
      </c>
      <c r="I140" s="48" t="s">
        <v>319</v>
      </c>
      <c r="J140" s="49" t="s">
        <v>346</v>
      </c>
      <c r="K140" s="3">
        <v>37915</v>
      </c>
      <c r="L140" s="48" t="s">
        <v>319</v>
      </c>
      <c r="M140" s="49" t="s">
        <v>346</v>
      </c>
      <c r="N140" s="3">
        <v>2973.1532120000002</v>
      </c>
      <c r="O140" s="3">
        <v>3462.7753619999999</v>
      </c>
      <c r="P140" s="3">
        <v>2865.1083039999999</v>
      </c>
      <c r="Q140" s="3">
        <v>2019.1811499999999</v>
      </c>
      <c r="R140" s="3">
        <v>3849.7711979999999</v>
      </c>
      <c r="S140" s="3">
        <v>4464.0311940000001</v>
      </c>
      <c r="T140" s="3">
        <v>4112.7155759999996</v>
      </c>
      <c r="U140" s="3">
        <v>5720.6807250000002</v>
      </c>
      <c r="V140" s="3">
        <v>3876.8526860000002</v>
      </c>
      <c r="W140" s="3">
        <v>2311.726799</v>
      </c>
      <c r="X140" s="3">
        <v>3139.055382</v>
      </c>
      <c r="Y140" s="3">
        <v>425.03277689999999</v>
      </c>
      <c r="Z140" s="3">
        <v>1410.681069</v>
      </c>
      <c r="AA140" s="48" t="s">
        <v>319</v>
      </c>
      <c r="AB140" s="49" t="s">
        <v>346</v>
      </c>
      <c r="AC140" s="3">
        <v>642.3077313</v>
      </c>
      <c r="AD140" s="3">
        <v>577.53020160000005</v>
      </c>
      <c r="AE140" s="3">
        <v>366.63376840000001</v>
      </c>
      <c r="AF140" s="3">
        <v>124.3649607</v>
      </c>
      <c r="AG140" s="3">
        <v>1117.692209</v>
      </c>
      <c r="AH140" s="3">
        <v>771.116491</v>
      </c>
      <c r="AI140" s="3">
        <v>741.98403810000002</v>
      </c>
      <c r="AJ140" s="3">
        <v>772.7612057</v>
      </c>
      <c r="AK140" s="3">
        <v>322.78054930000002</v>
      </c>
      <c r="AL140" s="3">
        <v>476.4028146</v>
      </c>
      <c r="AM140" s="3">
        <v>787.70319180000001</v>
      </c>
      <c r="AN140" s="3">
        <v>96.379021210000005</v>
      </c>
      <c r="AO140" s="3">
        <v>318.40491939999998</v>
      </c>
      <c r="AP140" s="48" t="s">
        <v>319</v>
      </c>
      <c r="AQ140" s="49" t="s">
        <v>346</v>
      </c>
      <c r="AR140" s="3">
        <v>816.21421280000004</v>
      </c>
      <c r="AS140" s="3">
        <v>1026.10391</v>
      </c>
      <c r="AT140" s="3">
        <v>977.93894169999999</v>
      </c>
      <c r="AU140" s="3">
        <v>837.88886869999999</v>
      </c>
      <c r="AV140" s="3">
        <v>136.35814500000001</v>
      </c>
      <c r="AW140" s="3">
        <v>1393.1416770000001</v>
      </c>
      <c r="AX140" s="3">
        <v>859.16827780000006</v>
      </c>
      <c r="AY140" s="3">
        <v>1356.9114999999999</v>
      </c>
      <c r="AZ140" s="3">
        <v>486.30221360000002</v>
      </c>
      <c r="BA140" s="3">
        <v>306.02548339999998</v>
      </c>
      <c r="BB140" s="3">
        <v>418.7202565</v>
      </c>
      <c r="BC140" s="3">
        <v>143.86636110000001</v>
      </c>
      <c r="BD140" s="3">
        <v>736.97483509999995</v>
      </c>
      <c r="BE140" s="48" t="s">
        <v>319</v>
      </c>
      <c r="BF140" s="49" t="s">
        <v>346</v>
      </c>
      <c r="BG140" s="3">
        <v>0</v>
      </c>
      <c r="BH140" s="3">
        <v>0.373</v>
      </c>
      <c r="BI140" s="3">
        <v>0.39750000000000002</v>
      </c>
      <c r="BJ140" s="3">
        <v>0</v>
      </c>
      <c r="BK140" s="3">
        <v>0.309</v>
      </c>
      <c r="BL140" s="3">
        <v>0.57650000000000001</v>
      </c>
      <c r="BM140" s="3">
        <v>0</v>
      </c>
      <c r="BN140" s="3">
        <v>0.22</v>
      </c>
      <c r="BO140" s="3">
        <v>0.35349999999999998</v>
      </c>
      <c r="BP140" s="3">
        <v>0</v>
      </c>
      <c r="BQ140" s="3">
        <v>0.17399999999999999</v>
      </c>
      <c r="BR140" s="3">
        <v>0.197333333</v>
      </c>
      <c r="BS140" s="3">
        <v>0</v>
      </c>
      <c r="BT140" s="3">
        <v>0.38100000000000001</v>
      </c>
      <c r="BU140" s="3">
        <v>0.512583334</v>
      </c>
      <c r="BV140" s="3">
        <v>0</v>
      </c>
      <c r="BW140" s="3">
        <v>0.183</v>
      </c>
      <c r="BX140" s="3">
        <v>0.184</v>
      </c>
      <c r="BY140" s="3">
        <v>0</v>
      </c>
      <c r="BZ140" s="3">
        <v>0.10100000000000001</v>
      </c>
      <c r="CA140" s="3">
        <v>0.59050000000000002</v>
      </c>
      <c r="CB140" s="3">
        <v>0</v>
      </c>
      <c r="CC140" s="3">
        <v>0.46700000000000003</v>
      </c>
      <c r="CD140" s="3">
        <v>0.62766666699999996</v>
      </c>
      <c r="CE140" s="3">
        <v>2E-3</v>
      </c>
      <c r="CF140" s="3">
        <v>0.39700000000000002</v>
      </c>
      <c r="CG140" s="3">
        <v>0.76900000000000002</v>
      </c>
      <c r="CH140" s="3">
        <v>2E-3</v>
      </c>
      <c r="CI140" s="3">
        <v>0.39500000000000002</v>
      </c>
      <c r="CJ140" s="3">
        <v>0.50033333300000005</v>
      </c>
      <c r="CK140" s="3">
        <v>4.0000000000000001E-3</v>
      </c>
      <c r="CL140" s="3">
        <v>0.28299999999999997</v>
      </c>
      <c r="CM140" s="3">
        <v>0.1</v>
      </c>
      <c r="CN140" s="3">
        <v>1E-3</v>
      </c>
      <c r="CO140" s="3">
        <v>0.125</v>
      </c>
      <c r="CP140" s="3">
        <v>0.28933333300000003</v>
      </c>
      <c r="CQ140" s="3">
        <v>2E-3</v>
      </c>
      <c r="CR140" s="3">
        <v>0.183</v>
      </c>
      <c r="CS140" s="3">
        <v>0.28699999999999998</v>
      </c>
      <c r="CT140" s="48" t="s">
        <v>319</v>
      </c>
      <c r="CU140" s="49" t="s">
        <v>346</v>
      </c>
      <c r="CV140" s="3">
        <v>8.4410000000000007</v>
      </c>
      <c r="CW140" s="3">
        <v>9.2360000000000007</v>
      </c>
      <c r="CX140" s="3">
        <v>8.6509999999999998</v>
      </c>
      <c r="CY140" s="3">
        <v>8.5760000000000005</v>
      </c>
      <c r="CZ140" s="3">
        <v>9.7059999999999995</v>
      </c>
      <c r="DA140" s="3">
        <v>10.24</v>
      </c>
      <c r="DB140" s="3">
        <v>7.7549999999999999</v>
      </c>
      <c r="DC140" s="3">
        <v>10.257999999999999</v>
      </c>
      <c r="DD140" s="3">
        <v>10.898</v>
      </c>
      <c r="DE140" s="3">
        <v>10.895</v>
      </c>
      <c r="DF140" s="3">
        <v>11.577</v>
      </c>
      <c r="DG140" s="3">
        <v>10.17</v>
      </c>
      <c r="DH140" s="3">
        <v>10.936999999999999</v>
      </c>
    </row>
    <row r="141" spans="1:112" x14ac:dyDescent="0.3">
      <c r="A141" s="48" t="s">
        <v>319</v>
      </c>
      <c r="B141" s="49" t="s">
        <v>347</v>
      </c>
      <c r="C141" s="3">
        <v>45.128687999999997</v>
      </c>
      <c r="D141" s="3">
        <v>33.431947999999998</v>
      </c>
      <c r="E141" s="3">
        <v>45.883794000000002</v>
      </c>
      <c r="F141" s="3">
        <v>38.171886999999998</v>
      </c>
      <c r="G141" s="3">
        <v>42.773860999999997</v>
      </c>
      <c r="H141" s="3">
        <v>45.883794000000002</v>
      </c>
      <c r="I141" s="48" t="s">
        <v>319</v>
      </c>
      <c r="J141" s="49" t="s">
        <v>347</v>
      </c>
      <c r="K141" s="3">
        <v>38227</v>
      </c>
      <c r="L141" s="48" t="s">
        <v>319</v>
      </c>
      <c r="M141" s="49" t="s">
        <v>347</v>
      </c>
      <c r="N141" s="3">
        <v>4258.8728760000004</v>
      </c>
      <c r="O141" s="3">
        <v>5316.9020049999999</v>
      </c>
      <c r="P141" s="3">
        <v>3386.150545</v>
      </c>
      <c r="Q141" s="3">
        <v>2659.039029</v>
      </c>
      <c r="R141" s="3">
        <v>5171.4827349999996</v>
      </c>
      <c r="S141" s="3">
        <v>6093.8188520000003</v>
      </c>
      <c r="T141" s="3">
        <v>4337.8643039999997</v>
      </c>
      <c r="U141" s="3">
        <v>7432.219349</v>
      </c>
      <c r="V141" s="3">
        <v>4340.4969250000004</v>
      </c>
      <c r="W141" s="3">
        <v>3136.2839309999999</v>
      </c>
      <c r="X141" s="3">
        <v>4666.8627569999999</v>
      </c>
      <c r="Y141" s="3">
        <v>562.09201840000003</v>
      </c>
      <c r="Z141" s="3">
        <v>2252.600492</v>
      </c>
      <c r="AA141" s="48" t="s">
        <v>319</v>
      </c>
      <c r="AB141" s="49" t="s">
        <v>347</v>
      </c>
      <c r="AC141" s="3">
        <v>624.7102592</v>
      </c>
      <c r="AD141" s="3">
        <v>561.70745629999999</v>
      </c>
      <c r="AE141" s="3">
        <v>356.5890076</v>
      </c>
      <c r="AF141" s="3">
        <v>118.9019005</v>
      </c>
      <c r="AG141" s="3">
        <v>1087.0705049999999</v>
      </c>
      <c r="AH141" s="3">
        <v>749.99001180000005</v>
      </c>
      <c r="AI141" s="3">
        <v>721.65570830000001</v>
      </c>
      <c r="AJ141" s="3">
        <v>751.5896659</v>
      </c>
      <c r="AK141" s="3">
        <v>313.93724659999998</v>
      </c>
      <c r="AL141" s="3">
        <v>463.35068269999999</v>
      </c>
      <c r="AM141" s="3">
        <v>766.12228240000002</v>
      </c>
      <c r="AN141" s="3">
        <v>93.738500079999994</v>
      </c>
      <c r="AO141" s="3">
        <v>309.68149699999998</v>
      </c>
      <c r="AP141" s="48" t="s">
        <v>319</v>
      </c>
      <c r="AQ141" s="49" t="s">
        <v>347</v>
      </c>
      <c r="AR141" s="3">
        <v>835.97726880000005</v>
      </c>
      <c r="AS141" s="3">
        <v>1050.9490410000001</v>
      </c>
      <c r="AT141" s="3">
        <v>1001.617851</v>
      </c>
      <c r="AU141" s="3">
        <v>830.11263789999998</v>
      </c>
      <c r="AV141" s="3">
        <v>139.659795</v>
      </c>
      <c r="AW141" s="3">
        <v>1426.8739210000001</v>
      </c>
      <c r="AX141" s="3">
        <v>879.97138380000001</v>
      </c>
      <c r="AY141" s="3">
        <v>1389.7665</v>
      </c>
      <c r="AZ141" s="3">
        <v>498.07708559999998</v>
      </c>
      <c r="BA141" s="3">
        <v>313.43530140000001</v>
      </c>
      <c r="BB141" s="3">
        <v>428.85876150000001</v>
      </c>
      <c r="BC141" s="3">
        <v>147.34980809999999</v>
      </c>
      <c r="BD141" s="3">
        <v>754.81926209999995</v>
      </c>
      <c r="BE141" s="48" t="s">
        <v>319</v>
      </c>
      <c r="BF141" s="49" t="s">
        <v>347</v>
      </c>
      <c r="BG141" s="3">
        <v>0</v>
      </c>
      <c r="BH141" s="3">
        <v>0.38800000000000001</v>
      </c>
      <c r="BI141" s="3">
        <v>0.41949999999999998</v>
      </c>
      <c r="BJ141" s="3">
        <v>0</v>
      </c>
      <c r="BK141" s="3">
        <v>0.33200000000000002</v>
      </c>
      <c r="BL141" s="3">
        <v>0.59899999999999998</v>
      </c>
      <c r="BM141" s="3">
        <v>0</v>
      </c>
      <c r="BN141" s="3">
        <v>0.23300000000000001</v>
      </c>
      <c r="BO141" s="3">
        <v>0.38150000000000001</v>
      </c>
      <c r="BP141" s="3">
        <v>0</v>
      </c>
      <c r="BQ141" s="3">
        <v>0.19600000000000001</v>
      </c>
      <c r="BR141" s="3">
        <v>0.215</v>
      </c>
      <c r="BS141" s="3">
        <v>0</v>
      </c>
      <c r="BT141" s="3">
        <v>0.40100000000000002</v>
      </c>
      <c r="BU141" s="3">
        <v>0.52475000000000005</v>
      </c>
      <c r="BV141" s="3">
        <v>0</v>
      </c>
      <c r="BW141" s="3">
        <v>0.223</v>
      </c>
      <c r="BX141" s="3">
        <v>0.224</v>
      </c>
      <c r="BY141" s="3">
        <v>0</v>
      </c>
      <c r="BZ141" s="3">
        <v>0.123</v>
      </c>
      <c r="CA141" s="3">
        <v>0.63200000000000001</v>
      </c>
      <c r="CB141" s="3">
        <v>0</v>
      </c>
      <c r="CC141" s="3">
        <v>0.47099999999999997</v>
      </c>
      <c r="CD141" s="3">
        <v>0.63</v>
      </c>
      <c r="CE141" s="3">
        <v>0</v>
      </c>
      <c r="CF141" s="3">
        <v>0.437</v>
      </c>
      <c r="CG141" s="3">
        <v>0.76949999999999996</v>
      </c>
      <c r="CH141" s="3">
        <v>0</v>
      </c>
      <c r="CI141" s="3">
        <v>0.437</v>
      </c>
      <c r="CJ141" s="3">
        <v>0.49866666700000001</v>
      </c>
      <c r="CK141" s="3">
        <v>0</v>
      </c>
      <c r="CL141" s="3">
        <v>0.34499999999999997</v>
      </c>
      <c r="CM141" s="3">
        <v>0.1</v>
      </c>
      <c r="CN141" s="3">
        <v>0</v>
      </c>
      <c r="CO141" s="3">
        <v>0.13700000000000001</v>
      </c>
      <c r="CP141" s="3">
        <v>0.30033333299999998</v>
      </c>
      <c r="CQ141" s="3">
        <v>0</v>
      </c>
      <c r="CR141" s="3">
        <v>0.20100000000000001</v>
      </c>
      <c r="CS141" s="3">
        <v>0.308</v>
      </c>
      <c r="CT141" s="48" t="s">
        <v>319</v>
      </c>
      <c r="CU141" s="49" t="s">
        <v>347</v>
      </c>
      <c r="CV141" s="3">
        <v>7.6890000000000001</v>
      </c>
      <c r="CW141" s="3">
        <v>8.5419999999999998</v>
      </c>
      <c r="CX141" s="3">
        <v>8.0670000000000002</v>
      </c>
      <c r="CY141" s="3">
        <v>7.8259999999999996</v>
      </c>
      <c r="CZ141" s="3">
        <v>8.8520000000000003</v>
      </c>
      <c r="DA141" s="3">
        <v>9.4649999999999999</v>
      </c>
      <c r="DB141" s="3">
        <v>7.3780000000000001</v>
      </c>
      <c r="DC141" s="3">
        <v>9.6280000000000001</v>
      </c>
      <c r="DD141" s="3">
        <v>9.8339999999999996</v>
      </c>
      <c r="DE141" s="3">
        <v>9.8339999999999996</v>
      </c>
      <c r="DF141" s="3">
        <v>10.714</v>
      </c>
      <c r="DG141" s="3">
        <v>9.4469999999999992</v>
      </c>
      <c r="DH141" s="3">
        <v>10.145</v>
      </c>
    </row>
    <row r="142" spans="1:112" x14ac:dyDescent="0.3">
      <c r="A142" s="48" t="s">
        <v>319</v>
      </c>
      <c r="B142" s="49" t="s">
        <v>348</v>
      </c>
      <c r="C142" s="3">
        <v>47.941828000000001</v>
      </c>
      <c r="D142" s="3">
        <v>30.840897999999999</v>
      </c>
      <c r="E142" s="3">
        <v>31.307286999999999</v>
      </c>
      <c r="F142" s="3">
        <v>38.049401000000003</v>
      </c>
      <c r="G142" s="3">
        <v>41.505256000000003</v>
      </c>
      <c r="H142" s="3">
        <v>40.871963000000001</v>
      </c>
      <c r="I142" s="48" t="s">
        <v>319</v>
      </c>
      <c r="J142" s="49" t="s">
        <v>348</v>
      </c>
      <c r="K142" s="3">
        <v>36081</v>
      </c>
      <c r="L142" s="48" t="s">
        <v>319</v>
      </c>
      <c r="M142" s="49" t="s">
        <v>348</v>
      </c>
      <c r="N142" s="3">
        <v>5202.8942239999997</v>
      </c>
      <c r="O142" s="3">
        <v>6836.0568679999997</v>
      </c>
      <c r="P142" s="3">
        <v>3253.262667</v>
      </c>
      <c r="Q142" s="3">
        <v>3291.5546789999999</v>
      </c>
      <c r="R142" s="3">
        <v>6573.5224470000003</v>
      </c>
      <c r="S142" s="3">
        <v>7096.3615030000001</v>
      </c>
      <c r="T142" s="3">
        <v>4404.9022560000003</v>
      </c>
      <c r="U142" s="3">
        <v>7046.974733</v>
      </c>
      <c r="V142" s="3">
        <v>3963.4054379999998</v>
      </c>
      <c r="W142" s="3">
        <v>3810.5692669999999</v>
      </c>
      <c r="X142" s="3">
        <v>5564.7020060000004</v>
      </c>
      <c r="Y142" s="3">
        <v>692.00988849999999</v>
      </c>
      <c r="Z142" s="3">
        <v>3032.445933</v>
      </c>
      <c r="AA142" s="48" t="s">
        <v>319</v>
      </c>
      <c r="AB142" s="49" t="s">
        <v>348</v>
      </c>
      <c r="AC142" s="3">
        <v>424.978951</v>
      </c>
      <c r="AD142" s="3">
        <v>382.1192977</v>
      </c>
      <c r="AE142" s="3">
        <v>242.58097280000001</v>
      </c>
      <c r="AF142" s="3">
        <v>80.981834910000003</v>
      </c>
      <c r="AG142" s="3">
        <v>739.51416029999996</v>
      </c>
      <c r="AH142" s="3">
        <v>510.20447280000002</v>
      </c>
      <c r="AI142" s="3">
        <v>490.92916500000001</v>
      </c>
      <c r="AJ142" s="3">
        <v>511.29268819999999</v>
      </c>
      <c r="AK142" s="3">
        <v>213.5657607</v>
      </c>
      <c r="AL142" s="3">
        <v>315.20898560000001</v>
      </c>
      <c r="AM142" s="3">
        <v>521.17896110000004</v>
      </c>
      <c r="AN142" s="3">
        <v>63.768585260000002</v>
      </c>
      <c r="AO142" s="3">
        <v>210.67065220000001</v>
      </c>
      <c r="AP142" s="48" t="s">
        <v>319</v>
      </c>
      <c r="AQ142" s="49" t="s">
        <v>348</v>
      </c>
      <c r="AR142" s="3">
        <v>832.02465759999995</v>
      </c>
      <c r="AS142" s="3">
        <v>1045.9800150000001</v>
      </c>
      <c r="AT142" s="3">
        <v>996.88206890000004</v>
      </c>
      <c r="AU142" s="3">
        <v>812.61611860000005</v>
      </c>
      <c r="AV142" s="3">
        <v>138.99946499999999</v>
      </c>
      <c r="AW142" s="3">
        <v>1420.1274719999999</v>
      </c>
      <c r="AX142" s="3">
        <v>875.81076259999998</v>
      </c>
      <c r="AY142" s="3">
        <v>1383.1955</v>
      </c>
      <c r="AZ142" s="3">
        <v>495.72211119999997</v>
      </c>
      <c r="BA142" s="3">
        <v>311.95333779999999</v>
      </c>
      <c r="BB142" s="3">
        <v>426.83106049999998</v>
      </c>
      <c r="BC142" s="3">
        <v>146.65311869999999</v>
      </c>
      <c r="BD142" s="3">
        <v>751.25037669999995</v>
      </c>
      <c r="BE142" s="48" t="s">
        <v>319</v>
      </c>
      <c r="BF142" s="49" t="s">
        <v>348</v>
      </c>
      <c r="BG142" s="3">
        <v>0</v>
      </c>
      <c r="BH142" s="3">
        <v>0.36099999999999999</v>
      </c>
      <c r="BI142" s="3">
        <v>0.42749999999999999</v>
      </c>
      <c r="BJ142" s="3">
        <v>0</v>
      </c>
      <c r="BK142" s="3">
        <v>0.28799999999999998</v>
      </c>
      <c r="BL142" s="3">
        <v>0.59850000000000003</v>
      </c>
      <c r="BM142" s="3">
        <v>0</v>
      </c>
      <c r="BN142" s="3">
        <v>0.20300000000000001</v>
      </c>
      <c r="BO142" s="3">
        <v>0.3785</v>
      </c>
      <c r="BP142" s="3">
        <v>0</v>
      </c>
      <c r="BQ142" s="3">
        <v>0.192</v>
      </c>
      <c r="BR142" s="3">
        <v>0.221</v>
      </c>
      <c r="BS142" s="3">
        <v>0</v>
      </c>
      <c r="BT142" s="3">
        <v>0.36699999999999999</v>
      </c>
      <c r="BU142" s="3">
        <v>0.520416667</v>
      </c>
      <c r="BV142" s="3">
        <v>0</v>
      </c>
      <c r="BW142" s="3">
        <v>0.221</v>
      </c>
      <c r="BX142" s="3">
        <v>0.249</v>
      </c>
      <c r="BY142" s="3">
        <v>0</v>
      </c>
      <c r="BZ142" s="3">
        <v>0.14000000000000001</v>
      </c>
      <c r="CA142" s="3">
        <v>0.64400000000000002</v>
      </c>
      <c r="CB142" s="3">
        <v>0</v>
      </c>
      <c r="CC142" s="3">
        <v>0.44400000000000001</v>
      </c>
      <c r="CD142" s="3">
        <v>0.61333333300000004</v>
      </c>
      <c r="CE142" s="3">
        <v>0</v>
      </c>
      <c r="CF142" s="3">
        <v>0.41499999999999998</v>
      </c>
      <c r="CG142" s="3">
        <v>0.73550000000000004</v>
      </c>
      <c r="CH142" s="3">
        <v>0</v>
      </c>
      <c r="CI142" s="3">
        <v>0.41599999999999998</v>
      </c>
      <c r="CJ142" s="3">
        <v>0.48366666699999999</v>
      </c>
      <c r="CK142" s="3">
        <v>0</v>
      </c>
      <c r="CL142" s="3">
        <v>0.35899999999999999</v>
      </c>
      <c r="CM142" s="3">
        <v>0.1</v>
      </c>
      <c r="CN142" s="3">
        <v>0</v>
      </c>
      <c r="CO142" s="3">
        <v>0.13200000000000001</v>
      </c>
      <c r="CP142" s="3">
        <v>0.29699999999999999</v>
      </c>
      <c r="CQ142" s="3">
        <v>0</v>
      </c>
      <c r="CR142" s="3">
        <v>0.19700000000000001</v>
      </c>
      <c r="CS142" s="3">
        <v>0.30599999999999999</v>
      </c>
      <c r="CT142" s="48" t="s">
        <v>319</v>
      </c>
      <c r="CU142" s="49" t="s">
        <v>348</v>
      </c>
      <c r="CV142" s="3">
        <v>7.4450000000000003</v>
      </c>
      <c r="CW142" s="3">
        <v>8.1069999999999993</v>
      </c>
      <c r="CX142" s="3">
        <v>7.7549999999999999</v>
      </c>
      <c r="CY142" s="3">
        <v>7.3860000000000001</v>
      </c>
      <c r="CZ142" s="3">
        <v>8.2639999999999993</v>
      </c>
      <c r="DA142" s="3">
        <v>8.8930000000000007</v>
      </c>
      <c r="DB142" s="3">
        <v>7.2350000000000003</v>
      </c>
      <c r="DC142" s="3">
        <v>9.3070000000000004</v>
      </c>
      <c r="DD142" s="3">
        <v>9.1519999999999992</v>
      </c>
      <c r="DE142" s="3">
        <v>9.1549999999999994</v>
      </c>
      <c r="DF142" s="3">
        <v>10.324</v>
      </c>
      <c r="DG142" s="3">
        <v>8.8849999999999998</v>
      </c>
      <c r="DH142" s="3">
        <v>9.702</v>
      </c>
    </row>
    <row r="143" spans="1:112" x14ac:dyDescent="0.3">
      <c r="A143" s="48" t="s">
        <v>319</v>
      </c>
      <c r="B143" s="49" t="s">
        <v>349</v>
      </c>
      <c r="C143" s="3">
        <v>43.203907999999998</v>
      </c>
      <c r="D143" s="3">
        <v>30.840897999999999</v>
      </c>
      <c r="E143" s="3">
        <v>27.287458000000001</v>
      </c>
      <c r="F143" s="3">
        <v>37.778182000000001</v>
      </c>
      <c r="G143" s="3">
        <v>39.020539999999997</v>
      </c>
      <c r="H143" s="3">
        <v>32.232661999999998</v>
      </c>
      <c r="I143" s="48" t="s">
        <v>319</v>
      </c>
      <c r="J143" s="49" t="s">
        <v>349</v>
      </c>
      <c r="K143" s="3">
        <v>33387</v>
      </c>
      <c r="L143" s="48" t="s">
        <v>319</v>
      </c>
      <c r="M143" s="49" t="s">
        <v>349</v>
      </c>
      <c r="N143" s="3">
        <v>4733.5015649999996</v>
      </c>
      <c r="O143" s="3">
        <v>6241.4076420000001</v>
      </c>
      <c r="P143" s="3">
        <v>2668.486105</v>
      </c>
      <c r="Q143" s="3">
        <v>2825.796621</v>
      </c>
      <c r="R143" s="3">
        <v>6272.430515</v>
      </c>
      <c r="S143" s="3">
        <v>6585.0581570000004</v>
      </c>
      <c r="T143" s="3">
        <v>3806.7617799999998</v>
      </c>
      <c r="U143" s="3">
        <v>5835.1186129999996</v>
      </c>
      <c r="V143" s="3">
        <v>3250.8628600000002</v>
      </c>
      <c r="W143" s="3">
        <v>3438.0870580000001</v>
      </c>
      <c r="X143" s="3">
        <v>5139.8187379999999</v>
      </c>
      <c r="Y143" s="3">
        <v>676.76028199999996</v>
      </c>
      <c r="Z143" s="3">
        <v>2862.4370389999999</v>
      </c>
      <c r="AA143" s="48" t="s">
        <v>319</v>
      </c>
      <c r="AB143" s="49" t="s">
        <v>349</v>
      </c>
      <c r="AC143" s="3">
        <v>405.26978229999997</v>
      </c>
      <c r="AD143" s="3">
        <v>364.39782309999998</v>
      </c>
      <c r="AE143" s="3">
        <v>231.33084070000001</v>
      </c>
      <c r="AF143" s="3">
        <v>78.957289029999998</v>
      </c>
      <c r="AG143" s="3">
        <v>705.21785139999997</v>
      </c>
      <c r="AH143" s="3">
        <v>486.54281609999998</v>
      </c>
      <c r="AI143" s="3">
        <v>468.1614356</v>
      </c>
      <c r="AJ143" s="3">
        <v>487.58056349999998</v>
      </c>
      <c r="AK143" s="3">
        <v>203.66126159999999</v>
      </c>
      <c r="AL143" s="3">
        <v>300.59059780000001</v>
      </c>
      <c r="AM143" s="3">
        <v>497.00834270000001</v>
      </c>
      <c r="AN143" s="3">
        <v>60.811201599999997</v>
      </c>
      <c r="AO143" s="3">
        <v>200.900419</v>
      </c>
      <c r="AP143" s="48" t="s">
        <v>319</v>
      </c>
      <c r="AQ143" s="49" t="s">
        <v>349</v>
      </c>
      <c r="AR143" s="3">
        <v>824.1194352</v>
      </c>
      <c r="AS143" s="3">
        <v>1036.0419629999999</v>
      </c>
      <c r="AT143" s="3">
        <v>987.41050529999995</v>
      </c>
      <c r="AU143" s="3">
        <v>775.67902230000004</v>
      </c>
      <c r="AV143" s="3">
        <v>137.67880500000001</v>
      </c>
      <c r="AW143" s="3">
        <v>1406.634575</v>
      </c>
      <c r="AX143" s="3">
        <v>867.48952020000002</v>
      </c>
      <c r="AY143" s="3">
        <v>1370.0535</v>
      </c>
      <c r="AZ143" s="3">
        <v>491.01216240000002</v>
      </c>
      <c r="BA143" s="3">
        <v>308.98941059999999</v>
      </c>
      <c r="BB143" s="3">
        <v>422.77565850000002</v>
      </c>
      <c r="BC143" s="3">
        <v>145.2597399</v>
      </c>
      <c r="BD143" s="3">
        <v>744.11260589999995</v>
      </c>
      <c r="BE143" s="48" t="s">
        <v>319</v>
      </c>
      <c r="BF143" s="49" t="s">
        <v>349</v>
      </c>
      <c r="BG143" s="3">
        <v>0</v>
      </c>
      <c r="BH143" s="3">
        <v>0.313</v>
      </c>
      <c r="BI143" s="3">
        <v>0.42099999999999999</v>
      </c>
      <c r="BJ143" s="3">
        <v>0</v>
      </c>
      <c r="BK143" s="3">
        <v>0.23100000000000001</v>
      </c>
      <c r="BL143" s="3">
        <v>0.55500000000000005</v>
      </c>
      <c r="BM143" s="3">
        <v>0</v>
      </c>
      <c r="BN143" s="3">
        <v>0.16200000000000001</v>
      </c>
      <c r="BO143" s="3">
        <v>0.34300000000000003</v>
      </c>
      <c r="BP143" s="3">
        <v>0</v>
      </c>
      <c r="BQ143" s="3">
        <v>0.17899999999999999</v>
      </c>
      <c r="BR143" s="3">
        <v>0.222</v>
      </c>
      <c r="BS143" s="3">
        <v>0</v>
      </c>
      <c r="BT143" s="3">
        <v>0.32100000000000001</v>
      </c>
      <c r="BU143" s="3">
        <v>0.50016666700000001</v>
      </c>
      <c r="BV143" s="3">
        <v>0</v>
      </c>
      <c r="BW143" s="3">
        <v>0.20499999999999999</v>
      </c>
      <c r="BX143" s="3">
        <v>0.26900000000000002</v>
      </c>
      <c r="BY143" s="3">
        <v>0</v>
      </c>
      <c r="BZ143" s="3">
        <v>0.152</v>
      </c>
      <c r="CA143" s="3">
        <v>0.64749999999999996</v>
      </c>
      <c r="CB143" s="3">
        <v>0</v>
      </c>
      <c r="CC143" s="3">
        <v>0.40899999999999997</v>
      </c>
      <c r="CD143" s="3">
        <v>0.57933333300000001</v>
      </c>
      <c r="CE143" s="3">
        <v>0</v>
      </c>
      <c r="CF143" s="3">
        <v>0.36699999999999999</v>
      </c>
      <c r="CG143" s="3">
        <v>0.7</v>
      </c>
      <c r="CH143" s="3">
        <v>0</v>
      </c>
      <c r="CI143" s="3">
        <v>0.36699999999999999</v>
      </c>
      <c r="CJ143" s="3">
        <v>0.51133333299999995</v>
      </c>
      <c r="CK143" s="3">
        <v>0</v>
      </c>
      <c r="CL143" s="3">
        <v>0.33700000000000002</v>
      </c>
      <c r="CM143" s="3">
        <v>0.1</v>
      </c>
      <c r="CN143" s="3">
        <v>0</v>
      </c>
      <c r="CO143" s="3">
        <v>0.125</v>
      </c>
      <c r="CP143" s="3">
        <v>0.28433333300000002</v>
      </c>
      <c r="CQ143" s="3">
        <v>0</v>
      </c>
      <c r="CR143" s="3">
        <v>0.19</v>
      </c>
      <c r="CS143" s="3">
        <v>0.28899999999999998</v>
      </c>
      <c r="CT143" s="48" t="s">
        <v>319</v>
      </c>
      <c r="CU143" s="49" t="s">
        <v>349</v>
      </c>
      <c r="CV143" s="3">
        <v>7.32</v>
      </c>
      <c r="CW143" s="3">
        <v>7.702</v>
      </c>
      <c r="CX143" s="3">
        <v>7.4969999999999999</v>
      </c>
      <c r="CY143" s="3">
        <v>6.9139999999999997</v>
      </c>
      <c r="CZ143" s="3">
        <v>7.6710000000000003</v>
      </c>
      <c r="DA143" s="3">
        <v>8.3290000000000006</v>
      </c>
      <c r="DB143" s="3">
        <v>7.1920000000000002</v>
      </c>
      <c r="DC143" s="3">
        <v>9.0609999999999999</v>
      </c>
      <c r="DD143" s="3">
        <v>8.4619999999999997</v>
      </c>
      <c r="DE143" s="3">
        <v>8.4659999999999993</v>
      </c>
      <c r="DF143" s="3">
        <v>9.9260000000000002</v>
      </c>
      <c r="DG143" s="3">
        <v>8.1300000000000008</v>
      </c>
      <c r="DH143" s="3">
        <v>8.8979999999999997</v>
      </c>
    </row>
    <row r="144" spans="1:112" x14ac:dyDescent="0.3">
      <c r="A144" s="48" t="s">
        <v>319</v>
      </c>
      <c r="B144" s="49" t="s">
        <v>350</v>
      </c>
      <c r="C144" s="3">
        <v>36.563417000000001</v>
      </c>
      <c r="D144" s="3">
        <v>30.315284999999999</v>
      </c>
      <c r="E144" s="3">
        <v>22.80124</v>
      </c>
      <c r="F144" s="3">
        <v>36.850788000000001</v>
      </c>
      <c r="G144" s="3">
        <v>36.850788000000001</v>
      </c>
      <c r="H144" s="3">
        <v>30.826091999999999</v>
      </c>
      <c r="I144" s="48" t="s">
        <v>319</v>
      </c>
      <c r="J144" s="49" t="s">
        <v>350</v>
      </c>
      <c r="K144" s="3">
        <v>29798.5</v>
      </c>
      <c r="L144" s="48" t="s">
        <v>319</v>
      </c>
      <c r="M144" s="49" t="s">
        <v>350</v>
      </c>
      <c r="N144" s="3">
        <v>3948.984113</v>
      </c>
      <c r="O144" s="3">
        <v>5068.0273740000002</v>
      </c>
      <c r="P144" s="3">
        <v>1976.3706279999999</v>
      </c>
      <c r="Q144" s="3">
        <v>2235.459343</v>
      </c>
      <c r="R144" s="3">
        <v>5494.571508</v>
      </c>
      <c r="S144" s="3">
        <v>5384.9754229999999</v>
      </c>
      <c r="T144" s="3">
        <v>3121.902157</v>
      </c>
      <c r="U144" s="3">
        <v>4167.072709</v>
      </c>
      <c r="V144" s="3">
        <v>2564.31549</v>
      </c>
      <c r="W144" s="3">
        <v>2818.2631799999999</v>
      </c>
      <c r="X144" s="3">
        <v>4220.891713</v>
      </c>
      <c r="Y144" s="3">
        <v>554.25326089999999</v>
      </c>
      <c r="Z144" s="3">
        <v>2315.7934059999998</v>
      </c>
      <c r="AA144" s="48" t="s">
        <v>319</v>
      </c>
      <c r="AB144" s="49" t="s">
        <v>350</v>
      </c>
      <c r="AC144" s="3">
        <v>386.79243659999997</v>
      </c>
      <c r="AD144" s="3">
        <v>347.78394059999999</v>
      </c>
      <c r="AE144" s="3">
        <v>220.7838419</v>
      </c>
      <c r="AF144" s="3">
        <v>71.983853249999996</v>
      </c>
      <c r="AG144" s="3">
        <v>673.06506179999997</v>
      </c>
      <c r="AH144" s="3">
        <v>464.36001299999998</v>
      </c>
      <c r="AI144" s="3">
        <v>446.81668930000001</v>
      </c>
      <c r="AJ144" s="3">
        <v>465.3504466</v>
      </c>
      <c r="AK144" s="3">
        <v>194.3757938</v>
      </c>
      <c r="AL144" s="3">
        <v>286.88585929999999</v>
      </c>
      <c r="AM144" s="3">
        <v>474.34838780000001</v>
      </c>
      <c r="AN144" s="3">
        <v>58.038654409999999</v>
      </c>
      <c r="AO144" s="3">
        <v>191.74082540000001</v>
      </c>
      <c r="AP144" s="48" t="s">
        <v>319</v>
      </c>
      <c r="AQ144" s="49" t="s">
        <v>350</v>
      </c>
      <c r="AR144" s="3">
        <v>770.759184</v>
      </c>
      <c r="AS144" s="3">
        <v>968.96010899999999</v>
      </c>
      <c r="AT144" s="3">
        <v>923.47745099999997</v>
      </c>
      <c r="AU144" s="3">
        <v>738.74192600000003</v>
      </c>
      <c r="AV144" s="3">
        <v>128.76435000000001</v>
      </c>
      <c r="AW144" s="3">
        <v>1315.5575160000001</v>
      </c>
      <c r="AX144" s="3">
        <v>811.32113400000003</v>
      </c>
      <c r="AY144" s="3">
        <v>1281.345</v>
      </c>
      <c r="AZ144" s="3">
        <v>459.22000800000001</v>
      </c>
      <c r="BA144" s="3">
        <v>288.98290200000002</v>
      </c>
      <c r="BB144" s="3">
        <v>395.40169500000002</v>
      </c>
      <c r="BC144" s="3">
        <v>135.854433</v>
      </c>
      <c r="BD144" s="3">
        <v>695.93265299999996</v>
      </c>
      <c r="BE144" s="48" t="s">
        <v>319</v>
      </c>
      <c r="BF144" s="49" t="s">
        <v>350</v>
      </c>
      <c r="BG144" s="3">
        <v>0</v>
      </c>
      <c r="BH144" s="3">
        <v>0.26300000000000001</v>
      </c>
      <c r="BI144" s="3">
        <v>0.39050000000000001</v>
      </c>
      <c r="BJ144" s="3">
        <v>0</v>
      </c>
      <c r="BK144" s="3">
        <v>0.185</v>
      </c>
      <c r="BL144" s="3">
        <v>0.46700000000000003</v>
      </c>
      <c r="BM144" s="3">
        <v>0</v>
      </c>
      <c r="BN144" s="3">
        <v>0.129</v>
      </c>
      <c r="BO144" s="3">
        <v>0.28749999999999998</v>
      </c>
      <c r="BP144" s="3">
        <v>0</v>
      </c>
      <c r="BQ144" s="3">
        <v>0.16</v>
      </c>
      <c r="BR144" s="3">
        <v>0.212666667</v>
      </c>
      <c r="BS144" s="3">
        <v>0</v>
      </c>
      <c r="BT144" s="3">
        <v>0.27800000000000002</v>
      </c>
      <c r="BU144" s="3">
        <v>0.45658333400000001</v>
      </c>
      <c r="BV144" s="3">
        <v>0</v>
      </c>
      <c r="BW144" s="3">
        <v>0.184</v>
      </c>
      <c r="BX144" s="3">
        <v>0.26700000000000002</v>
      </c>
      <c r="BY144" s="3">
        <v>0</v>
      </c>
      <c r="BZ144" s="3">
        <v>0.16200000000000001</v>
      </c>
      <c r="CA144" s="3">
        <v>0.65500000000000003</v>
      </c>
      <c r="CB144" s="3">
        <v>0</v>
      </c>
      <c r="CC144" s="3">
        <v>0.34699999999999998</v>
      </c>
      <c r="CD144" s="3">
        <v>0.52266666699999997</v>
      </c>
      <c r="CE144" s="3">
        <v>0</v>
      </c>
      <c r="CF144" s="3">
        <v>0.312</v>
      </c>
      <c r="CG144" s="3">
        <v>0.61899999999999999</v>
      </c>
      <c r="CH144" s="3">
        <v>0</v>
      </c>
      <c r="CI144" s="3">
        <v>0.312</v>
      </c>
      <c r="CJ144" s="3">
        <v>0.53733333299999997</v>
      </c>
      <c r="CK144" s="3">
        <v>0</v>
      </c>
      <c r="CL144" s="3">
        <v>0.30199999999999999</v>
      </c>
      <c r="CM144" s="3">
        <v>0.1</v>
      </c>
      <c r="CN144" s="3">
        <v>0</v>
      </c>
      <c r="CO144" s="3">
        <v>0.11799999999999999</v>
      </c>
      <c r="CP144" s="3">
        <v>0.261333333</v>
      </c>
      <c r="CQ144" s="3">
        <v>0</v>
      </c>
      <c r="CR144" s="3">
        <v>0.185</v>
      </c>
      <c r="CS144" s="3">
        <v>0.26600000000000001</v>
      </c>
      <c r="CT144" s="48" t="s">
        <v>319</v>
      </c>
      <c r="CU144" s="49" t="s">
        <v>350</v>
      </c>
      <c r="CV144" s="3">
        <v>7.2619999999999996</v>
      </c>
      <c r="CW144" s="3">
        <v>7.4059999999999997</v>
      </c>
      <c r="CX144" s="3">
        <v>7.2859999999999996</v>
      </c>
      <c r="CY144" s="3">
        <v>6.2510000000000003</v>
      </c>
      <c r="CZ144" s="3">
        <v>7.23</v>
      </c>
      <c r="DA144" s="3">
        <v>7.71</v>
      </c>
      <c r="DB144" s="3">
        <v>7.1769999999999996</v>
      </c>
      <c r="DC144" s="3">
        <v>8.8759999999999994</v>
      </c>
      <c r="DD144" s="3">
        <v>8.0009999999999994</v>
      </c>
      <c r="DE144" s="3">
        <v>8.0009999999999994</v>
      </c>
      <c r="DF144" s="3">
        <v>9.4550000000000001</v>
      </c>
      <c r="DG144" s="3">
        <v>7.2729999999999997</v>
      </c>
      <c r="DH144" s="3">
        <v>8.0380000000000003</v>
      </c>
    </row>
    <row r="145" spans="1:112" x14ac:dyDescent="0.3">
      <c r="A145" s="48" t="s">
        <v>319</v>
      </c>
      <c r="B145" s="49" t="s">
        <v>351</v>
      </c>
      <c r="C145" s="3">
        <v>26.806263000000001</v>
      </c>
      <c r="D145" s="3">
        <v>24.962916</v>
      </c>
      <c r="E145" s="3">
        <v>37.318522999999999</v>
      </c>
      <c r="F145" s="3">
        <v>35.853402000000003</v>
      </c>
      <c r="G145" s="3">
        <v>15.118271999999999</v>
      </c>
      <c r="H145" s="3">
        <v>36.422759999999997</v>
      </c>
      <c r="I145" s="48" t="s">
        <v>319</v>
      </c>
      <c r="J145" s="49" t="s">
        <v>351</v>
      </c>
      <c r="K145" s="3">
        <v>25934</v>
      </c>
      <c r="L145" s="48" t="s">
        <v>319</v>
      </c>
      <c r="M145" s="49" t="s">
        <v>351</v>
      </c>
      <c r="N145" s="3">
        <v>3138.5476760000001</v>
      </c>
      <c r="O145" s="3">
        <v>3925.6875049999999</v>
      </c>
      <c r="P145" s="3">
        <v>1204.1535180000001</v>
      </c>
      <c r="Q145" s="3">
        <v>1664.498306</v>
      </c>
      <c r="R145" s="3">
        <v>4653.717431</v>
      </c>
      <c r="S145" s="3">
        <v>4158.6014910000004</v>
      </c>
      <c r="T145" s="3">
        <v>2208.0606149999999</v>
      </c>
      <c r="U145" s="3">
        <v>2928.9762930000002</v>
      </c>
      <c r="V145" s="3">
        <v>1667.3518079999999</v>
      </c>
      <c r="W145" s="3">
        <v>2162.4686799999999</v>
      </c>
      <c r="X145" s="3">
        <v>3314.952213</v>
      </c>
      <c r="Y145" s="3">
        <v>438.61783120000001</v>
      </c>
      <c r="Z145" s="3">
        <v>1750.2874899999999</v>
      </c>
      <c r="AA145" s="48" t="s">
        <v>319</v>
      </c>
      <c r="AB145" s="49" t="s">
        <v>351</v>
      </c>
      <c r="AC145" s="3">
        <v>346.14227599999998</v>
      </c>
      <c r="AD145" s="3">
        <v>311.23339900000002</v>
      </c>
      <c r="AE145" s="3">
        <v>197.5804445</v>
      </c>
      <c r="AF145" s="3">
        <v>62.535972510000001</v>
      </c>
      <c r="AG145" s="3">
        <v>602.32892479999998</v>
      </c>
      <c r="AH145" s="3">
        <v>415.55784599999998</v>
      </c>
      <c r="AI145" s="3">
        <v>399.85824739999998</v>
      </c>
      <c r="AJ145" s="3">
        <v>416.44418949999999</v>
      </c>
      <c r="AK145" s="3">
        <v>173.94776450000001</v>
      </c>
      <c r="AL145" s="3">
        <v>256.73543460000002</v>
      </c>
      <c r="AM145" s="3">
        <v>424.49648719999999</v>
      </c>
      <c r="AN145" s="3">
        <v>51.939050610000002</v>
      </c>
      <c r="AO145" s="3">
        <v>171.5897196</v>
      </c>
      <c r="AP145" s="48" t="s">
        <v>319</v>
      </c>
      <c r="AQ145" s="49" t="s">
        <v>351</v>
      </c>
      <c r="AR145" s="3">
        <v>666.01498719999995</v>
      </c>
      <c r="AS145" s="3">
        <v>837.28091470000004</v>
      </c>
      <c r="AT145" s="3">
        <v>797.97923330000003</v>
      </c>
      <c r="AU145" s="3">
        <v>647.37121409999997</v>
      </c>
      <c r="AV145" s="3">
        <v>111.26560499999999</v>
      </c>
      <c r="AW145" s="3">
        <v>1136.776623</v>
      </c>
      <c r="AX145" s="3">
        <v>701.06467220000002</v>
      </c>
      <c r="AY145" s="3">
        <v>1107.2135000000001</v>
      </c>
      <c r="AZ145" s="3">
        <v>396.81318640000001</v>
      </c>
      <c r="BA145" s="3">
        <v>249.7108666</v>
      </c>
      <c r="BB145" s="3">
        <v>341.6676185</v>
      </c>
      <c r="BC145" s="3">
        <v>117.3921639</v>
      </c>
      <c r="BD145" s="3">
        <v>601.35718989999998</v>
      </c>
      <c r="BE145" s="48" t="s">
        <v>319</v>
      </c>
      <c r="BF145" s="49" t="s">
        <v>351</v>
      </c>
      <c r="BG145" s="3">
        <v>0</v>
      </c>
      <c r="BH145" s="3">
        <v>0.214</v>
      </c>
      <c r="BI145" s="3">
        <v>0.33900000000000002</v>
      </c>
      <c r="BJ145" s="3">
        <v>0</v>
      </c>
      <c r="BK145" s="3">
        <v>0.151</v>
      </c>
      <c r="BL145" s="3">
        <v>0.36449999999999999</v>
      </c>
      <c r="BM145" s="3">
        <v>0</v>
      </c>
      <c r="BN145" s="3">
        <v>9.4E-2</v>
      </c>
      <c r="BO145" s="3">
        <v>0.2185</v>
      </c>
      <c r="BP145" s="3">
        <v>0</v>
      </c>
      <c r="BQ145" s="3">
        <v>0.13300000000000001</v>
      </c>
      <c r="BR145" s="3">
        <v>0.194333333</v>
      </c>
      <c r="BS145" s="3">
        <v>0</v>
      </c>
      <c r="BT145" s="3">
        <v>0.24099999999999999</v>
      </c>
      <c r="BU145" s="3">
        <v>0.38233333400000002</v>
      </c>
      <c r="BV145" s="3">
        <v>0</v>
      </c>
      <c r="BW145" s="3">
        <v>0.14399999999999999</v>
      </c>
      <c r="BX145" s="3">
        <v>0.23499999999999999</v>
      </c>
      <c r="BY145" s="3">
        <v>0</v>
      </c>
      <c r="BZ145" s="3">
        <v>0.16800000000000001</v>
      </c>
      <c r="CA145" s="3">
        <v>0.62749999999999995</v>
      </c>
      <c r="CB145" s="3">
        <v>0</v>
      </c>
      <c r="CC145" s="3">
        <v>0.27200000000000002</v>
      </c>
      <c r="CD145" s="3">
        <v>0.425666667</v>
      </c>
      <c r="CE145" s="3">
        <v>0</v>
      </c>
      <c r="CF145" s="3">
        <v>0.27400000000000002</v>
      </c>
      <c r="CG145" s="3">
        <v>0.4955</v>
      </c>
      <c r="CH145" s="3">
        <v>0</v>
      </c>
      <c r="CI145" s="3">
        <v>0.27300000000000002</v>
      </c>
      <c r="CJ145" s="3">
        <v>0.53833333299999997</v>
      </c>
      <c r="CK145" s="3">
        <v>0</v>
      </c>
      <c r="CL145" s="3">
        <v>0.26900000000000002</v>
      </c>
      <c r="CM145" s="3">
        <v>0.1</v>
      </c>
      <c r="CN145" s="3">
        <v>0</v>
      </c>
      <c r="CO145" s="3">
        <v>0.105</v>
      </c>
      <c r="CP145" s="3">
        <v>0.22866666699999999</v>
      </c>
      <c r="CQ145" s="3">
        <v>0</v>
      </c>
      <c r="CR145" s="3">
        <v>0.17399999999999999</v>
      </c>
      <c r="CS145" s="3">
        <v>0.23599999999999999</v>
      </c>
      <c r="CT145" s="48" t="s">
        <v>319</v>
      </c>
      <c r="CU145" s="49" t="s">
        <v>351</v>
      </c>
      <c r="CV145" s="3">
        <v>7.26</v>
      </c>
      <c r="CW145" s="3">
        <v>7.1669999999999998</v>
      </c>
      <c r="CX145" s="3">
        <v>7.0810000000000004</v>
      </c>
      <c r="CY145" s="3">
        <v>5.1740000000000004</v>
      </c>
      <c r="CZ145" s="3">
        <v>6.9340000000000002</v>
      </c>
      <c r="DA145" s="3">
        <v>6.6470000000000002</v>
      </c>
      <c r="DB145" s="3">
        <v>7.1710000000000003</v>
      </c>
      <c r="DC145" s="3">
        <v>8.76</v>
      </c>
      <c r="DD145" s="3">
        <v>7.6059999999999999</v>
      </c>
      <c r="DE145" s="3">
        <v>7.6040000000000001</v>
      </c>
      <c r="DF145" s="3">
        <v>8.6660000000000004</v>
      </c>
      <c r="DG145" s="3">
        <v>6.3959999999999999</v>
      </c>
      <c r="DH145" s="3">
        <v>7.2460000000000004</v>
      </c>
    </row>
    <row r="146" spans="1:112" x14ac:dyDescent="0.3">
      <c r="A146" s="48" t="s">
        <v>319</v>
      </c>
      <c r="B146" s="49" t="s">
        <v>352</v>
      </c>
      <c r="C146" s="3">
        <v>31.025973</v>
      </c>
      <c r="D146" s="3">
        <v>20.795027000000001</v>
      </c>
      <c r="E146" s="3">
        <v>31.418331999999999</v>
      </c>
      <c r="F146" s="3">
        <v>35.109737000000003</v>
      </c>
      <c r="G146" s="3">
        <v>35.109737000000003</v>
      </c>
      <c r="H146" s="3">
        <v>29.989553000000001</v>
      </c>
      <c r="I146" s="48" t="s">
        <v>319</v>
      </c>
      <c r="J146" s="49" t="s">
        <v>352</v>
      </c>
      <c r="K146" s="3">
        <v>24325</v>
      </c>
      <c r="L146" s="48" t="s">
        <v>319</v>
      </c>
      <c r="M146" s="49" t="s">
        <v>352</v>
      </c>
      <c r="N146" s="3">
        <v>2047.518112</v>
      </c>
      <c r="O146" s="3">
        <v>2555.3851169999998</v>
      </c>
      <c r="P146" s="3">
        <v>584.76387460000001</v>
      </c>
      <c r="Q146" s="3">
        <v>959.92071450000003</v>
      </c>
      <c r="R146" s="3">
        <v>3504.475398</v>
      </c>
      <c r="S146" s="3">
        <v>2729.5975389999999</v>
      </c>
      <c r="T146" s="3">
        <v>1384.871382</v>
      </c>
      <c r="U146" s="3">
        <v>1540.3433769999999</v>
      </c>
      <c r="V146" s="3">
        <v>978.41191990000004</v>
      </c>
      <c r="W146" s="3">
        <v>1382.1648049999999</v>
      </c>
      <c r="X146" s="3">
        <v>2263.2425659999999</v>
      </c>
      <c r="Y146" s="3">
        <v>317.72384620000003</v>
      </c>
      <c r="Z146" s="3">
        <v>1352.744463</v>
      </c>
      <c r="AA146" s="48" t="s">
        <v>319</v>
      </c>
      <c r="AB146" s="49" t="s">
        <v>352</v>
      </c>
      <c r="AC146" s="3">
        <v>316.5785229</v>
      </c>
      <c r="AD146" s="3">
        <v>284.65118699999999</v>
      </c>
      <c r="AE146" s="3">
        <v>180.70524639999999</v>
      </c>
      <c r="AF146" s="3">
        <v>64.785467920000002</v>
      </c>
      <c r="AG146" s="3">
        <v>550.88446139999996</v>
      </c>
      <c r="AH146" s="3">
        <v>380.06536089999997</v>
      </c>
      <c r="AI146" s="3">
        <v>365.70665330000003</v>
      </c>
      <c r="AJ146" s="3">
        <v>380.87600250000003</v>
      </c>
      <c r="AK146" s="3">
        <v>159.0910159</v>
      </c>
      <c r="AL146" s="3">
        <v>234.80785299999999</v>
      </c>
      <c r="AM146" s="3">
        <v>388.24055950000002</v>
      </c>
      <c r="AN146" s="3">
        <v>47.502975110000001</v>
      </c>
      <c r="AO146" s="3">
        <v>156.93436990000001</v>
      </c>
      <c r="AP146" s="48" t="s">
        <v>319</v>
      </c>
      <c r="AQ146" s="49" t="s">
        <v>352</v>
      </c>
      <c r="AR146" s="3">
        <v>583.01015199999995</v>
      </c>
      <c r="AS146" s="3">
        <v>732.93136449999997</v>
      </c>
      <c r="AT146" s="3">
        <v>698.52781549999997</v>
      </c>
      <c r="AU146" s="3">
        <v>587.10542539999994</v>
      </c>
      <c r="AV146" s="3">
        <v>97.398674999999997</v>
      </c>
      <c r="AW146" s="3">
        <v>995.10119799999995</v>
      </c>
      <c r="AX146" s="3">
        <v>613.69162700000004</v>
      </c>
      <c r="AY146" s="3">
        <v>969.22249999999997</v>
      </c>
      <c r="AZ146" s="3">
        <v>347.358724</v>
      </c>
      <c r="BA146" s="3">
        <v>218.589631</v>
      </c>
      <c r="BB146" s="3">
        <v>299.08589749999999</v>
      </c>
      <c r="BC146" s="3">
        <v>102.7616865</v>
      </c>
      <c r="BD146" s="3">
        <v>526.4105965</v>
      </c>
      <c r="BE146" s="48" t="s">
        <v>319</v>
      </c>
      <c r="BF146" s="49" t="s">
        <v>352</v>
      </c>
      <c r="BG146" s="3">
        <v>0</v>
      </c>
      <c r="BH146" s="3">
        <v>0.18099999999999999</v>
      </c>
      <c r="BI146" s="3">
        <v>0.28249999999999997</v>
      </c>
      <c r="BJ146" s="3">
        <v>0</v>
      </c>
      <c r="BK146" s="3">
        <v>0.123</v>
      </c>
      <c r="BL146" s="3">
        <v>0.28499999999999998</v>
      </c>
      <c r="BM146" s="3">
        <v>0</v>
      </c>
      <c r="BN146" s="3">
        <v>5.3999999999999999E-2</v>
      </c>
      <c r="BO146" s="3">
        <v>0.14899999999999999</v>
      </c>
      <c r="BP146" s="3">
        <v>0</v>
      </c>
      <c r="BQ146" s="3">
        <v>9.6000000000000002E-2</v>
      </c>
      <c r="BR146" s="3">
        <v>0.16033333299999999</v>
      </c>
      <c r="BS146" s="3">
        <v>0</v>
      </c>
      <c r="BT146" s="3">
        <v>0.22500000000000001</v>
      </c>
      <c r="BU146" s="3">
        <v>0.29091666700000002</v>
      </c>
      <c r="BV146" s="3">
        <v>0</v>
      </c>
      <c r="BW146" s="3">
        <v>9.2999999999999999E-2</v>
      </c>
      <c r="BX146" s="3">
        <v>0.18099999999999999</v>
      </c>
      <c r="BY146" s="3">
        <v>0</v>
      </c>
      <c r="BZ146" s="3">
        <v>0.16200000000000001</v>
      </c>
      <c r="CA146" s="3">
        <v>0.60199999999999998</v>
      </c>
      <c r="CB146" s="3">
        <v>0</v>
      </c>
      <c r="CC146" s="3">
        <v>0.20499999999999999</v>
      </c>
      <c r="CD146" s="3">
        <v>0.29933333299999998</v>
      </c>
      <c r="CE146" s="3">
        <v>0</v>
      </c>
      <c r="CF146" s="3">
        <v>0.26100000000000001</v>
      </c>
      <c r="CG146" s="3">
        <v>0.3765</v>
      </c>
      <c r="CH146" s="3">
        <v>0</v>
      </c>
      <c r="CI146" s="3">
        <v>0.25900000000000001</v>
      </c>
      <c r="CJ146" s="3">
        <v>0.52533333299999996</v>
      </c>
      <c r="CK146" s="3">
        <v>0</v>
      </c>
      <c r="CL146" s="3">
        <v>0.248</v>
      </c>
      <c r="CM146" s="3">
        <v>0.1</v>
      </c>
      <c r="CN146" s="3">
        <v>0</v>
      </c>
      <c r="CO146" s="3">
        <v>8.5999999999999993E-2</v>
      </c>
      <c r="CP146" s="3">
        <v>0.19166666700000001</v>
      </c>
      <c r="CQ146" s="3">
        <v>0</v>
      </c>
      <c r="CR146" s="3">
        <v>0.16300000000000001</v>
      </c>
      <c r="CS146" s="3">
        <v>0.20799999999999999</v>
      </c>
      <c r="CT146" s="48" t="s">
        <v>319</v>
      </c>
      <c r="CU146" s="49" t="s">
        <v>352</v>
      </c>
      <c r="CV146" s="3">
        <v>7.1950000000000003</v>
      </c>
      <c r="CW146" s="3">
        <v>6.9560000000000004</v>
      </c>
      <c r="CX146" s="3">
        <v>7.0279999999999996</v>
      </c>
      <c r="CY146" s="3">
        <v>4.5339999999999998</v>
      </c>
      <c r="CZ146" s="3">
        <v>6.8159999999999998</v>
      </c>
      <c r="DA146" s="3">
        <v>5.6379999999999999</v>
      </c>
      <c r="DB146" s="3">
        <v>7.1120000000000001</v>
      </c>
      <c r="DC146" s="3">
        <v>8.7799999999999994</v>
      </c>
      <c r="DD146" s="3">
        <v>7.3079999999999998</v>
      </c>
      <c r="DE146" s="3">
        <v>7.3010000000000002</v>
      </c>
      <c r="DF146" s="3">
        <v>7.8369999999999997</v>
      </c>
      <c r="DG146" s="3">
        <v>5.7530000000000001</v>
      </c>
      <c r="DH146" s="3">
        <v>6.5570000000000004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D5FE-AB2F-4E34-8A04-275C74EFE0D6}">
  <sheetPr>
    <tabColor rgb="FFECB5ED"/>
  </sheetPr>
  <dimension ref="A2:S146"/>
  <sheetViews>
    <sheetView workbookViewId="0">
      <selection activeCell="G9" sqref="G9:S9"/>
    </sheetView>
  </sheetViews>
  <sheetFormatPr defaultRowHeight="14.4" x14ac:dyDescent="0.3"/>
  <cols>
    <col min="3" max="3" width="15" style="127" customWidth="1"/>
  </cols>
  <sheetData>
    <row r="2" spans="1:19" ht="15.6" x14ac:dyDescent="0.3">
      <c r="A2" s="123"/>
      <c r="B2" s="123"/>
      <c r="C2" s="126" t="s">
        <v>796</v>
      </c>
    </row>
    <row r="3" spans="1:19" ht="15.6" x14ac:dyDescent="0.3">
      <c r="A3" s="124" t="s">
        <v>314</v>
      </c>
      <c r="B3" s="125" t="s">
        <v>329</v>
      </c>
      <c r="C3" s="123">
        <v>0.53506291909468462</v>
      </c>
      <c r="D3" s="126">
        <v>0.74202899899999997</v>
      </c>
      <c r="F3">
        <v>1</v>
      </c>
      <c r="G3">
        <v>2</v>
      </c>
      <c r="H3">
        <v>3</v>
      </c>
      <c r="I3">
        <v>4</v>
      </c>
      <c r="J3">
        <v>5</v>
      </c>
      <c r="K3">
        <v>6</v>
      </c>
    </row>
    <row r="4" spans="1:19" ht="15.6" x14ac:dyDescent="0.3">
      <c r="A4" s="124" t="s">
        <v>314</v>
      </c>
      <c r="B4" s="125" t="s">
        <v>330</v>
      </c>
      <c r="C4" s="123">
        <v>0.48857375261582048</v>
      </c>
      <c r="D4" s="126">
        <v>0.72869808899999999</v>
      </c>
      <c r="F4">
        <v>0</v>
      </c>
      <c r="G4">
        <v>2.65</v>
      </c>
      <c r="H4">
        <f>(G4+I4)/2</f>
        <v>4.25</v>
      </c>
      <c r="I4">
        <v>5.85</v>
      </c>
      <c r="J4">
        <f>(I4+K4)/2</f>
        <v>6.7249999999999996</v>
      </c>
      <c r="K4">
        <v>7.6</v>
      </c>
    </row>
    <row r="5" spans="1:19" ht="15.6" x14ac:dyDescent="0.3">
      <c r="A5" s="124" t="s">
        <v>314</v>
      </c>
      <c r="B5" s="125" t="s">
        <v>331</v>
      </c>
      <c r="C5" s="123">
        <v>0.45364248832941628</v>
      </c>
      <c r="D5" s="126">
        <v>0.72869808899999999</v>
      </c>
    </row>
    <row r="6" spans="1:19" ht="15.6" x14ac:dyDescent="0.3">
      <c r="A6" s="124" t="s">
        <v>314</v>
      </c>
      <c r="B6" s="125" t="s">
        <v>332</v>
      </c>
      <c r="C6" s="123">
        <v>0.42923889539937538</v>
      </c>
      <c r="D6" s="126">
        <v>0.69768015000000005</v>
      </c>
    </row>
    <row r="7" spans="1:19" ht="15.6" x14ac:dyDescent="0.3">
      <c r="A7" s="124" t="s">
        <v>314</v>
      </c>
      <c r="B7" s="125" t="s">
        <v>333</v>
      </c>
      <c r="C7" s="123">
        <v>0.40654162229161972</v>
      </c>
      <c r="D7" s="126">
        <v>0.69402655300000005</v>
      </c>
      <c r="G7" s="128" t="s">
        <v>84</v>
      </c>
      <c r="H7" s="128" t="s">
        <v>85</v>
      </c>
      <c r="I7" s="128" t="s">
        <v>86</v>
      </c>
      <c r="J7" s="128" t="s">
        <v>87</v>
      </c>
      <c r="K7" s="128" t="s">
        <v>88</v>
      </c>
      <c r="L7" s="128" t="s">
        <v>89</v>
      </c>
      <c r="M7" s="128" t="s">
        <v>90</v>
      </c>
      <c r="N7" s="128" t="s">
        <v>91</v>
      </c>
      <c r="O7" s="128" t="s">
        <v>92</v>
      </c>
      <c r="P7" s="128" t="s">
        <v>93</v>
      </c>
      <c r="Q7" s="128" t="s">
        <v>94</v>
      </c>
      <c r="R7" s="128" t="s">
        <v>95</v>
      </c>
      <c r="S7" s="128" t="s">
        <v>96</v>
      </c>
    </row>
    <row r="8" spans="1:19" ht="15.6" x14ac:dyDescent="0.3">
      <c r="A8" s="124" t="s">
        <v>314</v>
      </c>
      <c r="B8" s="125" t="s">
        <v>334</v>
      </c>
      <c r="C8" s="123">
        <v>0.40087535269308783</v>
      </c>
      <c r="D8" s="126">
        <v>0.69309235800000002</v>
      </c>
      <c r="F8">
        <v>2</v>
      </c>
      <c r="G8" s="129">
        <v>1847</v>
      </c>
      <c r="H8" s="129">
        <v>20.96</v>
      </c>
      <c r="I8" s="129">
        <v>14.41</v>
      </c>
      <c r="J8" s="129">
        <v>15.72</v>
      </c>
      <c r="K8" s="129">
        <v>3882</v>
      </c>
      <c r="L8" s="129">
        <v>56.6</v>
      </c>
      <c r="M8" s="129">
        <v>19.649999999999999</v>
      </c>
      <c r="N8" s="129">
        <v>270</v>
      </c>
      <c r="O8" s="129">
        <v>2401</v>
      </c>
      <c r="P8" s="129">
        <v>66.819999999999993</v>
      </c>
      <c r="Q8" s="129">
        <v>20.96</v>
      </c>
      <c r="R8" s="129">
        <v>0</v>
      </c>
      <c r="S8" s="129">
        <v>298.14999999999998</v>
      </c>
    </row>
    <row r="9" spans="1:19" ht="15.6" x14ac:dyDescent="0.3">
      <c r="A9" s="124" t="s">
        <v>314</v>
      </c>
      <c r="B9" s="125" t="s">
        <v>335</v>
      </c>
      <c r="C9" s="123">
        <v>0.40032804256141141</v>
      </c>
      <c r="D9" s="126">
        <v>0.69309235800000002</v>
      </c>
      <c r="F9">
        <v>4</v>
      </c>
      <c r="G9" s="130">
        <v>3500.53</v>
      </c>
      <c r="H9" s="130">
        <v>36.67</v>
      </c>
      <c r="I9" s="130">
        <v>25.21</v>
      </c>
      <c r="J9" s="130">
        <v>27.5</v>
      </c>
      <c r="K9" s="130">
        <v>6791.48</v>
      </c>
      <c r="L9" s="130">
        <v>99.02</v>
      </c>
      <c r="M9" s="130">
        <v>34.380000000000003</v>
      </c>
      <c r="N9" s="130">
        <v>472.36</v>
      </c>
      <c r="O9" s="130">
        <v>4200.5</v>
      </c>
      <c r="P9" s="130">
        <v>116.9</v>
      </c>
      <c r="Q9" s="130">
        <v>36.67</v>
      </c>
      <c r="R9" s="130">
        <v>0</v>
      </c>
      <c r="S9" s="130">
        <v>521.61</v>
      </c>
    </row>
    <row r="10" spans="1:19" ht="15.6" x14ac:dyDescent="0.3">
      <c r="A10" s="124" t="s">
        <v>314</v>
      </c>
      <c r="B10" s="125" t="s">
        <v>336</v>
      </c>
      <c r="C10" s="123">
        <v>0.41120985576768299</v>
      </c>
      <c r="D10" s="126">
        <v>0.69309235800000002</v>
      </c>
      <c r="F10">
        <v>6</v>
      </c>
      <c r="G10" s="130">
        <v>5154.0600000000004</v>
      </c>
      <c r="H10" s="130">
        <v>52.38</v>
      </c>
      <c r="I10" s="130">
        <v>36.01</v>
      </c>
      <c r="J10" s="130">
        <v>39.28</v>
      </c>
      <c r="K10" s="130">
        <v>9700.9599999999991</v>
      </c>
      <c r="L10" s="130">
        <v>141.44</v>
      </c>
      <c r="M10" s="130">
        <v>49.1</v>
      </c>
      <c r="N10" s="130">
        <v>674.72</v>
      </c>
      <c r="O10" s="130">
        <v>6000</v>
      </c>
      <c r="P10" s="130">
        <v>166.98</v>
      </c>
      <c r="Q10" s="130">
        <v>52.38</v>
      </c>
      <c r="R10" s="130">
        <v>0</v>
      </c>
      <c r="S10" s="130">
        <v>745.06</v>
      </c>
    </row>
    <row r="11" spans="1:19" ht="15.6" x14ac:dyDescent="0.3">
      <c r="A11" s="124" t="s">
        <v>314</v>
      </c>
      <c r="B11" s="125" t="s">
        <v>337</v>
      </c>
      <c r="C11" s="123">
        <v>0.4340681024435788</v>
      </c>
      <c r="D11" s="126">
        <v>0.70941274300000001</v>
      </c>
    </row>
    <row r="12" spans="1:19" ht="15.6" x14ac:dyDescent="0.3">
      <c r="A12" s="124" t="s">
        <v>314</v>
      </c>
      <c r="B12" s="125" t="s">
        <v>338</v>
      </c>
      <c r="C12" s="123">
        <v>0.46632720549885709</v>
      </c>
      <c r="D12" s="126">
        <v>0.70941274300000001</v>
      </c>
    </row>
    <row r="13" spans="1:19" ht="15.6" x14ac:dyDescent="0.3">
      <c r="A13" s="124" t="s">
        <v>314</v>
      </c>
      <c r="B13" s="125" t="s">
        <v>339</v>
      </c>
      <c r="C13" s="123">
        <v>0.48999032001545351</v>
      </c>
      <c r="D13" s="126">
        <v>0.74264702900000001</v>
      </c>
      <c r="G13" s="28">
        <v>1</v>
      </c>
      <c r="H13">
        <v>1</v>
      </c>
      <c r="K13" t="s">
        <v>84</v>
      </c>
      <c r="L13">
        <v>134</v>
      </c>
    </row>
    <row r="14" spans="1:19" ht="15.6" x14ac:dyDescent="0.3">
      <c r="A14" s="124" t="s">
        <v>314</v>
      </c>
      <c r="B14" s="125" t="s">
        <v>340</v>
      </c>
      <c r="C14" s="123">
        <v>0.52192747593445155</v>
      </c>
      <c r="D14" s="126">
        <v>0.74264702900000001</v>
      </c>
      <c r="G14" s="28">
        <v>2</v>
      </c>
      <c r="H14">
        <v>2.65</v>
      </c>
      <c r="K14" t="s">
        <v>85</v>
      </c>
      <c r="L14">
        <v>15</v>
      </c>
    </row>
    <row r="15" spans="1:19" ht="15.6" x14ac:dyDescent="0.3">
      <c r="A15" s="124" t="s">
        <v>314</v>
      </c>
      <c r="B15" s="125" t="s">
        <v>341</v>
      </c>
      <c r="C15" s="123">
        <v>0.54955054022729466</v>
      </c>
      <c r="D15" s="126">
        <v>0.74264702900000001</v>
      </c>
      <c r="G15" s="28">
        <v>3</v>
      </c>
      <c r="H15">
        <v>4.25</v>
      </c>
      <c r="K15" t="s">
        <v>86</v>
      </c>
      <c r="L15">
        <v>11</v>
      </c>
    </row>
    <row r="16" spans="1:19" ht="15.6" x14ac:dyDescent="0.3">
      <c r="A16" s="124" t="s">
        <v>314</v>
      </c>
      <c r="B16" s="125" t="s">
        <v>342</v>
      </c>
      <c r="C16" s="123">
        <v>0.56551911818679368</v>
      </c>
      <c r="D16" s="126">
        <v>0.74264702900000001</v>
      </c>
      <c r="G16" s="28">
        <v>4</v>
      </c>
      <c r="H16">
        <v>5.85</v>
      </c>
      <c r="K16" t="s">
        <v>87</v>
      </c>
      <c r="L16">
        <v>12</v>
      </c>
    </row>
    <row r="17" spans="1:12" ht="15.6" x14ac:dyDescent="0.3">
      <c r="A17" s="124" t="s">
        <v>314</v>
      </c>
      <c r="B17" s="125" t="s">
        <v>343</v>
      </c>
      <c r="C17" s="123">
        <v>0.57208683976691022</v>
      </c>
      <c r="D17" s="126">
        <v>0.75055195399999997</v>
      </c>
      <c r="G17" s="28">
        <v>5</v>
      </c>
      <c r="H17">
        <v>6.72</v>
      </c>
      <c r="K17" t="s">
        <v>88</v>
      </c>
      <c r="L17">
        <v>706</v>
      </c>
    </row>
    <row r="18" spans="1:12" ht="15.6" x14ac:dyDescent="0.3">
      <c r="A18" s="124" t="s">
        <v>314</v>
      </c>
      <c r="B18" s="125" t="s">
        <v>344</v>
      </c>
      <c r="C18" s="123">
        <v>0.577527746370046</v>
      </c>
      <c r="D18" s="126">
        <v>0.75074237899999996</v>
      </c>
      <c r="G18" s="28">
        <v>6</v>
      </c>
      <c r="H18">
        <v>7.6</v>
      </c>
      <c r="K18" t="s">
        <v>89</v>
      </c>
      <c r="L18">
        <v>43</v>
      </c>
    </row>
    <row r="19" spans="1:12" ht="15.6" x14ac:dyDescent="0.3">
      <c r="A19" s="124" t="s">
        <v>314</v>
      </c>
      <c r="B19" s="125" t="s">
        <v>345</v>
      </c>
      <c r="C19" s="123">
        <v>0.57282731818035471</v>
      </c>
      <c r="D19" s="126">
        <v>0.75074237899999996</v>
      </c>
      <c r="K19" t="s">
        <v>90</v>
      </c>
      <c r="L19">
        <v>15</v>
      </c>
    </row>
    <row r="20" spans="1:12" ht="15.6" x14ac:dyDescent="0.3">
      <c r="A20" s="124" t="s">
        <v>314</v>
      </c>
      <c r="B20" s="125" t="s">
        <v>346</v>
      </c>
      <c r="C20" s="123">
        <v>0.57070246708090533</v>
      </c>
      <c r="D20" s="126">
        <v>0.75074237899999996</v>
      </c>
      <c r="K20" t="s">
        <v>91</v>
      </c>
      <c r="L20">
        <v>140</v>
      </c>
    </row>
    <row r="21" spans="1:12" ht="15.6" x14ac:dyDescent="0.3">
      <c r="A21" s="124" t="s">
        <v>314</v>
      </c>
      <c r="B21" s="125" t="s">
        <v>347</v>
      </c>
      <c r="C21" s="123">
        <v>0.57524192170245647</v>
      </c>
      <c r="D21" s="126">
        <v>0.75074237899999996</v>
      </c>
      <c r="K21" t="s">
        <v>92</v>
      </c>
      <c r="L21">
        <v>805</v>
      </c>
    </row>
    <row r="22" spans="1:12" ht="15.6" x14ac:dyDescent="0.3">
      <c r="A22" s="124" t="s">
        <v>314</v>
      </c>
      <c r="B22" s="125" t="s">
        <v>348</v>
      </c>
      <c r="C22" s="123">
        <v>0.58879589613985384</v>
      </c>
      <c r="D22" s="126">
        <v>0.74797271899999995</v>
      </c>
      <c r="K22" t="s">
        <v>93</v>
      </c>
      <c r="L22">
        <v>51</v>
      </c>
    </row>
    <row r="23" spans="1:12" ht="15.6" x14ac:dyDescent="0.3">
      <c r="A23" s="124" t="s">
        <v>314</v>
      </c>
      <c r="B23" s="125" t="s">
        <v>349</v>
      </c>
      <c r="C23" s="123">
        <v>0.5953958124335984</v>
      </c>
      <c r="D23" s="126">
        <v>0.74797271899999995</v>
      </c>
      <c r="K23" t="s">
        <v>94</v>
      </c>
      <c r="L23">
        <v>16</v>
      </c>
    </row>
    <row r="24" spans="1:12" ht="15.6" x14ac:dyDescent="0.3">
      <c r="A24" s="124" t="s">
        <v>314</v>
      </c>
      <c r="B24" s="125" t="s">
        <v>350</v>
      </c>
      <c r="C24" s="123">
        <v>0.61719163355976947</v>
      </c>
      <c r="D24" s="126">
        <v>0.70763226499999998</v>
      </c>
      <c r="K24" t="s">
        <v>95</v>
      </c>
      <c r="L24">
        <v>0</v>
      </c>
    </row>
    <row r="25" spans="1:12" ht="15.6" x14ac:dyDescent="0.3">
      <c r="A25" s="124" t="s">
        <v>314</v>
      </c>
      <c r="B25" s="125" t="s">
        <v>351</v>
      </c>
      <c r="C25" s="123">
        <v>0.60701810405331436</v>
      </c>
      <c r="D25" s="126">
        <v>0.74337958999999998</v>
      </c>
      <c r="K25" t="s">
        <v>96</v>
      </c>
      <c r="L25">
        <v>184</v>
      </c>
    </row>
    <row r="26" spans="1:12" ht="15.6" x14ac:dyDescent="0.3">
      <c r="A26" s="124" t="s">
        <v>314</v>
      </c>
      <c r="B26" s="125" t="s">
        <v>352</v>
      </c>
      <c r="C26" s="123">
        <v>0.5709922195035575</v>
      </c>
      <c r="D26" s="126">
        <v>0.74337958999999998</v>
      </c>
    </row>
    <row r="27" spans="1:12" ht="15.6" x14ac:dyDescent="0.3">
      <c r="A27" s="124" t="s">
        <v>315</v>
      </c>
      <c r="B27" s="125" t="s">
        <v>329</v>
      </c>
      <c r="C27" s="123">
        <v>0.71229481761694724</v>
      </c>
      <c r="D27" s="126">
        <v>0.65658027399999996</v>
      </c>
    </row>
    <row r="28" spans="1:12" ht="15.6" x14ac:dyDescent="0.3">
      <c r="A28" s="124" t="s">
        <v>315</v>
      </c>
      <c r="B28" s="125" t="s">
        <v>330</v>
      </c>
      <c r="C28" s="123">
        <v>0.64584492868870924</v>
      </c>
      <c r="D28" s="126">
        <v>0.65173290699999997</v>
      </c>
    </row>
    <row r="29" spans="1:12" ht="15.6" x14ac:dyDescent="0.3">
      <c r="A29" s="124" t="s">
        <v>315</v>
      </c>
      <c r="B29" s="125" t="s">
        <v>331</v>
      </c>
      <c r="C29" s="123">
        <v>0.59253048292070443</v>
      </c>
      <c r="D29" s="126">
        <v>0.64714346899999997</v>
      </c>
    </row>
    <row r="30" spans="1:12" ht="15.6" x14ac:dyDescent="0.3">
      <c r="A30" s="124" t="s">
        <v>315</v>
      </c>
      <c r="B30" s="125" t="s">
        <v>332</v>
      </c>
      <c r="C30" s="123">
        <v>0.55737385563890407</v>
      </c>
      <c r="D30" s="126">
        <v>0.64714346899999997</v>
      </c>
    </row>
    <row r="31" spans="1:12" ht="15.6" x14ac:dyDescent="0.3">
      <c r="A31" s="124" t="s">
        <v>315</v>
      </c>
      <c r="B31" s="125" t="s">
        <v>333</v>
      </c>
      <c r="C31" s="123">
        <v>0.54340134992434241</v>
      </c>
      <c r="D31" s="126">
        <v>0.64714346899999997</v>
      </c>
    </row>
    <row r="32" spans="1:12" ht="15.6" x14ac:dyDescent="0.3">
      <c r="A32" s="124" t="s">
        <v>315</v>
      </c>
      <c r="B32" s="125" t="s">
        <v>334</v>
      </c>
      <c r="C32" s="123">
        <v>0.53847555873925501</v>
      </c>
      <c r="D32" s="126">
        <v>0.64714346899999997</v>
      </c>
    </row>
    <row r="33" spans="1:4" ht="15.6" x14ac:dyDescent="0.3">
      <c r="A33" s="124" t="s">
        <v>315</v>
      </c>
      <c r="B33" s="125" t="s">
        <v>335</v>
      </c>
      <c r="C33" s="123">
        <v>0.5481017781140336</v>
      </c>
      <c r="D33" s="126">
        <v>0.64059871800000001</v>
      </c>
    </row>
    <row r="34" spans="1:4" ht="15.6" x14ac:dyDescent="0.3">
      <c r="A34" s="124" t="s">
        <v>315</v>
      </c>
      <c r="B34" s="125" t="s">
        <v>336</v>
      </c>
      <c r="C34" s="123">
        <v>0.57572484240687671</v>
      </c>
      <c r="D34" s="126">
        <v>0.63347619899999996</v>
      </c>
    </row>
    <row r="35" spans="1:4" ht="15.6" x14ac:dyDescent="0.3">
      <c r="A35" s="124" t="s">
        <v>315</v>
      </c>
      <c r="B35" s="125" t="s">
        <v>337</v>
      </c>
      <c r="C35" s="123">
        <v>0.64214253662148668</v>
      </c>
      <c r="D35" s="126">
        <v>0.63347619899999996</v>
      </c>
    </row>
    <row r="36" spans="1:4" ht="15.6" x14ac:dyDescent="0.3">
      <c r="A36" s="124" t="s">
        <v>315</v>
      </c>
      <c r="B36" s="125" t="s">
        <v>338</v>
      </c>
      <c r="C36" s="123">
        <v>0.73682718940150027</v>
      </c>
      <c r="D36" s="126">
        <v>0.63347619899999996</v>
      </c>
    </row>
    <row r="37" spans="1:4" ht="15.6" x14ac:dyDescent="0.3">
      <c r="A37" s="124" t="s">
        <v>315</v>
      </c>
      <c r="B37" s="125" t="s">
        <v>339</v>
      </c>
      <c r="C37" s="123">
        <v>0.7910108924374617</v>
      </c>
      <c r="D37" s="126">
        <v>0.300766268</v>
      </c>
    </row>
    <row r="38" spans="1:4" ht="15.6" x14ac:dyDescent="0.3">
      <c r="A38" s="124" t="s">
        <v>315</v>
      </c>
      <c r="B38" s="125" t="s">
        <v>340</v>
      </c>
      <c r="C38" s="123">
        <v>0.78528023341167374</v>
      </c>
      <c r="D38" s="126">
        <v>0.300766268</v>
      </c>
    </row>
    <row r="39" spans="1:4" ht="15.6" x14ac:dyDescent="0.3">
      <c r="A39" s="124" t="s">
        <v>315</v>
      </c>
      <c r="B39" s="125" t="s">
        <v>341</v>
      </c>
      <c r="C39" s="123">
        <v>0.76786289333891367</v>
      </c>
      <c r="D39" s="126">
        <v>0.300766268</v>
      </c>
    </row>
    <row r="40" spans="1:4" ht="15.6" x14ac:dyDescent="0.3">
      <c r="A40" s="124" t="s">
        <v>315</v>
      </c>
      <c r="B40" s="125" t="s">
        <v>342</v>
      </c>
      <c r="C40" s="123">
        <v>0.7592347100866037</v>
      </c>
      <c r="D40" s="126">
        <v>0.300766268</v>
      </c>
    </row>
    <row r="41" spans="1:4" ht="15.6" x14ac:dyDescent="0.3">
      <c r="A41" s="124" t="s">
        <v>315</v>
      </c>
      <c r="B41" s="125" t="s">
        <v>343</v>
      </c>
      <c r="C41" s="123">
        <v>0.74819192331219209</v>
      </c>
      <c r="D41" s="126">
        <v>0.300766268</v>
      </c>
    </row>
    <row r="42" spans="1:4" ht="15.6" x14ac:dyDescent="0.3">
      <c r="A42" s="124" t="s">
        <v>315</v>
      </c>
      <c r="B42" s="125" t="s">
        <v>344</v>
      </c>
      <c r="C42" s="123">
        <v>0.73653743697884799</v>
      </c>
      <c r="D42" s="126">
        <v>0.301882818</v>
      </c>
    </row>
    <row r="43" spans="1:4" ht="15.6" x14ac:dyDescent="0.3">
      <c r="A43" s="124" t="s">
        <v>315</v>
      </c>
      <c r="B43" s="125" t="s">
        <v>345</v>
      </c>
      <c r="C43" s="123">
        <v>0.73009849425324358</v>
      </c>
      <c r="D43" s="126">
        <v>0.300766268</v>
      </c>
    </row>
    <row r="44" spans="1:4" ht="15.6" x14ac:dyDescent="0.3">
      <c r="A44" s="124" t="s">
        <v>315</v>
      </c>
      <c r="B44" s="125" t="s">
        <v>346</v>
      </c>
      <c r="C44" s="123">
        <v>0.73805058851936511</v>
      </c>
      <c r="D44" s="126">
        <v>0.30072683300000003</v>
      </c>
    </row>
    <row r="45" spans="1:4" ht="15.6" x14ac:dyDescent="0.3">
      <c r="A45" s="124" t="s">
        <v>315</v>
      </c>
      <c r="B45" s="125" t="s">
        <v>347</v>
      </c>
      <c r="C45" s="123">
        <v>0.77381891536009784</v>
      </c>
      <c r="D45" s="126">
        <v>0.66132132899999996</v>
      </c>
    </row>
    <row r="46" spans="1:4" ht="15.6" x14ac:dyDescent="0.3">
      <c r="A46" s="124" t="s">
        <v>315</v>
      </c>
      <c r="B46" s="125" t="s">
        <v>348</v>
      </c>
      <c r="C46" s="123">
        <v>0.8511506174946073</v>
      </c>
      <c r="D46" s="126">
        <v>0.63900456299999997</v>
      </c>
    </row>
    <row r="47" spans="1:4" ht="15.6" x14ac:dyDescent="0.3">
      <c r="A47" s="124" t="s">
        <v>315</v>
      </c>
      <c r="B47" s="125" t="s">
        <v>349</v>
      </c>
      <c r="C47" s="123">
        <v>0.90250118573130289</v>
      </c>
      <c r="D47" s="126">
        <v>0.64927738700000004</v>
      </c>
    </row>
    <row r="48" spans="1:4" ht="15.6" x14ac:dyDescent="0.3">
      <c r="A48" s="124" t="s">
        <v>315</v>
      </c>
      <c r="B48" s="125" t="s">
        <v>350</v>
      </c>
      <c r="C48" s="123">
        <v>0.85169792762628371</v>
      </c>
      <c r="D48" s="126">
        <v>0.64927738700000004</v>
      </c>
    </row>
    <row r="49" spans="1:4" ht="15.6" x14ac:dyDescent="0.3">
      <c r="A49" s="124" t="s">
        <v>315</v>
      </c>
      <c r="B49" s="125" t="s">
        <v>351</v>
      </c>
      <c r="C49" s="123">
        <v>0.78367049773027264</v>
      </c>
      <c r="D49" s="126">
        <v>0.63982945400000002</v>
      </c>
    </row>
    <row r="50" spans="1:4" ht="15.6" x14ac:dyDescent="0.3">
      <c r="A50" s="124" t="s">
        <v>315</v>
      </c>
      <c r="B50" s="125" t="s">
        <v>352</v>
      </c>
      <c r="C50" s="123">
        <v>0.75492061846044878</v>
      </c>
      <c r="D50" s="126">
        <v>0.63982945400000002</v>
      </c>
    </row>
    <row r="51" spans="1:4" ht="15.6" x14ac:dyDescent="0.3">
      <c r="A51" s="124" t="s">
        <v>316</v>
      </c>
      <c r="B51" s="125" t="s">
        <v>329</v>
      </c>
      <c r="C51" s="123">
        <v>0.65250923440970987</v>
      </c>
      <c r="D51" s="126">
        <v>0.67432828899999997</v>
      </c>
    </row>
    <row r="52" spans="1:4" ht="15.6" x14ac:dyDescent="0.3">
      <c r="A52" s="124" t="s">
        <v>316</v>
      </c>
      <c r="B52" s="125" t="s">
        <v>330</v>
      </c>
      <c r="C52" s="123">
        <v>0.5914358626573516</v>
      </c>
      <c r="D52" s="126">
        <v>0.68533256300000001</v>
      </c>
    </row>
    <row r="53" spans="1:4" ht="15.6" x14ac:dyDescent="0.3">
      <c r="A53" s="124" t="s">
        <v>316</v>
      </c>
      <c r="B53" s="125" t="s">
        <v>331</v>
      </c>
      <c r="C53" s="123">
        <v>0.54481791732397533</v>
      </c>
      <c r="D53" s="126">
        <v>0.68331399199999998</v>
      </c>
    </row>
    <row r="54" spans="1:4" ht="15.6" x14ac:dyDescent="0.3">
      <c r="A54" s="124" t="s">
        <v>316</v>
      </c>
      <c r="B54" s="125" t="s">
        <v>332</v>
      </c>
      <c r="C54" s="123">
        <v>0.51638998519043178</v>
      </c>
      <c r="D54" s="126">
        <v>0.68680556299999995</v>
      </c>
    </row>
    <row r="55" spans="1:4" ht="15.6" x14ac:dyDescent="0.3">
      <c r="A55" s="124" t="s">
        <v>316</v>
      </c>
      <c r="B55" s="125" t="s">
        <v>333</v>
      </c>
      <c r="C55" s="123">
        <v>0.50525061427513607</v>
      </c>
      <c r="D55" s="126">
        <v>0.68680556299999995</v>
      </c>
    </row>
    <row r="56" spans="1:4" ht="15.6" x14ac:dyDescent="0.3">
      <c r="A56" s="124" t="s">
        <v>316</v>
      </c>
      <c r="B56" s="125" t="s">
        <v>334</v>
      </c>
      <c r="C56" s="123">
        <v>0.50380185216187501</v>
      </c>
      <c r="D56" s="126">
        <v>0.68680556299999995</v>
      </c>
    </row>
    <row r="57" spans="1:4" ht="15.6" x14ac:dyDescent="0.3">
      <c r="A57" s="124" t="s">
        <v>316</v>
      </c>
      <c r="B57" s="125" t="s">
        <v>335</v>
      </c>
      <c r="C57" s="123">
        <v>0.51162516757348442</v>
      </c>
      <c r="D57" s="126">
        <v>0.68258280900000001</v>
      </c>
    </row>
    <row r="58" spans="1:4" ht="15.6" x14ac:dyDescent="0.3">
      <c r="A58" s="124" t="s">
        <v>316</v>
      </c>
      <c r="B58" s="125" t="s">
        <v>336</v>
      </c>
      <c r="C58" s="123">
        <v>0.53908725829818738</v>
      </c>
      <c r="D58" s="126">
        <v>0.68258280900000001</v>
      </c>
    </row>
    <row r="59" spans="1:4" ht="15.6" x14ac:dyDescent="0.3">
      <c r="A59" s="124" t="s">
        <v>316</v>
      </c>
      <c r="B59" s="125" t="s">
        <v>337</v>
      </c>
      <c r="C59" s="123">
        <v>0.60373424326325609</v>
      </c>
      <c r="D59" s="126">
        <v>0.68920073900000001</v>
      </c>
    </row>
    <row r="60" spans="1:4" ht="15.6" x14ac:dyDescent="0.3">
      <c r="A60" s="124" t="s">
        <v>316</v>
      </c>
      <c r="B60" s="125" t="s">
        <v>338</v>
      </c>
      <c r="C60" s="123">
        <v>0.69890181674769003</v>
      </c>
      <c r="D60" s="126">
        <v>0.68955929800000004</v>
      </c>
    </row>
    <row r="61" spans="1:4" ht="15.6" x14ac:dyDescent="0.3">
      <c r="A61" s="124" t="s">
        <v>316</v>
      </c>
      <c r="B61" s="125" t="s">
        <v>339</v>
      </c>
      <c r="C61" s="123">
        <v>0.74658218763079098</v>
      </c>
      <c r="D61" s="126">
        <v>0.68955929800000004</v>
      </c>
    </row>
    <row r="62" spans="1:4" ht="15.6" x14ac:dyDescent="0.3">
      <c r="A62" s="124" t="s">
        <v>316</v>
      </c>
      <c r="B62" s="125" t="s">
        <v>340</v>
      </c>
      <c r="C62" s="123">
        <v>0.73489550658381886</v>
      </c>
      <c r="D62" s="126">
        <v>0.69396988900000001</v>
      </c>
    </row>
    <row r="63" spans="1:4" ht="15.6" x14ac:dyDescent="0.3">
      <c r="A63" s="124" t="s">
        <v>316</v>
      </c>
      <c r="B63" s="125" t="s">
        <v>341</v>
      </c>
      <c r="C63" s="123">
        <v>0.71551428897974945</v>
      </c>
      <c r="D63" s="126">
        <v>0.70076623199999999</v>
      </c>
    </row>
    <row r="64" spans="1:4" ht="15.6" x14ac:dyDescent="0.3">
      <c r="A64" s="124" t="s">
        <v>316</v>
      </c>
      <c r="B64" s="125" t="s">
        <v>342</v>
      </c>
      <c r="C64" s="123">
        <v>0.71103922378545437</v>
      </c>
      <c r="D64" s="126">
        <v>0.70261652799999996</v>
      </c>
    </row>
    <row r="65" spans="1:4" ht="15.6" x14ac:dyDescent="0.3">
      <c r="A65" s="124" t="s">
        <v>316</v>
      </c>
      <c r="B65" s="125" t="s">
        <v>343</v>
      </c>
      <c r="C65" s="123">
        <v>0.70527637004603838</v>
      </c>
      <c r="D65" s="126">
        <v>0.71105095299999999</v>
      </c>
    </row>
    <row r="66" spans="1:4" ht="15.6" x14ac:dyDescent="0.3">
      <c r="A66" s="124" t="s">
        <v>316</v>
      </c>
      <c r="B66" s="125" t="s">
        <v>344</v>
      </c>
      <c r="C66" s="123">
        <v>0.69857986961140972</v>
      </c>
      <c r="D66" s="126">
        <v>0.71105095299999999</v>
      </c>
    </row>
    <row r="67" spans="1:4" ht="15.6" x14ac:dyDescent="0.3">
      <c r="A67" s="124" t="s">
        <v>316</v>
      </c>
      <c r="B67" s="125" t="s">
        <v>345</v>
      </c>
      <c r="C67" s="123">
        <v>0.69156142204050086</v>
      </c>
      <c r="D67" s="126">
        <v>0.72336683199999996</v>
      </c>
    </row>
    <row r="68" spans="1:4" ht="15.6" x14ac:dyDescent="0.3">
      <c r="A68" s="124" t="s">
        <v>316</v>
      </c>
      <c r="B68" s="125" t="s">
        <v>346</v>
      </c>
      <c r="C68" s="123">
        <v>0.69111069604970865</v>
      </c>
      <c r="D68" s="126">
        <v>0.71729581099999995</v>
      </c>
    </row>
    <row r="69" spans="1:4" ht="15.6" x14ac:dyDescent="0.3">
      <c r="A69" s="124" t="s">
        <v>316</v>
      </c>
      <c r="B69" s="125" t="s">
        <v>347</v>
      </c>
      <c r="C69" s="123">
        <v>0.71541770483886546</v>
      </c>
      <c r="D69" s="126">
        <v>0.71123264600000002</v>
      </c>
    </row>
    <row r="70" spans="1:4" ht="15.6" x14ac:dyDescent="0.3">
      <c r="A70" s="124" t="s">
        <v>316</v>
      </c>
      <c r="B70" s="125" t="s">
        <v>348</v>
      </c>
      <c r="C70" s="123">
        <v>0.75553231801938114</v>
      </c>
      <c r="D70" s="126">
        <v>0.702601425</v>
      </c>
    </row>
    <row r="71" spans="1:4" ht="15.6" x14ac:dyDescent="0.3">
      <c r="A71" s="124" t="s">
        <v>316</v>
      </c>
      <c r="B71" s="125" t="s">
        <v>349</v>
      </c>
      <c r="C71" s="123">
        <v>0.80771994881040532</v>
      </c>
      <c r="D71" s="126">
        <v>0.69930657100000004</v>
      </c>
    </row>
    <row r="72" spans="1:4" ht="15.6" x14ac:dyDescent="0.3">
      <c r="A72" s="124" t="s">
        <v>316</v>
      </c>
      <c r="B72" s="125" t="s">
        <v>350</v>
      </c>
      <c r="C72" s="123">
        <v>0.78566656997521001</v>
      </c>
      <c r="D72" s="126">
        <v>0.69012753999999998</v>
      </c>
    </row>
    <row r="73" spans="1:4" ht="15.6" x14ac:dyDescent="0.3">
      <c r="A73" s="124" t="s">
        <v>316</v>
      </c>
      <c r="B73" s="125" t="s">
        <v>351</v>
      </c>
      <c r="C73" s="123">
        <v>0.72504392421364405</v>
      </c>
      <c r="D73" s="126">
        <v>0.686641952</v>
      </c>
    </row>
    <row r="74" spans="1:4" ht="15.6" x14ac:dyDescent="0.3">
      <c r="A74" s="124" t="s">
        <v>316</v>
      </c>
      <c r="B74" s="125" t="s">
        <v>352</v>
      </c>
      <c r="C74" s="123">
        <v>0.69082094362705637</v>
      </c>
      <c r="D74" s="126">
        <v>0.686641952</v>
      </c>
    </row>
    <row r="75" spans="1:4" ht="15.6" x14ac:dyDescent="0.3">
      <c r="A75" s="124" t="s">
        <v>317</v>
      </c>
      <c r="B75" s="125" t="s">
        <v>329</v>
      </c>
      <c r="C75" s="123">
        <v>0.60457130581758467</v>
      </c>
      <c r="D75" s="126">
        <v>0.67450229100000003</v>
      </c>
    </row>
    <row r="76" spans="1:4" ht="15.6" x14ac:dyDescent="0.3">
      <c r="A76" s="124" t="s">
        <v>317</v>
      </c>
      <c r="B76" s="125" t="s">
        <v>330</v>
      </c>
      <c r="C76" s="123">
        <v>0.54881006181385017</v>
      </c>
      <c r="D76" s="126">
        <v>0.67450229100000003</v>
      </c>
    </row>
    <row r="77" spans="1:4" ht="15.6" x14ac:dyDescent="0.3">
      <c r="A77" s="124" t="s">
        <v>317</v>
      </c>
      <c r="B77" s="125" t="s">
        <v>331</v>
      </c>
      <c r="C77" s="123">
        <v>0.50541158784327611</v>
      </c>
      <c r="D77" s="126">
        <v>0.67450229100000003</v>
      </c>
    </row>
    <row r="78" spans="1:4" ht="15.6" x14ac:dyDescent="0.3">
      <c r="A78" s="124" t="s">
        <v>317</v>
      </c>
      <c r="B78" s="125" t="s">
        <v>332</v>
      </c>
      <c r="C78" s="123">
        <v>0.47778852355043311</v>
      </c>
      <c r="D78" s="126">
        <v>0.67450229100000003</v>
      </c>
    </row>
    <row r="79" spans="1:4" ht="15.6" x14ac:dyDescent="0.3">
      <c r="A79" s="124" t="s">
        <v>317</v>
      </c>
      <c r="B79" s="125" t="s">
        <v>333</v>
      </c>
      <c r="C79" s="123">
        <v>0.46658476320788128</v>
      </c>
      <c r="D79" s="126">
        <v>0.67450229100000003</v>
      </c>
    </row>
    <row r="80" spans="1:4" ht="15.6" x14ac:dyDescent="0.3">
      <c r="A80" s="124" t="s">
        <v>317</v>
      </c>
      <c r="B80" s="125" t="s">
        <v>334</v>
      </c>
      <c r="C80" s="123">
        <v>0.46423454911303569</v>
      </c>
      <c r="D80" s="126">
        <v>0.67450229100000003</v>
      </c>
    </row>
    <row r="81" spans="1:4" ht="15.6" x14ac:dyDescent="0.3">
      <c r="A81" s="124" t="s">
        <v>317</v>
      </c>
      <c r="B81" s="125" t="s">
        <v>335</v>
      </c>
      <c r="C81" s="123">
        <v>0.47695146099610453</v>
      </c>
      <c r="D81" s="126">
        <v>0.67340199099999998</v>
      </c>
    </row>
    <row r="82" spans="1:4" ht="15.6" x14ac:dyDescent="0.3">
      <c r="A82" s="124" t="s">
        <v>317</v>
      </c>
      <c r="B82" s="125" t="s">
        <v>336</v>
      </c>
      <c r="C82" s="123">
        <v>0.50943592704677898</v>
      </c>
      <c r="D82" s="126">
        <v>0.67340199099999998</v>
      </c>
    </row>
    <row r="83" spans="1:4" ht="15.6" x14ac:dyDescent="0.3">
      <c r="A83" s="124" t="s">
        <v>317</v>
      </c>
      <c r="B83" s="125" t="s">
        <v>337</v>
      </c>
      <c r="C83" s="123">
        <v>0.57411510672547561</v>
      </c>
      <c r="D83" s="126">
        <v>0.67636075799999995</v>
      </c>
    </row>
    <row r="84" spans="1:4" ht="15.6" x14ac:dyDescent="0.3">
      <c r="A84" s="124" t="s">
        <v>317</v>
      </c>
      <c r="B84" s="125" t="s">
        <v>338</v>
      </c>
      <c r="C84" s="123">
        <v>0.64384885644377188</v>
      </c>
      <c r="D84" s="126">
        <v>0.67636075799999995</v>
      </c>
    </row>
    <row r="85" spans="1:4" ht="15.6" x14ac:dyDescent="0.3">
      <c r="A85" s="124" t="s">
        <v>317</v>
      </c>
      <c r="B85" s="125" t="s">
        <v>339</v>
      </c>
      <c r="C85" s="123">
        <v>0.67720257976240295</v>
      </c>
      <c r="D85" s="126">
        <v>0.68350762399999998</v>
      </c>
    </row>
    <row r="86" spans="1:4" ht="15.6" x14ac:dyDescent="0.3">
      <c r="A86" s="124" t="s">
        <v>317</v>
      </c>
      <c r="B86" s="125" t="s">
        <v>340</v>
      </c>
      <c r="C86" s="123">
        <v>0.68077619297511349</v>
      </c>
      <c r="D86" s="126">
        <v>0.67891784099999997</v>
      </c>
    </row>
    <row r="87" spans="1:4" ht="15.6" x14ac:dyDescent="0.3">
      <c r="A87" s="124" t="s">
        <v>317</v>
      </c>
      <c r="B87" s="125" t="s">
        <v>341</v>
      </c>
      <c r="C87" s="123">
        <v>0.66986218505521389</v>
      </c>
      <c r="D87" s="126">
        <v>0.68884924300000006</v>
      </c>
    </row>
    <row r="88" spans="1:4" ht="15.6" x14ac:dyDescent="0.3">
      <c r="A88" s="124" t="s">
        <v>317</v>
      </c>
      <c r="B88" s="125" t="s">
        <v>342</v>
      </c>
      <c r="C88" s="123">
        <v>0.67581820707639806</v>
      </c>
      <c r="D88" s="126">
        <v>0.68884924300000006</v>
      </c>
    </row>
    <row r="89" spans="1:4" ht="15.6" x14ac:dyDescent="0.3">
      <c r="A89" s="124" t="s">
        <v>317</v>
      </c>
      <c r="B89" s="125" t="s">
        <v>343</v>
      </c>
      <c r="C89" s="123">
        <v>0.66828464408744082</v>
      </c>
      <c r="D89" s="126">
        <v>0.688094914</v>
      </c>
    </row>
    <row r="90" spans="1:4" ht="15.6" x14ac:dyDescent="0.3">
      <c r="A90" s="124" t="s">
        <v>317</v>
      </c>
      <c r="B90" s="125" t="s">
        <v>344</v>
      </c>
      <c r="C90" s="123">
        <v>0.66747977624674026</v>
      </c>
      <c r="D90" s="126">
        <v>0.69564536499999996</v>
      </c>
    </row>
    <row r="91" spans="1:4" ht="15.6" x14ac:dyDescent="0.3">
      <c r="A91" s="124" t="s">
        <v>317</v>
      </c>
      <c r="B91" s="125" t="s">
        <v>345</v>
      </c>
      <c r="C91" s="123">
        <v>0.66187789607546432</v>
      </c>
      <c r="D91" s="126">
        <v>0.69216050900000003</v>
      </c>
    </row>
    <row r="92" spans="1:4" ht="15.6" x14ac:dyDescent="0.3">
      <c r="A92" s="124" t="s">
        <v>317</v>
      </c>
      <c r="B92" s="125" t="s">
        <v>346</v>
      </c>
      <c r="C92" s="123">
        <v>0.66429249959756609</v>
      </c>
      <c r="D92" s="126">
        <v>0.69216050900000003</v>
      </c>
    </row>
    <row r="93" spans="1:4" ht="15.6" x14ac:dyDescent="0.3">
      <c r="A93" s="124" t="s">
        <v>317</v>
      </c>
      <c r="B93" s="125" t="s">
        <v>347</v>
      </c>
      <c r="C93" s="123">
        <v>0.68547662116480468</v>
      </c>
      <c r="D93" s="126">
        <v>0.68792072100000001</v>
      </c>
    </row>
    <row r="94" spans="1:4" ht="15.6" x14ac:dyDescent="0.3">
      <c r="A94" s="124" t="s">
        <v>317</v>
      </c>
      <c r="B94" s="125" t="s">
        <v>348</v>
      </c>
      <c r="C94" s="123">
        <v>0.7156752625478896</v>
      </c>
      <c r="D94" s="126">
        <v>0.68333134799999995</v>
      </c>
    </row>
    <row r="95" spans="1:4" ht="15.6" x14ac:dyDescent="0.3">
      <c r="A95" s="124" t="s">
        <v>317</v>
      </c>
      <c r="B95" s="125" t="s">
        <v>349</v>
      </c>
      <c r="C95" s="123">
        <v>0.74226809600463606</v>
      </c>
      <c r="D95" s="126">
        <v>0.67853618000000004</v>
      </c>
    </row>
    <row r="96" spans="1:4" ht="15.6" x14ac:dyDescent="0.3">
      <c r="A96" s="124" t="s">
        <v>317</v>
      </c>
      <c r="B96" s="125" t="s">
        <v>350</v>
      </c>
      <c r="C96" s="123">
        <v>0.71165092334438684</v>
      </c>
      <c r="D96" s="126">
        <v>0.67853618000000004</v>
      </c>
    </row>
    <row r="97" spans="1:4" ht="15.6" x14ac:dyDescent="0.3">
      <c r="A97" s="124" t="s">
        <v>317</v>
      </c>
      <c r="B97" s="125" t="s">
        <v>351</v>
      </c>
      <c r="C97" s="123">
        <v>0.67498114452206948</v>
      </c>
      <c r="D97" s="126">
        <v>0.67322492300000003</v>
      </c>
    </row>
    <row r="98" spans="1:4" ht="15.6" x14ac:dyDescent="0.3">
      <c r="A98" s="124" t="s">
        <v>317</v>
      </c>
      <c r="B98" s="125" t="s">
        <v>352</v>
      </c>
      <c r="C98" s="123">
        <v>0.64883903705611534</v>
      </c>
      <c r="D98" s="126">
        <v>0.67671136099999996</v>
      </c>
    </row>
    <row r="99" spans="1:4" ht="15.6" x14ac:dyDescent="0.3">
      <c r="A99" s="124" t="s">
        <v>318</v>
      </c>
      <c r="B99" s="125" t="s">
        <v>329</v>
      </c>
      <c r="C99" s="123">
        <v>0.61023757541611667</v>
      </c>
      <c r="D99" s="126">
        <v>0.643608395</v>
      </c>
    </row>
    <row r="100" spans="1:4" ht="15.6" x14ac:dyDescent="0.3">
      <c r="A100" s="124" t="s">
        <v>318</v>
      </c>
      <c r="B100" s="125" t="s">
        <v>330</v>
      </c>
      <c r="C100" s="123">
        <v>0.54913200895013037</v>
      </c>
      <c r="D100" s="126">
        <v>0.64227153000000003</v>
      </c>
    </row>
    <row r="101" spans="1:4" ht="15.6" x14ac:dyDescent="0.3">
      <c r="A101" s="124" t="s">
        <v>318</v>
      </c>
      <c r="B101" s="125" t="s">
        <v>331</v>
      </c>
      <c r="C101" s="123">
        <v>0.49816777727697109</v>
      </c>
      <c r="D101" s="126">
        <v>0.64438574100000001</v>
      </c>
    </row>
    <row r="102" spans="1:4" ht="15.6" x14ac:dyDescent="0.3">
      <c r="A102" s="124" t="s">
        <v>318</v>
      </c>
      <c r="B102" s="125" t="s">
        <v>332</v>
      </c>
      <c r="C102" s="123">
        <v>0.46516819580824831</v>
      </c>
      <c r="D102" s="126">
        <v>0.64438574100000001</v>
      </c>
    </row>
    <row r="103" spans="1:4" ht="15.6" x14ac:dyDescent="0.3">
      <c r="A103" s="124" t="s">
        <v>318</v>
      </c>
      <c r="B103" s="125" t="s">
        <v>333</v>
      </c>
      <c r="C103" s="123">
        <v>0.44543283635427072</v>
      </c>
      <c r="D103" s="126">
        <v>0.64438574100000001</v>
      </c>
    </row>
    <row r="104" spans="1:4" ht="15.6" x14ac:dyDescent="0.3">
      <c r="A104" s="124" t="s">
        <v>318</v>
      </c>
      <c r="B104" s="125" t="s">
        <v>334</v>
      </c>
      <c r="C104" s="123">
        <v>0.43490516499790738</v>
      </c>
      <c r="D104" s="126">
        <v>0.63660192299999996</v>
      </c>
    </row>
    <row r="105" spans="1:4" ht="15.6" x14ac:dyDescent="0.3">
      <c r="A105" s="124" t="s">
        <v>318</v>
      </c>
      <c r="B105" s="125" t="s">
        <v>335</v>
      </c>
      <c r="C105" s="123">
        <v>0.43645051125205242</v>
      </c>
      <c r="D105" s="126">
        <v>0.63660192299999996</v>
      </c>
    </row>
    <row r="106" spans="1:4" ht="15.6" x14ac:dyDescent="0.3">
      <c r="A106" s="124" t="s">
        <v>318</v>
      </c>
      <c r="B106" s="125" t="s">
        <v>336</v>
      </c>
      <c r="C106" s="123">
        <v>0.45457613502462901</v>
      </c>
      <c r="D106" s="126">
        <v>0.64495216600000005</v>
      </c>
    </row>
    <row r="107" spans="1:4" ht="15.6" x14ac:dyDescent="0.3">
      <c r="A107" s="124" t="s">
        <v>318</v>
      </c>
      <c r="B107" s="125" t="s">
        <v>337</v>
      </c>
      <c r="C107" s="123">
        <v>0.4918576134058788</v>
      </c>
      <c r="D107" s="126">
        <v>0.64483504899999999</v>
      </c>
    </row>
    <row r="108" spans="1:4" ht="15.6" x14ac:dyDescent="0.3">
      <c r="A108" s="124" t="s">
        <v>318</v>
      </c>
      <c r="B108" s="125" t="s">
        <v>338</v>
      </c>
      <c r="C108" s="123">
        <v>0.54278965036540994</v>
      </c>
      <c r="D108" s="126">
        <v>0.64483504899999999</v>
      </c>
    </row>
    <row r="109" spans="1:4" ht="15.6" x14ac:dyDescent="0.3">
      <c r="A109" s="124" t="s">
        <v>318</v>
      </c>
      <c r="B109" s="125" t="s">
        <v>339</v>
      </c>
      <c r="C109" s="123">
        <v>0.58551203534979557</v>
      </c>
      <c r="D109" s="126">
        <v>0.64939658600000005</v>
      </c>
    </row>
    <row r="110" spans="1:4" ht="15.6" x14ac:dyDescent="0.3">
      <c r="A110" s="124" t="s">
        <v>318</v>
      </c>
      <c r="B110" s="125" t="s">
        <v>340</v>
      </c>
      <c r="C110" s="123">
        <v>0.60830589259843526</v>
      </c>
      <c r="D110" s="126">
        <v>0.64939658600000005</v>
      </c>
    </row>
    <row r="111" spans="1:4" ht="15.6" x14ac:dyDescent="0.3">
      <c r="A111" s="124" t="s">
        <v>318</v>
      </c>
      <c r="B111" s="125" t="s">
        <v>341</v>
      </c>
      <c r="C111" s="123">
        <v>0.62382374456714207</v>
      </c>
      <c r="D111" s="126">
        <v>0.65185644499999995</v>
      </c>
    </row>
    <row r="112" spans="1:4" ht="15.6" x14ac:dyDescent="0.3">
      <c r="A112" s="124" t="s">
        <v>318</v>
      </c>
      <c r="B112" s="125" t="s">
        <v>342</v>
      </c>
      <c r="C112" s="123">
        <v>0.64275423618041916</v>
      </c>
      <c r="D112" s="126">
        <v>0.65185644499999995</v>
      </c>
    </row>
    <row r="113" spans="1:4" ht="15.6" x14ac:dyDescent="0.3">
      <c r="A113" s="124" t="s">
        <v>318</v>
      </c>
      <c r="B113" s="125" t="s">
        <v>343</v>
      </c>
      <c r="C113" s="123">
        <v>0.66223203792537266</v>
      </c>
      <c r="D113" s="126">
        <v>0.65185644499999995</v>
      </c>
    </row>
    <row r="114" spans="1:4" ht="15.6" x14ac:dyDescent="0.3">
      <c r="A114" s="124" t="s">
        <v>318</v>
      </c>
      <c r="B114" s="125" t="s">
        <v>344</v>
      </c>
      <c r="C114" s="123">
        <v>0.67549625994011775</v>
      </c>
      <c r="D114" s="126">
        <v>0.64905334699999995</v>
      </c>
    </row>
    <row r="115" spans="1:4" ht="15.6" x14ac:dyDescent="0.3">
      <c r="A115" s="124" t="s">
        <v>318</v>
      </c>
      <c r="B115" s="125" t="s">
        <v>345</v>
      </c>
      <c r="C115" s="123">
        <v>0.68470394803773216</v>
      </c>
      <c r="D115" s="126">
        <v>0.64905334699999995</v>
      </c>
    </row>
    <row r="116" spans="1:4" ht="15.6" x14ac:dyDescent="0.3">
      <c r="A116" s="124" t="s">
        <v>318</v>
      </c>
      <c r="B116" s="125" t="s">
        <v>346</v>
      </c>
      <c r="C116" s="123">
        <v>0.69284921058562177</v>
      </c>
      <c r="D116" s="126">
        <v>0.64905334699999995</v>
      </c>
    </row>
    <row r="117" spans="1:4" ht="15.6" x14ac:dyDescent="0.3">
      <c r="A117" s="124" t="s">
        <v>318</v>
      </c>
      <c r="B117" s="125" t="s">
        <v>347</v>
      </c>
      <c r="C117" s="123">
        <v>0.71957082289688035</v>
      </c>
      <c r="D117" s="126">
        <v>0.64905334699999995</v>
      </c>
    </row>
    <row r="118" spans="1:4" ht="15.6" x14ac:dyDescent="0.3">
      <c r="A118" s="124" t="s">
        <v>318</v>
      </c>
      <c r="B118" s="125" t="s">
        <v>348</v>
      </c>
      <c r="C118" s="123">
        <v>0.74700071890795527</v>
      </c>
      <c r="D118" s="126">
        <v>0.64905334699999995</v>
      </c>
    </row>
    <row r="119" spans="1:4" ht="15.6" x14ac:dyDescent="0.3">
      <c r="A119" s="124" t="s">
        <v>318</v>
      </c>
      <c r="B119" s="125" t="s">
        <v>349</v>
      </c>
      <c r="C119" s="123">
        <v>0.75987860435916421</v>
      </c>
      <c r="D119" s="126">
        <v>0.64905334699999995</v>
      </c>
    </row>
    <row r="120" spans="1:4" ht="15.6" x14ac:dyDescent="0.3">
      <c r="A120" s="124" t="s">
        <v>318</v>
      </c>
      <c r="B120" s="125" t="s">
        <v>350</v>
      </c>
      <c r="C120" s="123">
        <v>0.71731719294291874</v>
      </c>
      <c r="D120" s="126">
        <v>0.64905334699999995</v>
      </c>
    </row>
    <row r="121" spans="1:4" ht="15.6" x14ac:dyDescent="0.3">
      <c r="A121" s="124" t="s">
        <v>318</v>
      </c>
      <c r="B121" s="125" t="s">
        <v>351</v>
      </c>
      <c r="C121" s="123">
        <v>0.66925048549628152</v>
      </c>
      <c r="D121" s="126">
        <v>0.64905334699999995</v>
      </c>
    </row>
    <row r="122" spans="1:4" ht="15.6" x14ac:dyDescent="0.3">
      <c r="A122" s="124" t="s">
        <v>318</v>
      </c>
      <c r="B122" s="125" t="s">
        <v>352</v>
      </c>
      <c r="C122" s="123">
        <v>0.64407421943916809</v>
      </c>
      <c r="D122" s="126">
        <v>0.64905334699999995</v>
      </c>
    </row>
    <row r="123" spans="1:4" ht="15.6" x14ac:dyDescent="0.3">
      <c r="A123" s="124" t="s">
        <v>319</v>
      </c>
      <c r="B123" s="125" t="s">
        <v>329</v>
      </c>
      <c r="C123" s="123">
        <v>0.55466949969415014</v>
      </c>
      <c r="D123" s="126">
        <v>0.66573897999999998</v>
      </c>
    </row>
    <row r="124" spans="1:4" ht="15.6" x14ac:dyDescent="0.3">
      <c r="A124" s="124" t="s">
        <v>319</v>
      </c>
      <c r="B124" s="125" t="s">
        <v>330</v>
      </c>
      <c r="C124" s="123">
        <v>0.4954956160458453</v>
      </c>
      <c r="D124" s="126">
        <v>0.65894322500000002</v>
      </c>
    </row>
    <row r="125" spans="1:4" ht="15.6" x14ac:dyDescent="0.3">
      <c r="A125" s="124" t="s">
        <v>319</v>
      </c>
      <c r="B125" s="125" t="s">
        <v>331</v>
      </c>
      <c r="C125" s="123">
        <v>0.45196836322075917</v>
      </c>
      <c r="D125" s="126">
        <v>0.66353006800000003</v>
      </c>
    </row>
    <row r="126" spans="1:4" ht="15.6" x14ac:dyDescent="0.3">
      <c r="A126" s="124" t="s">
        <v>319</v>
      </c>
      <c r="B126" s="125" t="s">
        <v>332</v>
      </c>
      <c r="C126" s="123">
        <v>0.42515016676861661</v>
      </c>
      <c r="D126" s="126">
        <v>0.66353006800000003</v>
      </c>
    </row>
    <row r="127" spans="1:4" ht="15.6" x14ac:dyDescent="0.3">
      <c r="A127" s="124" t="s">
        <v>319</v>
      </c>
      <c r="B127" s="125" t="s">
        <v>333</v>
      </c>
      <c r="C127" s="123">
        <v>0.41030840378609829</v>
      </c>
      <c r="D127" s="126">
        <v>0.65945739400000003</v>
      </c>
    </row>
    <row r="128" spans="1:4" ht="15.6" x14ac:dyDescent="0.3">
      <c r="A128" s="124" t="s">
        <v>319</v>
      </c>
      <c r="B128" s="125" t="s">
        <v>334</v>
      </c>
      <c r="C128" s="123">
        <v>0.4056079755964071</v>
      </c>
      <c r="D128" s="126">
        <v>0.66404632600000002</v>
      </c>
    </row>
    <row r="129" spans="1:4" ht="15.6" x14ac:dyDescent="0.3">
      <c r="A129" s="124" t="s">
        <v>319</v>
      </c>
      <c r="B129" s="125" t="s">
        <v>335</v>
      </c>
      <c r="C129" s="123">
        <v>0.41491224783490549</v>
      </c>
      <c r="D129" s="126">
        <v>0.65988036000000005</v>
      </c>
    </row>
    <row r="130" spans="1:4" ht="15.6" x14ac:dyDescent="0.3">
      <c r="A130" s="124" t="s">
        <v>319</v>
      </c>
      <c r="B130" s="125" t="s">
        <v>336</v>
      </c>
      <c r="C130" s="123">
        <v>0.44430602137728992</v>
      </c>
      <c r="D130" s="126">
        <v>0.65988036000000005</v>
      </c>
    </row>
    <row r="131" spans="1:4" ht="15.6" x14ac:dyDescent="0.3">
      <c r="A131" s="124" t="s">
        <v>319</v>
      </c>
      <c r="B131" s="125" t="s">
        <v>337</v>
      </c>
      <c r="C131" s="123">
        <v>0.50373746273461895</v>
      </c>
      <c r="D131" s="126">
        <v>0.65988036000000005</v>
      </c>
    </row>
    <row r="132" spans="1:4" ht="15.6" x14ac:dyDescent="0.3">
      <c r="A132" s="124" t="s">
        <v>319</v>
      </c>
      <c r="B132" s="125" t="s">
        <v>338</v>
      </c>
      <c r="C132" s="123">
        <v>0.56848103184057175</v>
      </c>
      <c r="D132" s="126">
        <v>0.669981253</v>
      </c>
    </row>
    <row r="133" spans="1:4" ht="15.6" x14ac:dyDescent="0.3">
      <c r="A133" s="124" t="s">
        <v>319</v>
      </c>
      <c r="B133" s="125" t="s">
        <v>339</v>
      </c>
      <c r="C133" s="123">
        <v>0.60144841859566656</v>
      </c>
      <c r="D133" s="126">
        <v>0.669981253</v>
      </c>
    </row>
    <row r="134" spans="1:4" ht="15.6" x14ac:dyDescent="0.3">
      <c r="A134" s="124" t="s">
        <v>319</v>
      </c>
      <c r="B134" s="125" t="s">
        <v>340</v>
      </c>
      <c r="C134" s="123">
        <v>0.60553714722642538</v>
      </c>
      <c r="D134" s="126">
        <v>0.672876213</v>
      </c>
    </row>
    <row r="135" spans="1:4" ht="15.6" x14ac:dyDescent="0.3">
      <c r="A135" s="124" t="s">
        <v>319</v>
      </c>
      <c r="B135" s="125" t="s">
        <v>341</v>
      </c>
      <c r="C135" s="123">
        <v>0.60186694987283085</v>
      </c>
      <c r="D135" s="126">
        <v>0.67380879299999996</v>
      </c>
    </row>
    <row r="136" spans="1:4" ht="15.6" x14ac:dyDescent="0.3">
      <c r="A136" s="124" t="s">
        <v>319</v>
      </c>
      <c r="B136" s="125" t="s">
        <v>342</v>
      </c>
      <c r="C136" s="123">
        <v>0.60624543092624184</v>
      </c>
      <c r="D136" s="126">
        <v>0.67380879299999996</v>
      </c>
    </row>
    <row r="137" spans="1:4" ht="15.6" x14ac:dyDescent="0.3">
      <c r="A137" s="124" t="s">
        <v>319</v>
      </c>
      <c r="B137" s="125" t="s">
        <v>343</v>
      </c>
      <c r="C137" s="123">
        <v>0.6115575586748655</v>
      </c>
      <c r="D137" s="126">
        <v>0.67380879299999996</v>
      </c>
    </row>
    <row r="138" spans="1:4" ht="15.6" x14ac:dyDescent="0.3">
      <c r="A138" s="124" t="s">
        <v>319</v>
      </c>
      <c r="B138" s="125" t="s">
        <v>344</v>
      </c>
      <c r="C138" s="123">
        <v>0.61793211197321396</v>
      </c>
      <c r="D138" s="126">
        <v>0.67220053800000001</v>
      </c>
    </row>
    <row r="139" spans="1:4" ht="15.6" x14ac:dyDescent="0.3">
      <c r="A139" s="124" t="s">
        <v>319</v>
      </c>
      <c r="B139" s="125" t="s">
        <v>345</v>
      </c>
      <c r="C139" s="123">
        <v>0.61657993400083699</v>
      </c>
      <c r="D139" s="126">
        <v>0.67363924500000005</v>
      </c>
    </row>
    <row r="140" spans="1:4" ht="15.6" x14ac:dyDescent="0.3">
      <c r="A140" s="124" t="s">
        <v>319</v>
      </c>
      <c r="B140" s="125" t="s">
        <v>346</v>
      </c>
      <c r="C140" s="123">
        <v>0.6241778864170503</v>
      </c>
      <c r="D140" s="126">
        <v>0.67551579399999995</v>
      </c>
    </row>
    <row r="141" spans="1:4" ht="15.6" x14ac:dyDescent="0.3">
      <c r="A141" s="124" t="s">
        <v>319</v>
      </c>
      <c r="B141" s="125" t="s">
        <v>347</v>
      </c>
      <c r="C141" s="123">
        <v>0.64619907053861747</v>
      </c>
      <c r="D141" s="126">
        <v>0.67551579399999995</v>
      </c>
    </row>
    <row r="142" spans="1:4" ht="15.6" x14ac:dyDescent="0.3">
      <c r="A142" s="124" t="s">
        <v>319</v>
      </c>
      <c r="B142" s="125" t="s">
        <v>348</v>
      </c>
      <c r="C142" s="123">
        <v>0.67974596213901672</v>
      </c>
      <c r="D142" s="126">
        <v>0.67015731499999998</v>
      </c>
    </row>
    <row r="143" spans="1:4" ht="15.6" x14ac:dyDescent="0.3">
      <c r="A143" s="124" t="s">
        <v>319</v>
      </c>
      <c r="B143" s="125" t="s">
        <v>349</v>
      </c>
      <c r="C143" s="123">
        <v>0.70208909339686421</v>
      </c>
      <c r="D143" s="126">
        <v>0.66634627099999999</v>
      </c>
    </row>
    <row r="144" spans="1:4" ht="15.6" x14ac:dyDescent="0.3">
      <c r="A144" s="124" t="s">
        <v>319</v>
      </c>
      <c r="B144" s="125" t="s">
        <v>350</v>
      </c>
      <c r="C144" s="123">
        <v>0.66844561765558097</v>
      </c>
      <c r="D144" s="126">
        <v>0.66507857800000003</v>
      </c>
    </row>
    <row r="145" spans="1:4" ht="15.6" x14ac:dyDescent="0.3">
      <c r="A145" s="124" t="s">
        <v>319</v>
      </c>
      <c r="B145" s="125" t="s">
        <v>351</v>
      </c>
      <c r="C145" s="123">
        <v>0.62817003090692503</v>
      </c>
      <c r="D145" s="126">
        <v>0.66413562000000004</v>
      </c>
    </row>
    <row r="146" spans="1:4" ht="15.6" x14ac:dyDescent="0.3">
      <c r="A146" s="124" t="s">
        <v>319</v>
      </c>
      <c r="B146" s="125" t="s">
        <v>352</v>
      </c>
      <c r="C146" s="123">
        <v>0.60270401242715943</v>
      </c>
      <c r="D146" s="126">
        <v>0.66413562000000004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4620-F53A-4FE5-BDBD-F4D78B03213A}">
  <sheetPr>
    <tabColor rgb="FFECB5ED"/>
  </sheetPr>
  <dimension ref="A1:CH146"/>
  <sheetViews>
    <sheetView zoomScale="69" zoomScaleNormal="69" workbookViewId="0">
      <selection activeCell="AA1" sqref="AA1:BD1048576"/>
    </sheetView>
  </sheetViews>
  <sheetFormatPr defaultRowHeight="14.4" x14ac:dyDescent="0.3"/>
  <sheetData>
    <row r="1" spans="1:86" x14ac:dyDescent="0.3">
      <c r="A1" s="51"/>
      <c r="B1" s="53" t="s">
        <v>496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3" t="s">
        <v>495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49"/>
      <c r="AB1" s="49"/>
      <c r="AC1" s="50" t="s">
        <v>84</v>
      </c>
      <c r="AD1" s="50" t="s">
        <v>84</v>
      </c>
      <c r="AE1" s="50" t="s">
        <v>594</v>
      </c>
      <c r="AF1" s="50" t="s">
        <v>85</v>
      </c>
      <c r="AG1" s="50" t="s">
        <v>86</v>
      </c>
      <c r="AH1" s="50" t="s">
        <v>86</v>
      </c>
      <c r="AI1" s="50" t="s">
        <v>87</v>
      </c>
      <c r="AJ1" s="50" t="s">
        <v>87</v>
      </c>
      <c r="AK1" s="50" t="s">
        <v>88</v>
      </c>
      <c r="AL1" s="50" t="s">
        <v>88</v>
      </c>
      <c r="AM1" s="50" t="s">
        <v>89</v>
      </c>
      <c r="AN1" s="50" t="s">
        <v>89</v>
      </c>
      <c r="AO1" s="50" t="s">
        <v>90</v>
      </c>
      <c r="AP1" s="50" t="s">
        <v>90</v>
      </c>
      <c r="AQ1" s="50" t="s">
        <v>91</v>
      </c>
      <c r="AR1" s="50" t="s">
        <v>91</v>
      </c>
      <c r="AS1" s="50" t="s">
        <v>92</v>
      </c>
      <c r="AT1" s="50" t="s">
        <v>92</v>
      </c>
      <c r="AU1" s="50" t="s">
        <v>93</v>
      </c>
      <c r="AV1" s="50" t="s">
        <v>93</v>
      </c>
      <c r="AW1" s="50" t="s">
        <v>94</v>
      </c>
      <c r="AX1" s="50" t="s">
        <v>94</v>
      </c>
      <c r="AY1" s="50" t="s">
        <v>95</v>
      </c>
      <c r="AZ1" s="50" t="s">
        <v>95</v>
      </c>
      <c r="BA1" s="50" t="s">
        <v>96</v>
      </c>
      <c r="BB1" s="50" t="s">
        <v>96</v>
      </c>
      <c r="BC1" s="50" t="s">
        <v>84</v>
      </c>
      <c r="BD1" s="50" t="s">
        <v>85</v>
      </c>
      <c r="BE1" s="50" t="s">
        <v>86</v>
      </c>
      <c r="BF1" s="50" t="s">
        <v>87</v>
      </c>
      <c r="BG1" s="50" t="s">
        <v>88</v>
      </c>
      <c r="BH1" s="50" t="s">
        <v>89</v>
      </c>
      <c r="BI1" s="50" t="s">
        <v>90</v>
      </c>
      <c r="BJ1" s="50" t="s">
        <v>91</v>
      </c>
      <c r="BK1" s="50" t="s">
        <v>92</v>
      </c>
      <c r="BL1" s="50" t="s">
        <v>93</v>
      </c>
      <c r="BM1" s="50" t="s">
        <v>94</v>
      </c>
      <c r="BN1" s="50" t="s">
        <v>95</v>
      </c>
      <c r="BO1" s="50" t="s">
        <v>96</v>
      </c>
      <c r="BP1" s="51"/>
      <c r="BQ1" s="52" t="s">
        <v>494</v>
      </c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</row>
    <row r="2" spans="1:86" x14ac:dyDescent="0.3">
      <c r="A2" s="51"/>
      <c r="B2" s="51"/>
      <c r="C2" s="49" t="s">
        <v>201</v>
      </c>
      <c r="D2" s="49" t="s">
        <v>197</v>
      </c>
      <c r="E2" s="49" t="s">
        <v>192</v>
      </c>
      <c r="F2" s="49" t="s">
        <v>493</v>
      </c>
      <c r="G2" s="49" t="s">
        <v>437</v>
      </c>
      <c r="H2" s="49" t="s">
        <v>199</v>
      </c>
      <c r="I2" s="49"/>
      <c r="J2" s="49"/>
      <c r="K2" s="49" t="s">
        <v>186</v>
      </c>
      <c r="L2" s="49"/>
      <c r="M2" s="49"/>
      <c r="N2" s="49" t="s">
        <v>84</v>
      </c>
      <c r="O2" s="49" t="s">
        <v>85</v>
      </c>
      <c r="P2" s="49" t="s">
        <v>86</v>
      </c>
      <c r="Q2" s="49" t="s">
        <v>87</v>
      </c>
      <c r="R2" s="49" t="s">
        <v>88</v>
      </c>
      <c r="S2" s="49" t="s">
        <v>89</v>
      </c>
      <c r="T2" s="49" t="s">
        <v>90</v>
      </c>
      <c r="U2" s="49" t="s">
        <v>91</v>
      </c>
      <c r="V2" s="49" t="s">
        <v>92</v>
      </c>
      <c r="W2" s="49" t="s">
        <v>93</v>
      </c>
      <c r="X2" s="49" t="s">
        <v>94</v>
      </c>
      <c r="Y2" s="49" t="s">
        <v>95</v>
      </c>
      <c r="Z2" s="49" t="s">
        <v>96</v>
      </c>
      <c r="AA2" s="51"/>
      <c r="AB2" s="51"/>
      <c r="AC2" s="50" t="s">
        <v>97</v>
      </c>
      <c r="AD2" s="50" t="s">
        <v>98</v>
      </c>
      <c r="AE2" s="50" t="s">
        <v>97</v>
      </c>
      <c r="AF2" s="50" t="s">
        <v>98</v>
      </c>
      <c r="AG2" s="50" t="s">
        <v>97</v>
      </c>
      <c r="AH2" s="50" t="s">
        <v>98</v>
      </c>
      <c r="AI2" s="50" t="s">
        <v>97</v>
      </c>
      <c r="AJ2" s="50" t="s">
        <v>98</v>
      </c>
      <c r="AK2" s="50" t="s">
        <v>97</v>
      </c>
      <c r="AL2" s="50" t="s">
        <v>98</v>
      </c>
      <c r="AM2" s="50" t="s">
        <v>97</v>
      </c>
      <c r="AN2" s="50" t="s">
        <v>98</v>
      </c>
      <c r="AO2" s="50" t="s">
        <v>97</v>
      </c>
      <c r="AP2" s="50" t="s">
        <v>98</v>
      </c>
      <c r="AQ2" s="50" t="s">
        <v>97</v>
      </c>
      <c r="AR2" s="50" t="s">
        <v>98</v>
      </c>
      <c r="AS2" s="50" t="s">
        <v>97</v>
      </c>
      <c r="AT2" s="50" t="s">
        <v>98</v>
      </c>
      <c r="AU2" s="50" t="s">
        <v>97</v>
      </c>
      <c r="AV2" s="50" t="s">
        <v>98</v>
      </c>
      <c r="AW2" s="50" t="s">
        <v>97</v>
      </c>
      <c r="AX2" s="50" t="s">
        <v>98</v>
      </c>
      <c r="AY2" s="50" t="s">
        <v>97</v>
      </c>
      <c r="AZ2" s="50" t="s">
        <v>98</v>
      </c>
      <c r="BA2" s="50" t="s">
        <v>97</v>
      </c>
      <c r="BB2" s="50" t="s">
        <v>98</v>
      </c>
      <c r="BC2" s="50" t="s">
        <v>99</v>
      </c>
      <c r="BD2" s="50" t="s">
        <v>99</v>
      </c>
      <c r="BE2" s="50" t="s">
        <v>99</v>
      </c>
      <c r="BF2" s="50" t="s">
        <v>99</v>
      </c>
      <c r="BG2" s="50" t="s">
        <v>99</v>
      </c>
      <c r="BH2" s="50" t="s">
        <v>99</v>
      </c>
      <c r="BI2" s="50" t="s">
        <v>99</v>
      </c>
      <c r="BJ2" s="50" t="s">
        <v>99</v>
      </c>
      <c r="BK2" s="50" t="s">
        <v>99</v>
      </c>
      <c r="BL2" s="50" t="s">
        <v>99</v>
      </c>
      <c r="BM2" s="50" t="s">
        <v>99</v>
      </c>
      <c r="BN2" s="50" t="s">
        <v>99</v>
      </c>
      <c r="BO2" s="50" t="s">
        <v>99</v>
      </c>
      <c r="BP2" s="50"/>
      <c r="BQ2" s="51"/>
      <c r="BR2" s="49" t="s">
        <v>84</v>
      </c>
      <c r="BS2" s="49" t="s">
        <v>85</v>
      </c>
      <c r="BT2" s="49" t="s">
        <v>86</v>
      </c>
      <c r="BU2" s="49" t="s">
        <v>87</v>
      </c>
      <c r="BV2" s="49" t="s">
        <v>88</v>
      </c>
      <c r="BW2" s="49" t="s">
        <v>89</v>
      </c>
      <c r="BX2" s="49" t="s">
        <v>90</v>
      </c>
      <c r="BY2" s="49" t="s">
        <v>91</v>
      </c>
      <c r="BZ2" s="49" t="s">
        <v>92</v>
      </c>
      <c r="CA2" s="49" t="s">
        <v>93</v>
      </c>
      <c r="CB2" s="49" t="s">
        <v>94</v>
      </c>
      <c r="CC2" s="49" t="s">
        <v>95</v>
      </c>
      <c r="CD2" s="49" t="s">
        <v>96</v>
      </c>
    </row>
    <row r="3" spans="1:86" x14ac:dyDescent="0.3">
      <c r="A3" s="48" t="s">
        <v>314</v>
      </c>
      <c r="B3" s="49" t="s">
        <v>329</v>
      </c>
      <c r="C3" s="3">
        <v>33.256855799999997</v>
      </c>
      <c r="D3" s="3">
        <v>77.880302099999994</v>
      </c>
      <c r="E3" s="3">
        <v>35.811145799999998</v>
      </c>
      <c r="F3" s="3">
        <v>23.5164966</v>
      </c>
      <c r="G3" s="3">
        <v>23.5164966</v>
      </c>
      <c r="H3" s="3">
        <v>77.880302099999994</v>
      </c>
      <c r="I3" s="48" t="s">
        <v>314</v>
      </c>
      <c r="J3" s="49" t="s">
        <v>329</v>
      </c>
      <c r="K3" s="3">
        <v>33185.5</v>
      </c>
      <c r="L3" s="48" t="s">
        <v>314</v>
      </c>
      <c r="M3" s="49" t="s">
        <v>329</v>
      </c>
      <c r="N3" s="3">
        <v>3592.3891549999998</v>
      </c>
      <c r="O3" s="3">
        <v>4488.2456620000003</v>
      </c>
      <c r="P3" s="3">
        <v>1894.752115</v>
      </c>
      <c r="Q3" s="3">
        <v>1929.1605970000001</v>
      </c>
      <c r="R3" s="3">
        <v>5692.7082119999995</v>
      </c>
      <c r="S3" s="3">
        <v>5022.7006719999999</v>
      </c>
      <c r="T3" s="3">
        <v>2395.5709660000002</v>
      </c>
      <c r="U3" s="3">
        <v>4374.7270980000003</v>
      </c>
      <c r="V3" s="3">
        <v>2554.9185309999998</v>
      </c>
      <c r="W3" s="3">
        <v>1316.5664420000001</v>
      </c>
      <c r="X3" s="3">
        <v>3467.8816539999998</v>
      </c>
      <c r="Y3" s="3">
        <v>219.2112875</v>
      </c>
      <c r="Z3" s="3">
        <v>1608.867094</v>
      </c>
      <c r="AA3" s="48" t="s">
        <v>314</v>
      </c>
      <c r="AB3" s="49" t="s">
        <v>329</v>
      </c>
      <c r="AC3" s="3">
        <v>0</v>
      </c>
      <c r="AD3" s="3">
        <v>0.318</v>
      </c>
      <c r="AE3" s="3">
        <v>0</v>
      </c>
      <c r="AF3" s="3">
        <v>0.33</v>
      </c>
      <c r="AG3" s="3">
        <v>0</v>
      </c>
      <c r="AH3" s="3">
        <v>0.45700000000000002</v>
      </c>
      <c r="AI3" s="3">
        <v>0</v>
      </c>
      <c r="AJ3" s="3">
        <v>0.25900000000000001</v>
      </c>
      <c r="AK3" s="3">
        <v>0</v>
      </c>
      <c r="AL3" s="3">
        <v>0.70599999999999996</v>
      </c>
      <c r="AM3" s="3">
        <v>0</v>
      </c>
      <c r="AN3" s="3">
        <v>0.80300000000000005</v>
      </c>
      <c r="AO3" s="3">
        <v>0</v>
      </c>
      <c r="AP3" s="3">
        <v>0.80300000000000005</v>
      </c>
      <c r="AQ3" s="3">
        <v>0</v>
      </c>
      <c r="AR3" s="3">
        <v>0.34300000000000003</v>
      </c>
      <c r="AS3" s="3">
        <v>0</v>
      </c>
      <c r="AT3" s="3">
        <v>0.34300000000000003</v>
      </c>
      <c r="AU3" s="3">
        <v>0</v>
      </c>
      <c r="AV3" s="3">
        <v>0.56599999999999995</v>
      </c>
      <c r="AW3" s="3">
        <v>0</v>
      </c>
      <c r="AX3" s="3">
        <v>0.39300000000000002</v>
      </c>
      <c r="AY3" s="3">
        <v>0</v>
      </c>
      <c r="AZ3" s="3">
        <v>0.66400000000000003</v>
      </c>
      <c r="BA3" s="3">
        <v>0</v>
      </c>
      <c r="BB3" s="3">
        <v>0.64300000000000002</v>
      </c>
      <c r="BC3" s="3">
        <v>0.87050000000000005</v>
      </c>
      <c r="BD3" s="3">
        <v>0.79</v>
      </c>
      <c r="BE3" s="3">
        <v>0.77800000000000002</v>
      </c>
      <c r="BF3" s="3">
        <v>0.84366666700000004</v>
      </c>
      <c r="BG3" s="3">
        <v>0.79925000000000002</v>
      </c>
      <c r="BH3" s="3">
        <v>0.86799999999999999</v>
      </c>
      <c r="BI3" s="3">
        <v>0.76749999999999996</v>
      </c>
      <c r="BJ3" s="3">
        <v>0.72799999999999998</v>
      </c>
      <c r="BK3" s="3">
        <v>0.80549999999999999</v>
      </c>
      <c r="BL3" s="3">
        <v>0.81599999999999995</v>
      </c>
      <c r="BM3" s="3">
        <v>0.01</v>
      </c>
      <c r="BN3" s="3">
        <v>0.81066666700000001</v>
      </c>
      <c r="BO3" s="3">
        <v>0.89</v>
      </c>
      <c r="BP3" s="48" t="s">
        <v>314</v>
      </c>
      <c r="BQ3" s="49" t="s">
        <v>329</v>
      </c>
      <c r="BR3" s="3">
        <v>-0.58199999999999996</v>
      </c>
      <c r="BS3" s="3">
        <v>-0.193</v>
      </c>
      <c r="BT3" s="3">
        <v>0.13800000000000001</v>
      </c>
      <c r="BU3" s="3">
        <v>0.89900000000000002</v>
      </c>
      <c r="BV3" s="3">
        <v>-1.026</v>
      </c>
      <c r="BW3" s="3">
        <v>3.706</v>
      </c>
      <c r="BX3" s="3">
        <v>1.994</v>
      </c>
      <c r="BY3" s="3">
        <v>0.17499999999999999</v>
      </c>
      <c r="BZ3" s="3">
        <v>0.61799999999999999</v>
      </c>
      <c r="CA3" s="3">
        <v>2.3940000000000001</v>
      </c>
      <c r="CB3" s="3">
        <v>-0.23499999999999999</v>
      </c>
      <c r="CC3" s="3">
        <v>1.9630000000000001</v>
      </c>
      <c r="CD3" s="3">
        <v>0.69299999999999995</v>
      </c>
      <c r="CF3" s="53" t="s">
        <v>500</v>
      </c>
      <c r="CG3" s="51"/>
      <c r="CH3" s="51"/>
    </row>
    <row r="4" spans="1:86" x14ac:dyDescent="0.3">
      <c r="A4" s="48" t="s">
        <v>314</v>
      </c>
      <c r="B4" s="49" t="s">
        <v>330</v>
      </c>
      <c r="C4" s="3">
        <v>33.256855799999997</v>
      </c>
      <c r="D4" s="3">
        <v>75.777270000000001</v>
      </c>
      <c r="E4" s="3">
        <v>34.074228599999998</v>
      </c>
      <c r="F4" s="3">
        <v>23.3887821</v>
      </c>
      <c r="G4" s="3">
        <v>23.3887821</v>
      </c>
      <c r="H4" s="3">
        <v>70.702747200000005</v>
      </c>
      <c r="I4" s="48" t="s">
        <v>314</v>
      </c>
      <c r="J4" s="49" t="s">
        <v>330</v>
      </c>
      <c r="K4" s="3">
        <v>33098</v>
      </c>
      <c r="L4" s="48" t="s">
        <v>314</v>
      </c>
      <c r="M4" s="49" t="s">
        <v>330</v>
      </c>
      <c r="N4" s="3">
        <v>2695.9148420000001</v>
      </c>
      <c r="O4" s="3">
        <v>3624.6301410000001</v>
      </c>
      <c r="P4" s="3">
        <v>1369.5276100000001</v>
      </c>
      <c r="Q4" s="3">
        <v>1500.1300650000001</v>
      </c>
      <c r="R4" s="3">
        <v>4168.4391329999999</v>
      </c>
      <c r="S4" s="3">
        <v>3664.9406880000001</v>
      </c>
      <c r="T4" s="3">
        <v>1116.2165849999999</v>
      </c>
      <c r="U4" s="3">
        <v>2778.3363650000001</v>
      </c>
      <c r="V4" s="3">
        <v>2088.7094320000001</v>
      </c>
      <c r="W4" s="3">
        <v>874.92630650000001</v>
      </c>
      <c r="X4" s="3">
        <v>2498.9283999999998</v>
      </c>
      <c r="Y4" s="3">
        <v>202.75289409999999</v>
      </c>
      <c r="Z4" s="3">
        <v>958.16664349999996</v>
      </c>
      <c r="AA4" s="48" t="s">
        <v>314</v>
      </c>
      <c r="AB4" s="49" t="s">
        <v>330</v>
      </c>
      <c r="AC4" s="3">
        <v>0</v>
      </c>
      <c r="AD4" s="3">
        <v>0.314</v>
      </c>
      <c r="AE4" s="3">
        <v>0</v>
      </c>
      <c r="AF4" s="3">
        <v>0.34200000000000003</v>
      </c>
      <c r="AG4" s="3">
        <v>0</v>
      </c>
      <c r="AH4" s="3">
        <v>0.46300000000000002</v>
      </c>
      <c r="AI4" s="3">
        <v>0</v>
      </c>
      <c r="AJ4" s="3">
        <v>0.27</v>
      </c>
      <c r="AK4" s="3">
        <v>0</v>
      </c>
      <c r="AL4" s="3">
        <v>0.70199999999999996</v>
      </c>
      <c r="AM4" s="3">
        <v>0</v>
      </c>
      <c r="AN4" s="3">
        <v>0.79600000000000004</v>
      </c>
      <c r="AO4" s="3">
        <v>0</v>
      </c>
      <c r="AP4" s="3">
        <v>0.79600000000000004</v>
      </c>
      <c r="AQ4" s="3">
        <v>0</v>
      </c>
      <c r="AR4" s="3">
        <v>0.36699999999999999</v>
      </c>
      <c r="AS4" s="3">
        <v>0</v>
      </c>
      <c r="AT4" s="3">
        <v>0.371</v>
      </c>
      <c r="AU4" s="3">
        <v>0</v>
      </c>
      <c r="AV4" s="3">
        <v>0.58799999999999997</v>
      </c>
      <c r="AW4" s="3">
        <v>0</v>
      </c>
      <c r="AX4" s="3">
        <v>0.40500000000000003</v>
      </c>
      <c r="AY4" s="3">
        <v>0</v>
      </c>
      <c r="AZ4" s="3">
        <v>0.67900000000000005</v>
      </c>
      <c r="BA4" s="3">
        <v>0</v>
      </c>
      <c r="BB4" s="3">
        <v>0.65100000000000002</v>
      </c>
      <c r="BC4" s="3">
        <v>0.85750000000000004</v>
      </c>
      <c r="BD4" s="3">
        <v>0.80449999999999999</v>
      </c>
      <c r="BE4" s="3">
        <v>0.78500000000000003</v>
      </c>
      <c r="BF4" s="3">
        <v>0.81499999999999995</v>
      </c>
      <c r="BG4" s="3">
        <v>0.79691666699999997</v>
      </c>
      <c r="BH4" s="3">
        <v>0.86</v>
      </c>
      <c r="BI4" s="3">
        <v>0.78149999999999997</v>
      </c>
      <c r="BJ4" s="3">
        <v>0.73633333300000003</v>
      </c>
      <c r="BK4" s="3">
        <v>0.81299999999999994</v>
      </c>
      <c r="BL4" s="3">
        <v>0.84833333300000002</v>
      </c>
      <c r="BM4" s="3">
        <v>0.01</v>
      </c>
      <c r="BN4" s="3">
        <v>0.81</v>
      </c>
      <c r="BO4" s="3">
        <v>0.89300000000000002</v>
      </c>
      <c r="BP4" s="48" t="s">
        <v>314</v>
      </c>
      <c r="BQ4" s="49" t="s">
        <v>330</v>
      </c>
      <c r="BR4" s="3">
        <v>-0.59399999999999997</v>
      </c>
      <c r="BS4" s="3">
        <v>-0.39700000000000002</v>
      </c>
      <c r="BT4" s="3">
        <v>-0.182</v>
      </c>
      <c r="BU4" s="3">
        <v>0.50600000000000001</v>
      </c>
      <c r="BV4" s="3">
        <v>-1.1830000000000001</v>
      </c>
      <c r="BW4" s="3">
        <v>3.5649999999999999</v>
      </c>
      <c r="BX4" s="3">
        <v>1.6839999999999999</v>
      </c>
      <c r="BY4" s="3">
        <v>-2.7E-2</v>
      </c>
      <c r="BZ4" s="3">
        <v>0.41599999999999998</v>
      </c>
      <c r="CA4" s="3">
        <v>2.2130000000000001</v>
      </c>
      <c r="CB4" s="3">
        <v>-0.58699999999999997</v>
      </c>
      <c r="CC4" s="3">
        <v>1.98</v>
      </c>
      <c r="CD4" s="3">
        <v>0.13700000000000001</v>
      </c>
      <c r="CF4" s="53" t="s">
        <v>314</v>
      </c>
      <c r="CG4">
        <v>1</v>
      </c>
    </row>
    <row r="5" spans="1:86" x14ac:dyDescent="0.3">
      <c r="A5" s="48" t="s">
        <v>314</v>
      </c>
      <c r="B5" s="49" t="s">
        <v>331</v>
      </c>
      <c r="C5" s="3">
        <v>30.447136799999999</v>
      </c>
      <c r="D5" s="3">
        <v>71.034804899999997</v>
      </c>
      <c r="E5" s="3">
        <v>32.286225600000002</v>
      </c>
      <c r="F5" s="3">
        <v>23.192953200000002</v>
      </c>
      <c r="G5" s="3">
        <v>23.192953200000002</v>
      </c>
      <c r="H5" s="3">
        <v>66.309368399999997</v>
      </c>
      <c r="I5" s="48" t="s">
        <v>314</v>
      </c>
      <c r="J5" s="49" t="s">
        <v>331</v>
      </c>
      <c r="K5" s="3">
        <v>32264</v>
      </c>
      <c r="L5" s="48" t="s">
        <v>314</v>
      </c>
      <c r="M5" s="49" t="s">
        <v>331</v>
      </c>
      <c r="N5" s="3">
        <v>2610.7892069999998</v>
      </c>
      <c r="O5" s="3">
        <v>3392.085853</v>
      </c>
      <c r="P5" s="3">
        <v>1278.301099</v>
      </c>
      <c r="Q5" s="3">
        <v>1476.5674710000001</v>
      </c>
      <c r="R5" s="3">
        <v>3735.9132439999998</v>
      </c>
      <c r="S5" s="3">
        <v>3252.798542</v>
      </c>
      <c r="T5" s="3">
        <v>986.60289769999997</v>
      </c>
      <c r="U5" s="3">
        <v>2404.3032130000001</v>
      </c>
      <c r="V5" s="3">
        <v>2019.2685019999999</v>
      </c>
      <c r="W5" s="3">
        <v>821.78680139999994</v>
      </c>
      <c r="X5" s="3">
        <v>2295.0909390000002</v>
      </c>
      <c r="Y5" s="3">
        <v>186.29450069999999</v>
      </c>
      <c r="Z5" s="3">
        <v>784.2409791</v>
      </c>
      <c r="AA5" s="48" t="s">
        <v>314</v>
      </c>
      <c r="AB5" s="49" t="s">
        <v>331</v>
      </c>
      <c r="AC5" s="3">
        <v>0</v>
      </c>
      <c r="AD5" s="3">
        <v>0.33300000000000002</v>
      </c>
      <c r="AE5" s="3">
        <v>0</v>
      </c>
      <c r="AF5" s="3">
        <v>0.34899999999999998</v>
      </c>
      <c r="AG5" s="3">
        <v>0</v>
      </c>
      <c r="AH5" s="3">
        <v>0.45800000000000002</v>
      </c>
      <c r="AI5" s="3">
        <v>0</v>
      </c>
      <c r="AJ5" s="3">
        <v>0.28899999999999998</v>
      </c>
      <c r="AK5" s="3">
        <v>0</v>
      </c>
      <c r="AL5" s="3">
        <v>0.69599999999999995</v>
      </c>
      <c r="AM5" s="3">
        <v>0</v>
      </c>
      <c r="AN5" s="3">
        <v>0.77900000000000003</v>
      </c>
      <c r="AO5" s="3">
        <v>0</v>
      </c>
      <c r="AP5" s="3">
        <v>0.77900000000000003</v>
      </c>
      <c r="AQ5" s="3">
        <v>0</v>
      </c>
      <c r="AR5" s="3">
        <v>0.39700000000000002</v>
      </c>
      <c r="AS5" s="3">
        <v>0</v>
      </c>
      <c r="AT5" s="3">
        <v>0.40899999999999997</v>
      </c>
      <c r="AU5" s="3">
        <v>0</v>
      </c>
      <c r="AV5" s="3">
        <v>0.61599999999999999</v>
      </c>
      <c r="AW5" s="3">
        <v>0</v>
      </c>
      <c r="AX5" s="3">
        <v>0.41299999999999998</v>
      </c>
      <c r="AY5" s="3">
        <v>0</v>
      </c>
      <c r="AZ5" s="3">
        <v>0.69699999999999995</v>
      </c>
      <c r="BA5" s="3">
        <v>0</v>
      </c>
      <c r="BB5" s="3">
        <v>0.65500000000000003</v>
      </c>
      <c r="BC5" s="3">
        <v>0.83350000000000002</v>
      </c>
      <c r="BD5" s="3">
        <v>0.82499999999999996</v>
      </c>
      <c r="BE5" s="3">
        <v>0.70650000000000002</v>
      </c>
      <c r="BF5" s="3">
        <v>0.75466666699999996</v>
      </c>
      <c r="BG5" s="3">
        <v>0.78658333400000002</v>
      </c>
      <c r="BH5" s="3">
        <v>0.83099999999999996</v>
      </c>
      <c r="BI5" s="3">
        <v>0.80600000000000005</v>
      </c>
      <c r="BJ5" s="3">
        <v>0.73966666700000006</v>
      </c>
      <c r="BK5" s="3">
        <v>0.82899999999999996</v>
      </c>
      <c r="BL5" s="3">
        <v>0.875</v>
      </c>
      <c r="BM5" s="3">
        <v>0.01</v>
      </c>
      <c r="BN5" s="3">
        <v>0.77233333299999996</v>
      </c>
      <c r="BO5" s="3">
        <v>0.89800000000000002</v>
      </c>
      <c r="BP5" s="48" t="s">
        <v>314</v>
      </c>
      <c r="BQ5" s="49" t="s">
        <v>331</v>
      </c>
      <c r="BR5" s="3">
        <v>-0.68600000000000005</v>
      </c>
      <c r="BS5" s="3">
        <v>-0.61499999999999999</v>
      </c>
      <c r="BT5" s="3">
        <v>-0.41099999999999998</v>
      </c>
      <c r="BU5" s="3">
        <v>5.3999999999999999E-2</v>
      </c>
      <c r="BV5" s="3">
        <v>-1.3759999999999999</v>
      </c>
      <c r="BW5" s="3">
        <v>3.5390000000000001</v>
      </c>
      <c r="BX5" s="3">
        <v>1.3720000000000001</v>
      </c>
      <c r="BY5" s="3">
        <v>-0.376</v>
      </c>
      <c r="BZ5" s="3">
        <v>0.215</v>
      </c>
      <c r="CA5" s="3">
        <v>1.9730000000000001</v>
      </c>
      <c r="CB5" s="3">
        <v>-0.86099999999999999</v>
      </c>
      <c r="CC5" s="3">
        <v>1.966</v>
      </c>
      <c r="CD5" s="3">
        <v>-0.246</v>
      </c>
      <c r="CF5" s="53" t="s">
        <v>315</v>
      </c>
      <c r="CG5">
        <v>98</v>
      </c>
    </row>
    <row r="6" spans="1:86" x14ac:dyDescent="0.3">
      <c r="A6" s="48" t="s">
        <v>314</v>
      </c>
      <c r="B6" s="49" t="s">
        <v>332</v>
      </c>
      <c r="C6" s="3">
        <v>30.404565300000002</v>
      </c>
      <c r="D6" s="3">
        <v>68.999887200000003</v>
      </c>
      <c r="E6" s="3">
        <v>32.771540700000003</v>
      </c>
      <c r="F6" s="3">
        <v>23.380267799999999</v>
      </c>
      <c r="G6" s="3">
        <v>23.380267799999999</v>
      </c>
      <c r="H6" s="3">
        <v>64.5554226</v>
      </c>
      <c r="I6" s="48" t="s">
        <v>314</v>
      </c>
      <c r="J6" s="49" t="s">
        <v>332</v>
      </c>
      <c r="K6" s="3">
        <v>31558.5</v>
      </c>
      <c r="L6" s="48" t="s">
        <v>314</v>
      </c>
      <c r="M6" s="49" t="s">
        <v>332</v>
      </c>
      <c r="N6" s="3">
        <v>2329.028828</v>
      </c>
      <c r="O6" s="3">
        <v>3270.007333</v>
      </c>
      <c r="P6" s="3">
        <v>1188.4227550000001</v>
      </c>
      <c r="Q6" s="3">
        <v>1485.426708</v>
      </c>
      <c r="R6" s="3">
        <v>3200.9756750000001</v>
      </c>
      <c r="S6" s="3">
        <v>2915.132396</v>
      </c>
      <c r="T6" s="3">
        <v>881.28814650000004</v>
      </c>
      <c r="U6" s="3">
        <v>2275.0958009999999</v>
      </c>
      <c r="V6" s="3">
        <v>1974.6434690000001</v>
      </c>
      <c r="W6" s="3">
        <v>696.56167240000002</v>
      </c>
      <c r="X6" s="3">
        <v>1894.317528</v>
      </c>
      <c r="Y6" s="3">
        <v>67.341697319999994</v>
      </c>
      <c r="Z6" s="3">
        <v>721.65392139999994</v>
      </c>
      <c r="AA6" s="48" t="s">
        <v>314</v>
      </c>
      <c r="AB6" s="49" t="s">
        <v>332</v>
      </c>
      <c r="AC6" s="3">
        <v>0</v>
      </c>
      <c r="AD6" s="3">
        <v>0.35099999999999998</v>
      </c>
      <c r="AE6" s="3">
        <v>0</v>
      </c>
      <c r="AF6" s="3">
        <v>0.33300000000000002</v>
      </c>
      <c r="AG6" s="3">
        <v>0</v>
      </c>
      <c r="AH6" s="3">
        <v>0.46</v>
      </c>
      <c r="AI6" s="3">
        <v>0</v>
      </c>
      <c r="AJ6" s="3">
        <v>0.313</v>
      </c>
      <c r="AK6" s="3">
        <v>0</v>
      </c>
      <c r="AL6" s="3">
        <v>0.70199999999999996</v>
      </c>
      <c r="AM6" s="3">
        <v>0</v>
      </c>
      <c r="AN6" s="3">
        <v>0.75</v>
      </c>
      <c r="AO6" s="3">
        <v>0</v>
      </c>
      <c r="AP6" s="3">
        <v>0.75</v>
      </c>
      <c r="AQ6" s="3">
        <v>0</v>
      </c>
      <c r="AR6" s="3">
        <v>0.42299999999999999</v>
      </c>
      <c r="AS6" s="3">
        <v>0</v>
      </c>
      <c r="AT6" s="3">
        <v>0.436</v>
      </c>
      <c r="AU6" s="3">
        <v>0</v>
      </c>
      <c r="AV6" s="3">
        <v>0.61299999999999999</v>
      </c>
      <c r="AW6" s="3">
        <v>0</v>
      </c>
      <c r="AX6" s="3">
        <v>0.41599999999999998</v>
      </c>
      <c r="AY6" s="3">
        <v>0</v>
      </c>
      <c r="AZ6" s="3">
        <v>0.72099999999999997</v>
      </c>
      <c r="BA6" s="3">
        <v>0</v>
      </c>
      <c r="BB6" s="3">
        <v>0.65800000000000003</v>
      </c>
      <c r="BC6" s="3">
        <v>0.82350000000000001</v>
      </c>
      <c r="BD6" s="3">
        <v>0.85599999999999998</v>
      </c>
      <c r="BE6" s="3">
        <v>0.69099999999999995</v>
      </c>
      <c r="BF6" s="3">
        <v>0.755</v>
      </c>
      <c r="BG6" s="3">
        <v>0.79325000000000001</v>
      </c>
      <c r="BH6" s="3">
        <v>0.80300000000000005</v>
      </c>
      <c r="BI6" s="3">
        <v>0.82099999999999995</v>
      </c>
      <c r="BJ6" s="3">
        <v>0.76300000000000001</v>
      </c>
      <c r="BK6" s="3">
        <v>0.84550000000000003</v>
      </c>
      <c r="BL6" s="3">
        <v>0.90233333299999996</v>
      </c>
      <c r="BM6" s="3">
        <v>0.01</v>
      </c>
      <c r="BN6" s="3">
        <v>0.74466666699999995</v>
      </c>
      <c r="BO6" s="3">
        <v>0.86199999999999999</v>
      </c>
      <c r="BP6" s="48" t="s">
        <v>314</v>
      </c>
      <c r="BQ6" s="49" t="s">
        <v>332</v>
      </c>
      <c r="BR6" s="3">
        <v>-0.79500000000000004</v>
      </c>
      <c r="BS6" s="3">
        <v>-0.85199999999999998</v>
      </c>
      <c r="BT6" s="3">
        <v>-0.63700000000000001</v>
      </c>
      <c r="BU6" s="3">
        <v>-0.54</v>
      </c>
      <c r="BV6" s="3">
        <v>-1.577</v>
      </c>
      <c r="BW6" s="3">
        <v>3.629</v>
      </c>
      <c r="BX6" s="3">
        <v>1.042</v>
      </c>
      <c r="BY6" s="3">
        <v>-0.75600000000000001</v>
      </c>
      <c r="BZ6" s="3">
        <v>-5.0000000000000001E-3</v>
      </c>
      <c r="CA6" s="3">
        <v>1.6739999999999999</v>
      </c>
      <c r="CB6" s="3">
        <v>-1.0760000000000001</v>
      </c>
      <c r="CC6" s="3">
        <v>1.8260000000000001</v>
      </c>
      <c r="CD6" s="3">
        <v>-0.48599999999999999</v>
      </c>
      <c r="CF6" s="53" t="s">
        <v>316</v>
      </c>
      <c r="CG6">
        <v>42</v>
      </c>
    </row>
    <row r="7" spans="1:86" x14ac:dyDescent="0.3">
      <c r="A7" s="48" t="s">
        <v>314</v>
      </c>
      <c r="B7" s="49" t="s">
        <v>333</v>
      </c>
      <c r="C7" s="3">
        <v>30.404565300000002</v>
      </c>
      <c r="D7" s="3">
        <v>75.751727099999997</v>
      </c>
      <c r="E7" s="3">
        <v>35.257716299999998</v>
      </c>
      <c r="F7" s="3">
        <v>24.138040499999999</v>
      </c>
      <c r="G7" s="3">
        <v>24.138040499999999</v>
      </c>
      <c r="H7" s="3">
        <v>72.0820638</v>
      </c>
      <c r="I7" s="48" t="s">
        <v>314</v>
      </c>
      <c r="J7" s="49" t="s">
        <v>333</v>
      </c>
      <c r="K7" s="3">
        <v>31102</v>
      </c>
      <c r="L7" s="48" t="s">
        <v>314</v>
      </c>
      <c r="M7" s="49" t="s">
        <v>333</v>
      </c>
      <c r="N7" s="3">
        <v>2382.6218880000001</v>
      </c>
      <c r="O7" s="3">
        <v>3347.8932460000001</v>
      </c>
      <c r="P7" s="3">
        <v>1215.8019959999999</v>
      </c>
      <c r="Q7" s="3">
        <v>1600.094758</v>
      </c>
      <c r="R7" s="3">
        <v>3147.5651779999998</v>
      </c>
      <c r="S7" s="3">
        <v>3026.8668290000001</v>
      </c>
      <c r="T7" s="3">
        <v>651.71768699999996</v>
      </c>
      <c r="U7" s="3">
        <v>2384.8146919999999</v>
      </c>
      <c r="V7" s="3">
        <v>1990.5102199999999</v>
      </c>
      <c r="W7" s="3">
        <v>568.50596250000001</v>
      </c>
      <c r="X7" s="3">
        <v>1679.270767</v>
      </c>
      <c r="Y7" s="3">
        <v>65.462001659999999</v>
      </c>
      <c r="Z7" s="3">
        <v>576.20280979999995</v>
      </c>
      <c r="AA7" s="48" t="s">
        <v>314</v>
      </c>
      <c r="AB7" s="49" t="s">
        <v>333</v>
      </c>
      <c r="AC7" s="3">
        <v>0</v>
      </c>
      <c r="AD7" s="3">
        <v>0.38</v>
      </c>
      <c r="AE7" s="3">
        <v>0</v>
      </c>
      <c r="AF7" s="3">
        <v>0.32100000000000001</v>
      </c>
      <c r="AG7" s="3">
        <v>0</v>
      </c>
      <c r="AH7" s="3">
        <v>0.45500000000000002</v>
      </c>
      <c r="AI7" s="3">
        <v>0</v>
      </c>
      <c r="AJ7" s="3">
        <v>0.33800000000000002</v>
      </c>
      <c r="AK7" s="3">
        <v>0</v>
      </c>
      <c r="AL7" s="3">
        <v>0.73799999999999999</v>
      </c>
      <c r="AM7" s="3">
        <v>0</v>
      </c>
      <c r="AN7" s="3">
        <v>0.70399999999999996</v>
      </c>
      <c r="AO7" s="3">
        <v>0</v>
      </c>
      <c r="AP7" s="3">
        <v>0.70399999999999996</v>
      </c>
      <c r="AQ7" s="3">
        <v>0</v>
      </c>
      <c r="AR7" s="3">
        <v>0.44900000000000001</v>
      </c>
      <c r="AS7" s="3">
        <v>0</v>
      </c>
      <c r="AT7" s="3">
        <v>0.45700000000000002</v>
      </c>
      <c r="AU7" s="3">
        <v>0</v>
      </c>
      <c r="AV7" s="3">
        <v>0.63200000000000001</v>
      </c>
      <c r="AW7" s="3">
        <v>0</v>
      </c>
      <c r="AX7" s="3">
        <v>0.40300000000000002</v>
      </c>
      <c r="AY7" s="3">
        <v>0</v>
      </c>
      <c r="AZ7" s="3">
        <v>0.748</v>
      </c>
      <c r="BA7" s="3">
        <v>0</v>
      </c>
      <c r="BB7" s="3">
        <v>0.65200000000000002</v>
      </c>
      <c r="BC7" s="3">
        <v>0.84850000000000003</v>
      </c>
      <c r="BD7" s="3">
        <v>0.86050000000000004</v>
      </c>
      <c r="BE7" s="3">
        <v>0.72950000000000004</v>
      </c>
      <c r="BF7" s="3">
        <v>0.79033333299999997</v>
      </c>
      <c r="BG7" s="3">
        <v>0.83574999999999999</v>
      </c>
      <c r="BH7" s="3">
        <v>0.83599999999999997</v>
      </c>
      <c r="BI7" s="3">
        <v>0.82299999999999995</v>
      </c>
      <c r="BJ7" s="3">
        <v>0.82299999999999995</v>
      </c>
      <c r="BK7" s="3">
        <v>0.86550000000000005</v>
      </c>
      <c r="BL7" s="3">
        <v>0.91833333299999997</v>
      </c>
      <c r="BM7" s="3">
        <v>0.01</v>
      </c>
      <c r="BN7" s="3">
        <v>0.77700000000000002</v>
      </c>
      <c r="BO7" s="3">
        <v>0.83199999999999996</v>
      </c>
      <c r="BP7" s="48" t="s">
        <v>314</v>
      </c>
      <c r="BQ7" s="49" t="s">
        <v>333</v>
      </c>
      <c r="BR7" s="3">
        <v>-0.94299999999999995</v>
      </c>
      <c r="BS7" s="3">
        <v>-0.98199999999999998</v>
      </c>
      <c r="BT7" s="3">
        <v>-0.77800000000000002</v>
      </c>
      <c r="BU7" s="3">
        <v>-0.84799999999999998</v>
      </c>
      <c r="BV7" s="3">
        <v>-1.7789999999999999</v>
      </c>
      <c r="BW7" s="3">
        <v>3.7749999999999999</v>
      </c>
      <c r="BX7" s="3">
        <v>0.55400000000000005</v>
      </c>
      <c r="BY7" s="3">
        <v>-1.06</v>
      </c>
      <c r="BZ7" s="3">
        <v>-0.23</v>
      </c>
      <c r="CA7" s="3">
        <v>1.3440000000000001</v>
      </c>
      <c r="CB7" s="3">
        <v>-1.262</v>
      </c>
      <c r="CC7" s="3">
        <v>1.64</v>
      </c>
      <c r="CD7" s="3">
        <v>-0.61499999999999999</v>
      </c>
      <c r="CF7" s="53" t="s">
        <v>317</v>
      </c>
      <c r="CG7">
        <v>71</v>
      </c>
    </row>
    <row r="8" spans="1:86" x14ac:dyDescent="0.3">
      <c r="A8" s="48" t="s">
        <v>314</v>
      </c>
      <c r="B8" s="49" t="s">
        <v>334</v>
      </c>
      <c r="C8" s="3">
        <v>30.4130796</v>
      </c>
      <c r="D8" s="3">
        <v>92.124725999999995</v>
      </c>
      <c r="E8" s="3">
        <v>38.0674353</v>
      </c>
      <c r="F8" s="3">
        <v>24.904327500000001</v>
      </c>
      <c r="G8" s="3">
        <v>24.904327500000001</v>
      </c>
      <c r="H8" s="3">
        <v>85.543172100000007</v>
      </c>
      <c r="I8" s="48" t="s">
        <v>314</v>
      </c>
      <c r="J8" s="49" t="s">
        <v>334</v>
      </c>
      <c r="K8" s="3">
        <v>32000.5</v>
      </c>
      <c r="L8" s="48" t="s">
        <v>314</v>
      </c>
      <c r="M8" s="49" t="s">
        <v>334</v>
      </c>
      <c r="N8" s="3">
        <v>3155.1254949999998</v>
      </c>
      <c r="O8" s="3">
        <v>4277.0539930000004</v>
      </c>
      <c r="P8" s="3">
        <v>1736.2212340000001</v>
      </c>
      <c r="Q8" s="3">
        <v>1952.6837270000001</v>
      </c>
      <c r="R8" s="3">
        <v>3847.64311</v>
      </c>
      <c r="S8" s="3">
        <v>3690.5437230000002</v>
      </c>
      <c r="T8" s="3">
        <v>1288.802459</v>
      </c>
      <c r="U8" s="3">
        <v>3431.8907690000001</v>
      </c>
      <c r="V8" s="3">
        <v>2709.61978</v>
      </c>
      <c r="W8" s="3">
        <v>1058.5443230000001</v>
      </c>
      <c r="X8" s="3">
        <v>2473.8060449999998</v>
      </c>
      <c r="Y8" s="3">
        <v>135.0585169</v>
      </c>
      <c r="Z8" s="3">
        <v>697.27353860000005</v>
      </c>
      <c r="AA8" s="48" t="s">
        <v>314</v>
      </c>
      <c r="AB8" s="49" t="s">
        <v>334</v>
      </c>
      <c r="AC8" s="3">
        <v>0</v>
      </c>
      <c r="AD8" s="3">
        <v>0.41799999999999998</v>
      </c>
      <c r="AE8" s="3">
        <v>0</v>
      </c>
      <c r="AF8" s="3">
        <v>0.34100000000000003</v>
      </c>
      <c r="AG8" s="3">
        <v>0</v>
      </c>
      <c r="AH8" s="3">
        <v>0.45400000000000001</v>
      </c>
      <c r="AI8" s="3">
        <v>0</v>
      </c>
      <c r="AJ8" s="3">
        <v>0.36099999999999999</v>
      </c>
      <c r="AK8" s="3">
        <v>0</v>
      </c>
      <c r="AL8" s="3">
        <v>0.77800000000000002</v>
      </c>
      <c r="AM8" s="3">
        <v>0</v>
      </c>
      <c r="AN8" s="3">
        <v>0.65700000000000003</v>
      </c>
      <c r="AO8" s="3">
        <v>0</v>
      </c>
      <c r="AP8" s="3">
        <v>0.65700000000000003</v>
      </c>
      <c r="AQ8" s="3">
        <v>0</v>
      </c>
      <c r="AR8" s="3">
        <v>0.46600000000000003</v>
      </c>
      <c r="AS8" s="3">
        <v>0</v>
      </c>
      <c r="AT8" s="3">
        <v>0.47</v>
      </c>
      <c r="AU8" s="3">
        <v>0</v>
      </c>
      <c r="AV8" s="3">
        <v>0.66500000000000004</v>
      </c>
      <c r="AW8" s="3">
        <v>0</v>
      </c>
      <c r="AX8" s="3">
        <v>0.41599999999999998</v>
      </c>
      <c r="AY8" s="3">
        <v>0</v>
      </c>
      <c r="AZ8" s="3">
        <v>0.755</v>
      </c>
      <c r="BA8" s="3">
        <v>0</v>
      </c>
      <c r="BB8" s="3">
        <v>0.65</v>
      </c>
      <c r="BC8" s="3">
        <v>0.87</v>
      </c>
      <c r="BD8" s="3">
        <v>0.86399999999999999</v>
      </c>
      <c r="BE8" s="3">
        <v>0.76449999999999996</v>
      </c>
      <c r="BF8" s="3">
        <v>0.79566666699999999</v>
      </c>
      <c r="BG8" s="3">
        <v>0.85750000000000004</v>
      </c>
      <c r="BH8" s="3">
        <v>0.84599999999999997</v>
      </c>
      <c r="BI8" s="3">
        <v>0.87450000000000006</v>
      </c>
      <c r="BJ8" s="3">
        <v>0.84499999999999997</v>
      </c>
      <c r="BK8" s="3">
        <v>0.87</v>
      </c>
      <c r="BL8" s="3">
        <v>0.924666667</v>
      </c>
      <c r="BM8" s="3">
        <v>0.01</v>
      </c>
      <c r="BN8" s="3">
        <v>0.80300000000000005</v>
      </c>
      <c r="BO8" s="3">
        <v>0.83699999999999997</v>
      </c>
      <c r="BP8" s="48" t="s">
        <v>314</v>
      </c>
      <c r="BQ8" s="49" t="s">
        <v>334</v>
      </c>
      <c r="BR8" s="3">
        <v>-1.119</v>
      </c>
      <c r="BS8" s="3">
        <v>-1.026</v>
      </c>
      <c r="BT8" s="3">
        <v>-0.83599999999999997</v>
      </c>
      <c r="BU8" s="3">
        <v>-1.4059999999999999</v>
      </c>
      <c r="BV8" s="3">
        <v>-1.9890000000000001</v>
      </c>
      <c r="BW8" s="3">
        <v>3.8530000000000002</v>
      </c>
      <c r="BX8" s="3">
        <v>-4.7E-2</v>
      </c>
      <c r="BY8" s="3">
        <v>-1.294</v>
      </c>
      <c r="BZ8" s="3">
        <v>-0.48199999999999998</v>
      </c>
      <c r="CA8" s="3">
        <v>1.1479999999999999</v>
      </c>
      <c r="CB8" s="3">
        <v>-1.4279999999999999</v>
      </c>
      <c r="CC8" s="3">
        <v>1.389</v>
      </c>
      <c r="CD8" s="3">
        <v>-0.68200000000000005</v>
      </c>
      <c r="CF8" s="53" t="s">
        <v>318</v>
      </c>
      <c r="CG8">
        <v>85</v>
      </c>
    </row>
    <row r="9" spans="1:86" x14ac:dyDescent="0.3">
      <c r="A9" s="48" t="s">
        <v>314</v>
      </c>
      <c r="B9" s="49" t="s">
        <v>335</v>
      </c>
      <c r="C9" s="3">
        <v>25.3044996</v>
      </c>
      <c r="D9" s="3">
        <v>127.7145</v>
      </c>
      <c r="E9" s="3">
        <v>50.259912900000003</v>
      </c>
      <c r="F9" s="3">
        <v>26.513530200000002</v>
      </c>
      <c r="G9" s="3">
        <v>26.513530200000002</v>
      </c>
      <c r="H9" s="3">
        <v>114.6705924</v>
      </c>
      <c r="I9" s="48" t="s">
        <v>314</v>
      </c>
      <c r="J9" s="49" t="s">
        <v>335</v>
      </c>
      <c r="K9" s="3">
        <v>36740</v>
      </c>
      <c r="L9" s="48" t="s">
        <v>314</v>
      </c>
      <c r="M9" s="49" t="s">
        <v>335</v>
      </c>
      <c r="N9" s="3">
        <v>5067.1490100000001</v>
      </c>
      <c r="O9" s="3">
        <v>6042.9469209999997</v>
      </c>
      <c r="P9" s="3">
        <v>3254.6791760000001</v>
      </c>
      <c r="Q9" s="3">
        <v>3146.3824920000002</v>
      </c>
      <c r="R9" s="3">
        <v>6053.0342979999996</v>
      </c>
      <c r="S9" s="3">
        <v>5082.5480269999998</v>
      </c>
      <c r="T9" s="3">
        <v>3010.4226800000001</v>
      </c>
      <c r="U9" s="3">
        <v>6934.6746590000002</v>
      </c>
      <c r="V9" s="3">
        <v>5303.4945950000001</v>
      </c>
      <c r="W9" s="3">
        <v>2568.8629099999998</v>
      </c>
      <c r="X9" s="3">
        <v>3557.22786</v>
      </c>
      <c r="Y9" s="3">
        <v>301.26770909999999</v>
      </c>
      <c r="Z9" s="3">
        <v>1003.275393</v>
      </c>
      <c r="AA9" s="48" t="s">
        <v>314</v>
      </c>
      <c r="AB9" s="49" t="s">
        <v>335</v>
      </c>
      <c r="AC9" s="3">
        <v>0</v>
      </c>
      <c r="AD9" s="3">
        <v>0.44500000000000001</v>
      </c>
      <c r="AE9" s="3">
        <v>0</v>
      </c>
      <c r="AF9" s="3">
        <v>0.374</v>
      </c>
      <c r="AG9" s="3">
        <v>0</v>
      </c>
      <c r="AH9" s="3">
        <v>0.46899999999999997</v>
      </c>
      <c r="AI9" s="3">
        <v>0</v>
      </c>
      <c r="AJ9" s="3">
        <v>0.37</v>
      </c>
      <c r="AK9" s="3">
        <v>0</v>
      </c>
      <c r="AL9" s="3">
        <v>0.80500000000000005</v>
      </c>
      <c r="AM9" s="3">
        <v>0</v>
      </c>
      <c r="AN9" s="3">
        <v>0.61199999999999999</v>
      </c>
      <c r="AO9" s="3">
        <v>0</v>
      </c>
      <c r="AP9" s="3">
        <v>0.61199999999999999</v>
      </c>
      <c r="AQ9" s="3">
        <v>0</v>
      </c>
      <c r="AR9" s="3">
        <v>0.47799999999999998</v>
      </c>
      <c r="AS9" s="3">
        <v>0</v>
      </c>
      <c r="AT9" s="3">
        <v>0.47599999999999998</v>
      </c>
      <c r="AU9" s="3">
        <v>0</v>
      </c>
      <c r="AV9" s="3">
        <v>0.68400000000000005</v>
      </c>
      <c r="AW9" s="3">
        <v>0</v>
      </c>
      <c r="AX9" s="3">
        <v>0.45800000000000002</v>
      </c>
      <c r="AY9" s="3">
        <v>0</v>
      </c>
      <c r="AZ9" s="3">
        <v>0.75</v>
      </c>
      <c r="BA9" s="3">
        <v>0</v>
      </c>
      <c r="BB9" s="3">
        <v>0.66900000000000004</v>
      </c>
      <c r="BC9" s="3">
        <v>0.88400000000000001</v>
      </c>
      <c r="BD9" s="3">
        <v>0.872</v>
      </c>
      <c r="BE9" s="3">
        <v>0.76249999999999996</v>
      </c>
      <c r="BF9" s="3">
        <v>0.80433333299999998</v>
      </c>
      <c r="BG9" s="3">
        <v>0.87583333399999996</v>
      </c>
      <c r="BH9" s="3">
        <v>0.83899999999999997</v>
      </c>
      <c r="BI9" s="3">
        <v>0.9345</v>
      </c>
      <c r="BJ9" s="3">
        <v>0.86766666699999995</v>
      </c>
      <c r="BK9" s="3">
        <v>0.86050000000000004</v>
      </c>
      <c r="BL9" s="3">
        <v>0.90766666699999998</v>
      </c>
      <c r="BM9" s="3">
        <v>0.01</v>
      </c>
      <c r="BN9" s="3">
        <v>0.82699999999999996</v>
      </c>
      <c r="BO9" s="3">
        <v>0.86499999999999999</v>
      </c>
      <c r="BP9" s="48" t="s">
        <v>314</v>
      </c>
      <c r="BQ9" s="49" t="s">
        <v>335</v>
      </c>
      <c r="BR9" s="3">
        <v>-1.3149999999999999</v>
      </c>
      <c r="BS9" s="3">
        <v>-1.008</v>
      </c>
      <c r="BT9" s="3">
        <v>-0.79800000000000004</v>
      </c>
      <c r="BU9" s="3">
        <v>-1.571</v>
      </c>
      <c r="BV9" s="3">
        <v>-2.1840000000000002</v>
      </c>
      <c r="BW9" s="3">
        <v>3.7989999999999999</v>
      </c>
      <c r="BX9" s="3">
        <v>-0.72699999999999998</v>
      </c>
      <c r="BY9" s="3">
        <v>-1.4590000000000001</v>
      </c>
      <c r="BZ9" s="3">
        <v>-0.65800000000000003</v>
      </c>
      <c r="CA9" s="3">
        <v>0.88</v>
      </c>
      <c r="CB9" s="3">
        <v>-1.5469999999999999</v>
      </c>
      <c r="CC9" s="3">
        <v>1.056</v>
      </c>
      <c r="CD9" s="3">
        <v>-0.755</v>
      </c>
      <c r="CF9" s="53" t="s">
        <v>319</v>
      </c>
      <c r="CG9">
        <v>68</v>
      </c>
    </row>
    <row r="10" spans="1:86" x14ac:dyDescent="0.3">
      <c r="A10" s="48" t="s">
        <v>314</v>
      </c>
      <c r="B10" s="49" t="s">
        <v>336</v>
      </c>
      <c r="C10" s="3">
        <v>33.699599399999997</v>
      </c>
      <c r="D10" s="3">
        <v>140.41783559999999</v>
      </c>
      <c r="E10" s="3">
        <v>51.477457800000003</v>
      </c>
      <c r="F10" s="3">
        <v>26.785987800000001</v>
      </c>
      <c r="G10" s="3">
        <v>26.785987800000001</v>
      </c>
      <c r="H10" s="3">
        <v>140.41783559999999</v>
      </c>
      <c r="I10" s="48" t="s">
        <v>314</v>
      </c>
      <c r="J10" s="49" t="s">
        <v>336</v>
      </c>
      <c r="K10" s="3">
        <v>43796.5</v>
      </c>
      <c r="L10" s="48" t="s">
        <v>314</v>
      </c>
      <c r="M10" s="49" t="s">
        <v>336</v>
      </c>
      <c r="N10" s="3">
        <v>10283.49437</v>
      </c>
      <c r="O10" s="3">
        <v>12062.84274</v>
      </c>
      <c r="P10" s="3">
        <v>6821.0110649999997</v>
      </c>
      <c r="Q10" s="3">
        <v>5804.2254720000001</v>
      </c>
      <c r="R10" s="3">
        <v>11208.474539999999</v>
      </c>
      <c r="S10" s="3">
        <v>11017.01187</v>
      </c>
      <c r="T10" s="3">
        <v>7104.627547</v>
      </c>
      <c r="U10" s="3">
        <v>14110.05552</v>
      </c>
      <c r="V10" s="3">
        <v>10485.59901</v>
      </c>
      <c r="W10" s="3">
        <v>6709.6142620000001</v>
      </c>
      <c r="X10" s="3">
        <v>8501.8575340000007</v>
      </c>
      <c r="Y10" s="3">
        <v>863.04464499999995</v>
      </c>
      <c r="Z10" s="3">
        <v>1970.0760069999999</v>
      </c>
      <c r="AA10" s="48" t="s">
        <v>314</v>
      </c>
      <c r="AB10" s="49" t="s">
        <v>336</v>
      </c>
      <c r="AC10" s="3">
        <v>0</v>
      </c>
      <c r="AD10" s="3">
        <v>0.44700000000000001</v>
      </c>
      <c r="AE10" s="3">
        <v>0</v>
      </c>
      <c r="AF10" s="3">
        <v>0.4</v>
      </c>
      <c r="AG10" s="3">
        <v>0</v>
      </c>
      <c r="AH10" s="3">
        <v>0.47699999999999998</v>
      </c>
      <c r="AI10" s="3">
        <v>0</v>
      </c>
      <c r="AJ10" s="3">
        <v>0.35499999999999998</v>
      </c>
      <c r="AK10" s="3">
        <v>0</v>
      </c>
      <c r="AL10" s="3">
        <v>0.82</v>
      </c>
      <c r="AM10" s="3">
        <v>0</v>
      </c>
      <c r="AN10" s="3">
        <v>0.59299999999999997</v>
      </c>
      <c r="AO10" s="3">
        <v>0</v>
      </c>
      <c r="AP10" s="3">
        <v>0.59299999999999997</v>
      </c>
      <c r="AQ10" s="3">
        <v>0</v>
      </c>
      <c r="AR10" s="3">
        <v>0.47199999999999998</v>
      </c>
      <c r="AS10" s="3">
        <v>0</v>
      </c>
      <c r="AT10" s="3">
        <v>0.47299999999999998</v>
      </c>
      <c r="AU10" s="3">
        <v>0</v>
      </c>
      <c r="AV10" s="3">
        <v>0.7</v>
      </c>
      <c r="AW10" s="3">
        <v>0</v>
      </c>
      <c r="AX10" s="3">
        <v>0.47899999999999998</v>
      </c>
      <c r="AY10" s="3">
        <v>0</v>
      </c>
      <c r="AZ10" s="3">
        <v>0.755</v>
      </c>
      <c r="BA10" s="3">
        <v>0</v>
      </c>
      <c r="BB10" s="3">
        <v>0.68300000000000005</v>
      </c>
      <c r="BC10" s="3">
        <v>0.87450000000000006</v>
      </c>
      <c r="BD10" s="3">
        <v>0.89</v>
      </c>
      <c r="BE10" s="3">
        <v>0.77749999999999997</v>
      </c>
      <c r="BF10" s="3">
        <v>0.83766666700000003</v>
      </c>
      <c r="BG10" s="3">
        <v>0.87275000000000003</v>
      </c>
      <c r="BH10" s="3">
        <v>0.84599999999999997</v>
      </c>
      <c r="BI10" s="3">
        <v>0.96099999999999997</v>
      </c>
      <c r="BJ10" s="3">
        <v>0.871</v>
      </c>
      <c r="BK10" s="3">
        <v>0.85450000000000004</v>
      </c>
      <c r="BL10" s="3">
        <v>0.87133333300000004</v>
      </c>
      <c r="BM10" s="3">
        <v>0.01</v>
      </c>
      <c r="BN10" s="3">
        <v>0.82666666700000002</v>
      </c>
      <c r="BO10" s="3">
        <v>0.85599999999999998</v>
      </c>
      <c r="BP10" s="48" t="s">
        <v>314</v>
      </c>
      <c r="BQ10" s="49" t="s">
        <v>336</v>
      </c>
      <c r="BR10" s="3">
        <v>-1.5580000000000001</v>
      </c>
      <c r="BS10" s="3">
        <v>-1.05</v>
      </c>
      <c r="BT10" s="3">
        <v>-0.754</v>
      </c>
      <c r="BU10" s="3">
        <v>-1.798</v>
      </c>
      <c r="BV10" s="3">
        <v>-2.2389999999999999</v>
      </c>
      <c r="BW10" s="3">
        <v>3.5779999999999998</v>
      </c>
      <c r="BX10" s="3">
        <v>-1.5389999999999999</v>
      </c>
      <c r="BY10" s="3">
        <v>-1.452</v>
      </c>
      <c r="BZ10" s="3">
        <v>-0.72499999999999998</v>
      </c>
      <c r="CA10" s="3">
        <v>0.63700000000000001</v>
      </c>
      <c r="CB10" s="3">
        <v>-1.716</v>
      </c>
      <c r="CC10" s="3">
        <v>0.79900000000000004</v>
      </c>
      <c r="CD10" s="3">
        <v>-0.92500000000000004</v>
      </c>
    </row>
    <row r="11" spans="1:86" x14ac:dyDescent="0.3">
      <c r="A11" s="48" t="s">
        <v>314</v>
      </c>
      <c r="B11" s="49" t="s">
        <v>337</v>
      </c>
      <c r="C11" s="3">
        <v>52.184144699999997</v>
      </c>
      <c r="D11" s="3">
        <v>127.7145</v>
      </c>
      <c r="E11" s="3">
        <v>58.271869199999998</v>
      </c>
      <c r="F11" s="3">
        <v>26.683816199999999</v>
      </c>
      <c r="G11" s="3">
        <v>26.683816199999999</v>
      </c>
      <c r="H11" s="3">
        <v>110.4474996</v>
      </c>
      <c r="I11" s="48" t="s">
        <v>314</v>
      </c>
      <c r="J11" s="49" t="s">
        <v>337</v>
      </c>
      <c r="K11" s="3">
        <v>45913</v>
      </c>
      <c r="L11" s="48" t="s">
        <v>314</v>
      </c>
      <c r="M11" s="49" t="s">
        <v>337</v>
      </c>
      <c r="N11" s="3">
        <v>12199.570949999999</v>
      </c>
      <c r="O11" s="3">
        <v>14659.04795</v>
      </c>
      <c r="P11" s="3">
        <v>8468.7594520000002</v>
      </c>
      <c r="Q11" s="3">
        <v>7254.200801</v>
      </c>
      <c r="R11" s="3">
        <v>13306.25668</v>
      </c>
      <c r="S11" s="3">
        <v>14330.943579999999</v>
      </c>
      <c r="T11" s="3">
        <v>9186.3719600000004</v>
      </c>
      <c r="U11" s="3">
        <v>16015.137360000001</v>
      </c>
      <c r="V11" s="3">
        <v>12178.303449999999</v>
      </c>
      <c r="W11" s="3">
        <v>8602.7416030000004</v>
      </c>
      <c r="X11" s="3">
        <v>11142.62112</v>
      </c>
      <c r="Y11" s="3">
        <v>1257.517059</v>
      </c>
      <c r="Z11" s="3">
        <v>3172.318323</v>
      </c>
      <c r="AA11" s="48" t="s">
        <v>314</v>
      </c>
      <c r="AB11" s="49" t="s">
        <v>337</v>
      </c>
      <c r="AC11" s="3">
        <v>6.0000000000000001E-3</v>
      </c>
      <c r="AD11" s="3">
        <v>0.432</v>
      </c>
      <c r="AE11" s="3">
        <v>6.6000000000000003E-2</v>
      </c>
      <c r="AF11" s="3">
        <v>0.40799999999999997</v>
      </c>
      <c r="AG11" s="3">
        <v>7.9000000000000001E-2</v>
      </c>
      <c r="AH11" s="3">
        <v>0.48499999999999999</v>
      </c>
      <c r="AI11" s="3">
        <v>6.0000000000000001E-3</v>
      </c>
      <c r="AJ11" s="3">
        <v>0.35499999999999998</v>
      </c>
      <c r="AK11" s="3">
        <v>5.0000000000000001E-3</v>
      </c>
      <c r="AL11" s="3">
        <v>0.82799999999999996</v>
      </c>
      <c r="AM11" s="3">
        <v>4.8000000000000001E-2</v>
      </c>
      <c r="AN11" s="3">
        <v>0.59</v>
      </c>
      <c r="AO11" s="3">
        <v>0</v>
      </c>
      <c r="AP11" s="3">
        <v>0.59</v>
      </c>
      <c r="AQ11" s="3">
        <v>7.0000000000000001E-3</v>
      </c>
      <c r="AR11" s="3">
        <v>0.46400000000000002</v>
      </c>
      <c r="AS11" s="3">
        <v>8.0000000000000002E-3</v>
      </c>
      <c r="AT11" s="3">
        <v>0.46300000000000002</v>
      </c>
      <c r="AU11" s="3">
        <v>8.9999999999999993E-3</v>
      </c>
      <c r="AV11" s="3">
        <v>0.70399999999999996</v>
      </c>
      <c r="AW11" s="3">
        <v>2.3E-2</v>
      </c>
      <c r="AX11" s="3">
        <v>0.47399999999999998</v>
      </c>
      <c r="AY11" s="3">
        <v>0.04</v>
      </c>
      <c r="AZ11" s="3">
        <v>0.78200000000000003</v>
      </c>
      <c r="BA11" s="3">
        <v>0.04</v>
      </c>
      <c r="BB11" s="3">
        <v>0.73099999999999998</v>
      </c>
      <c r="BC11" s="3">
        <v>0.87450000000000006</v>
      </c>
      <c r="BD11" s="3">
        <v>0.878</v>
      </c>
      <c r="BE11" s="3">
        <v>0.78849999999999998</v>
      </c>
      <c r="BF11" s="3">
        <v>0.85733333300000003</v>
      </c>
      <c r="BG11" s="3">
        <v>0.85824999999999996</v>
      </c>
      <c r="BH11" s="3">
        <v>0.85099999999999998</v>
      </c>
      <c r="BI11" s="3">
        <v>0.96899999999999997</v>
      </c>
      <c r="BJ11" s="3">
        <v>0.84199999999999997</v>
      </c>
      <c r="BK11" s="3">
        <v>0.83550000000000002</v>
      </c>
      <c r="BL11" s="3">
        <v>0.89300000000000002</v>
      </c>
      <c r="BM11" s="3">
        <v>0.01</v>
      </c>
      <c r="BN11" s="3">
        <v>0.80866666700000001</v>
      </c>
      <c r="BO11" s="3">
        <v>0.82599999999999996</v>
      </c>
      <c r="BP11" s="48" t="s">
        <v>314</v>
      </c>
      <c r="BQ11" s="49" t="s">
        <v>337</v>
      </c>
      <c r="BR11" s="3">
        <v>-1.4450000000000001</v>
      </c>
      <c r="BS11" s="3">
        <v>-0.93</v>
      </c>
      <c r="BT11" s="3">
        <v>-0.70699999999999996</v>
      </c>
      <c r="BU11" s="3">
        <v>-1.653</v>
      </c>
      <c r="BV11" s="3">
        <v>-1.905</v>
      </c>
      <c r="BW11" s="3">
        <v>3.2669999999999999</v>
      </c>
      <c r="BX11" s="3">
        <v>-2.0230000000000001</v>
      </c>
      <c r="BY11" s="3">
        <v>-1.1779999999999999</v>
      </c>
      <c r="BZ11" s="3">
        <v>-0.42399999999999999</v>
      </c>
      <c r="CA11" s="3">
        <v>0.79</v>
      </c>
      <c r="CB11" s="3">
        <v>-1.6160000000000001</v>
      </c>
      <c r="CC11" s="3">
        <v>0.68899999999999995</v>
      </c>
      <c r="CD11" s="3">
        <v>-0.94599999999999995</v>
      </c>
    </row>
    <row r="12" spans="1:86" x14ac:dyDescent="0.3">
      <c r="A12" s="48" t="s">
        <v>314</v>
      </c>
      <c r="B12" s="49" t="s">
        <v>338</v>
      </c>
      <c r="C12" s="3">
        <v>51.7924869</v>
      </c>
      <c r="D12" s="3">
        <v>107.3568087</v>
      </c>
      <c r="E12" s="3">
        <v>59.557528499999997</v>
      </c>
      <c r="F12" s="3">
        <v>26.666787599999999</v>
      </c>
      <c r="G12" s="3">
        <v>26.666787599999999</v>
      </c>
      <c r="H12" s="3">
        <v>141.91635239999999</v>
      </c>
      <c r="I12" s="48" t="s">
        <v>314</v>
      </c>
      <c r="J12" s="49" t="s">
        <v>338</v>
      </c>
      <c r="K12" s="3">
        <v>47380</v>
      </c>
      <c r="L12" s="48" t="s">
        <v>314</v>
      </c>
      <c r="M12" s="49" t="s">
        <v>338</v>
      </c>
      <c r="N12" s="3">
        <v>10286.25215</v>
      </c>
      <c r="O12" s="3">
        <v>12993.151830000001</v>
      </c>
      <c r="P12" s="3">
        <v>7560.5589819999996</v>
      </c>
      <c r="Q12" s="3">
        <v>6667.9538759999996</v>
      </c>
      <c r="R12" s="3">
        <v>11743.00359</v>
      </c>
      <c r="S12" s="3">
        <v>13130.784019999999</v>
      </c>
      <c r="T12" s="3">
        <v>8195.6592619999992</v>
      </c>
      <c r="U12" s="3">
        <v>13132.69836</v>
      </c>
      <c r="V12" s="3">
        <v>10139.145039999999</v>
      </c>
      <c r="W12" s="3">
        <v>7024.6638000000003</v>
      </c>
      <c r="X12" s="3">
        <v>9894.5593640000006</v>
      </c>
      <c r="Y12" s="3">
        <v>1148.0820289999999</v>
      </c>
      <c r="Z12" s="3">
        <v>3602.975974</v>
      </c>
      <c r="AA12" s="48" t="s">
        <v>314</v>
      </c>
      <c r="AB12" s="49" t="s">
        <v>338</v>
      </c>
      <c r="AC12" s="3">
        <v>0.13600000000000001</v>
      </c>
      <c r="AD12" s="3">
        <v>0.46</v>
      </c>
      <c r="AE12" s="3">
        <v>0.26900000000000002</v>
      </c>
      <c r="AF12" s="3">
        <v>0.433</v>
      </c>
      <c r="AG12" s="3">
        <v>0.24</v>
      </c>
      <c r="AH12" s="3">
        <v>0.54500000000000004</v>
      </c>
      <c r="AI12" s="3">
        <v>3.9E-2</v>
      </c>
      <c r="AJ12" s="3">
        <v>0.38700000000000001</v>
      </c>
      <c r="AK12" s="3">
        <v>6.5000000000000002E-2</v>
      </c>
      <c r="AL12" s="3">
        <v>0.83299999999999996</v>
      </c>
      <c r="AM12" s="3">
        <v>0.13200000000000001</v>
      </c>
      <c r="AN12" s="3">
        <v>0.58599999999999997</v>
      </c>
      <c r="AO12" s="3">
        <v>3.2000000000000001E-2</v>
      </c>
      <c r="AP12" s="3">
        <v>0.58599999999999997</v>
      </c>
      <c r="AQ12" s="3">
        <v>2.5999999999999999E-2</v>
      </c>
      <c r="AR12" s="3">
        <v>0.44800000000000001</v>
      </c>
      <c r="AS12" s="3">
        <v>9.1999999999999998E-2</v>
      </c>
      <c r="AT12" s="3">
        <v>0.45700000000000002</v>
      </c>
      <c r="AU12" s="3">
        <v>9.2999999999999999E-2</v>
      </c>
      <c r="AV12" s="3">
        <v>0.70399999999999996</v>
      </c>
      <c r="AW12" s="3">
        <v>0.125</v>
      </c>
      <c r="AX12" s="3">
        <v>0.54600000000000004</v>
      </c>
      <c r="AY12" s="3">
        <v>0.217</v>
      </c>
      <c r="AZ12" s="3">
        <v>0.80300000000000005</v>
      </c>
      <c r="BA12" s="3">
        <v>0.14599999999999999</v>
      </c>
      <c r="BB12" s="3">
        <v>0.76300000000000001</v>
      </c>
      <c r="BC12" s="3">
        <v>0.88049999999999995</v>
      </c>
      <c r="BD12" s="3">
        <v>0.80649999999999999</v>
      </c>
      <c r="BE12" s="3">
        <v>0.80449999999999999</v>
      </c>
      <c r="BF12" s="3">
        <v>0.87833333300000005</v>
      </c>
      <c r="BG12" s="3">
        <v>0.82725000000000004</v>
      </c>
      <c r="BH12" s="3">
        <v>0.85799999999999998</v>
      </c>
      <c r="BI12" s="3">
        <v>0.96499999999999997</v>
      </c>
      <c r="BJ12" s="3">
        <v>0.77400000000000002</v>
      </c>
      <c r="BK12" s="3">
        <v>0.79649999999999999</v>
      </c>
      <c r="BL12" s="3">
        <v>0.92533333299999998</v>
      </c>
      <c r="BM12" s="3">
        <v>0.01</v>
      </c>
      <c r="BN12" s="3">
        <v>0.81299999999999994</v>
      </c>
      <c r="BO12" s="3">
        <v>0.751</v>
      </c>
      <c r="BP12" s="48" t="s">
        <v>314</v>
      </c>
      <c r="BQ12" s="49" t="s">
        <v>338</v>
      </c>
      <c r="BR12" s="3">
        <v>-1.224</v>
      </c>
      <c r="BS12" s="3">
        <v>-0.64200000000000002</v>
      </c>
      <c r="BT12" s="3">
        <v>-0.28199999999999997</v>
      </c>
      <c r="BU12" s="3">
        <v>-1.0840000000000001</v>
      </c>
      <c r="BV12" s="3">
        <v>-1.4219999999999999</v>
      </c>
      <c r="BW12" s="3">
        <v>3.0409999999999999</v>
      </c>
      <c r="BX12" s="3">
        <v>-1.3140000000000001</v>
      </c>
      <c r="BY12" s="3">
        <v>-0.80800000000000005</v>
      </c>
      <c r="BZ12" s="3">
        <v>0.124</v>
      </c>
      <c r="CA12" s="3">
        <v>1.409</v>
      </c>
      <c r="CB12" s="3">
        <v>-1.1339999999999999</v>
      </c>
      <c r="CC12" s="3">
        <v>0.92700000000000005</v>
      </c>
      <c r="CD12" s="3">
        <v>-0.65300000000000002</v>
      </c>
    </row>
    <row r="13" spans="1:86" x14ac:dyDescent="0.3">
      <c r="A13" s="48" t="s">
        <v>314</v>
      </c>
      <c r="B13" s="49" t="s">
        <v>339</v>
      </c>
      <c r="C13" s="3">
        <v>48.795453299999998</v>
      </c>
      <c r="D13" s="3">
        <v>102.1716</v>
      </c>
      <c r="E13" s="3">
        <v>51.085799999999999</v>
      </c>
      <c r="F13" s="3">
        <v>26.564616000000001</v>
      </c>
      <c r="G13" s="3">
        <v>26.564616000000001</v>
      </c>
      <c r="H13" s="3">
        <v>102.1716</v>
      </c>
      <c r="I13" s="48" t="s">
        <v>314</v>
      </c>
      <c r="J13" s="49" t="s">
        <v>339</v>
      </c>
      <c r="K13" s="3">
        <v>47637.5</v>
      </c>
      <c r="L13" s="48" t="s">
        <v>314</v>
      </c>
      <c r="M13" s="49" t="s">
        <v>339</v>
      </c>
      <c r="N13" s="3">
        <v>8401.8167300000005</v>
      </c>
      <c r="O13" s="3">
        <v>11180.99662</v>
      </c>
      <c r="P13" s="3">
        <v>6490.4022999999997</v>
      </c>
      <c r="Q13" s="3">
        <v>5923.3049950000004</v>
      </c>
      <c r="R13" s="3">
        <v>9527.2131530000006</v>
      </c>
      <c r="S13" s="3">
        <v>11017.11384</v>
      </c>
      <c r="T13" s="3">
        <v>6456.1169060000002</v>
      </c>
      <c r="U13" s="3">
        <v>10878.319890000001</v>
      </c>
      <c r="V13" s="3">
        <v>8245.2735209999992</v>
      </c>
      <c r="W13" s="3">
        <v>5663.7628640000003</v>
      </c>
      <c r="X13" s="3">
        <v>8428.6358529999998</v>
      </c>
      <c r="Y13" s="3">
        <v>919.36364470000001</v>
      </c>
      <c r="Z13" s="3">
        <v>3270.4554659999999</v>
      </c>
      <c r="AA13" s="48" t="s">
        <v>314</v>
      </c>
      <c r="AB13" s="49" t="s">
        <v>339</v>
      </c>
      <c r="AC13" s="3">
        <v>0.38600000000000001</v>
      </c>
      <c r="AD13" s="3">
        <v>0.46600000000000003</v>
      </c>
      <c r="AE13" s="3">
        <v>0.33500000000000002</v>
      </c>
      <c r="AF13" s="3">
        <v>0.46300000000000002</v>
      </c>
      <c r="AG13" s="3">
        <v>0.249</v>
      </c>
      <c r="AH13" s="3">
        <v>0.57199999999999995</v>
      </c>
      <c r="AI13" s="3">
        <v>9.7000000000000003E-2</v>
      </c>
      <c r="AJ13" s="3">
        <v>0.38400000000000001</v>
      </c>
      <c r="AK13" s="3">
        <v>0.18</v>
      </c>
      <c r="AL13" s="3">
        <v>0.83299999999999996</v>
      </c>
      <c r="AM13" s="3">
        <v>0.19900000000000001</v>
      </c>
      <c r="AN13" s="3">
        <v>0.629</v>
      </c>
      <c r="AO13" s="3">
        <v>7.0000000000000007E-2</v>
      </c>
      <c r="AP13" s="3">
        <v>0.629</v>
      </c>
      <c r="AQ13" s="3">
        <v>0.105</v>
      </c>
      <c r="AR13" s="3">
        <v>0.42099999999999999</v>
      </c>
      <c r="AS13" s="3">
        <v>0.17</v>
      </c>
      <c r="AT13" s="3">
        <v>0.443</v>
      </c>
      <c r="AU13" s="3">
        <v>0.17199999999999999</v>
      </c>
      <c r="AV13" s="3">
        <v>0.72099999999999997</v>
      </c>
      <c r="AW13" s="3">
        <v>0.24399999999999999</v>
      </c>
      <c r="AX13" s="3">
        <v>0.57099999999999995</v>
      </c>
      <c r="AY13" s="3">
        <v>0.26400000000000001</v>
      </c>
      <c r="AZ13" s="3">
        <v>0.8</v>
      </c>
      <c r="BA13" s="3">
        <v>0.28499999999999998</v>
      </c>
      <c r="BB13" s="3">
        <v>0.76</v>
      </c>
      <c r="BC13" s="3">
        <v>0.88200000000000001</v>
      </c>
      <c r="BD13" s="3">
        <v>0.82950000000000002</v>
      </c>
      <c r="BE13" s="3">
        <v>0.87450000000000006</v>
      </c>
      <c r="BF13" s="3">
        <v>0.89800000000000002</v>
      </c>
      <c r="BG13" s="3">
        <v>0.83033333399999998</v>
      </c>
      <c r="BH13" s="3">
        <v>0.86</v>
      </c>
      <c r="BI13" s="3">
        <v>0.96150000000000002</v>
      </c>
      <c r="BJ13" s="3">
        <v>0.77866666699999998</v>
      </c>
      <c r="BK13" s="3">
        <v>0.82299999999999995</v>
      </c>
      <c r="BL13" s="3">
        <v>0.91466666699999999</v>
      </c>
      <c r="BM13" s="3">
        <v>0.01</v>
      </c>
      <c r="BN13" s="3">
        <v>0.822333333</v>
      </c>
      <c r="BO13" s="3">
        <v>0.76100000000000001</v>
      </c>
      <c r="BP13" s="48" t="s">
        <v>314</v>
      </c>
      <c r="BQ13" s="49" t="s">
        <v>339</v>
      </c>
      <c r="BR13" s="3">
        <v>-0.96299999999999997</v>
      </c>
      <c r="BS13" s="3">
        <v>-0.314</v>
      </c>
      <c r="BT13" s="3">
        <v>0.158</v>
      </c>
      <c r="BU13" s="3">
        <v>-0.33200000000000002</v>
      </c>
      <c r="BV13" s="3">
        <v>-0.83799999999999997</v>
      </c>
      <c r="BW13" s="3">
        <v>2.927</v>
      </c>
      <c r="BX13" s="3">
        <v>-0.439</v>
      </c>
      <c r="BY13" s="3">
        <v>-0.39400000000000002</v>
      </c>
      <c r="BZ13" s="3">
        <v>0.78500000000000003</v>
      </c>
      <c r="CA13" s="3">
        <v>2.2810000000000001</v>
      </c>
      <c r="CB13" s="3">
        <v>-0.63700000000000001</v>
      </c>
      <c r="CC13" s="3">
        <v>1.3779999999999999</v>
      </c>
      <c r="CD13" s="3">
        <v>-0.16</v>
      </c>
    </row>
    <row r="14" spans="1:86" x14ac:dyDescent="0.3">
      <c r="A14" s="48" t="s">
        <v>314</v>
      </c>
      <c r="B14" s="49" t="s">
        <v>340</v>
      </c>
      <c r="C14" s="3">
        <v>46.7009355</v>
      </c>
      <c r="D14" s="3">
        <v>86.232830399999997</v>
      </c>
      <c r="E14" s="3">
        <v>46.062362999999998</v>
      </c>
      <c r="F14" s="3">
        <v>26.479472999999999</v>
      </c>
      <c r="G14" s="3">
        <v>26.479472999999999</v>
      </c>
      <c r="H14" s="3">
        <v>86.232830399999997</v>
      </c>
      <c r="I14" s="48" t="s">
        <v>314</v>
      </c>
      <c r="J14" s="49" t="s">
        <v>340</v>
      </c>
      <c r="K14" s="3">
        <v>47960</v>
      </c>
      <c r="L14" s="48" t="s">
        <v>314</v>
      </c>
      <c r="M14" s="49" t="s">
        <v>340</v>
      </c>
      <c r="N14" s="3">
        <v>7896.4507450000001</v>
      </c>
      <c r="O14" s="3">
        <v>10685.43706</v>
      </c>
      <c r="P14" s="3">
        <v>6169.3648080000003</v>
      </c>
      <c r="Q14" s="3">
        <v>5605.8497500000003</v>
      </c>
      <c r="R14" s="3">
        <v>9167.3768170000003</v>
      </c>
      <c r="S14" s="3">
        <v>10325.860070000001</v>
      </c>
      <c r="T14" s="3">
        <v>5377.6369510000004</v>
      </c>
      <c r="U14" s="3">
        <v>10543.125969999999</v>
      </c>
      <c r="V14" s="3">
        <v>7768.6154420000003</v>
      </c>
      <c r="W14" s="3">
        <v>4987.0180019999998</v>
      </c>
      <c r="X14" s="3">
        <v>7786.1313899999996</v>
      </c>
      <c r="Y14" s="3">
        <v>802.40105800000003</v>
      </c>
      <c r="Z14" s="3">
        <v>2733.3466389999999</v>
      </c>
      <c r="AA14" s="48" t="s">
        <v>314</v>
      </c>
      <c r="AB14" s="49" t="s">
        <v>340</v>
      </c>
      <c r="AC14" s="3">
        <v>0.40899999999999997</v>
      </c>
      <c r="AD14" s="3">
        <v>0.46600000000000003</v>
      </c>
      <c r="AE14" s="3">
        <v>0.28899999999999998</v>
      </c>
      <c r="AF14" s="3">
        <v>0.48199999999999998</v>
      </c>
      <c r="AG14" s="3">
        <v>0.24299999999999999</v>
      </c>
      <c r="AH14" s="3">
        <v>0.6</v>
      </c>
      <c r="AI14" s="3">
        <v>0.11700000000000001</v>
      </c>
      <c r="AJ14" s="3">
        <v>0.377</v>
      </c>
      <c r="AK14" s="3">
        <v>0.33600000000000002</v>
      </c>
      <c r="AL14" s="3">
        <v>0.83099999999999996</v>
      </c>
      <c r="AM14" s="3">
        <v>0.23400000000000001</v>
      </c>
      <c r="AN14" s="3">
        <v>0.66100000000000003</v>
      </c>
      <c r="AO14" s="3">
        <v>0.11899999999999999</v>
      </c>
      <c r="AP14" s="3">
        <v>0.66100000000000003</v>
      </c>
      <c r="AQ14" s="3">
        <v>0.23</v>
      </c>
      <c r="AR14" s="3">
        <v>0.38200000000000001</v>
      </c>
      <c r="AS14" s="3">
        <v>0.28299999999999997</v>
      </c>
      <c r="AT14" s="3">
        <v>0.42599999999999999</v>
      </c>
      <c r="AU14" s="3">
        <v>0.28599999999999998</v>
      </c>
      <c r="AV14" s="3">
        <v>0.71</v>
      </c>
      <c r="AW14" s="3">
        <v>0.39600000000000002</v>
      </c>
      <c r="AX14" s="3">
        <v>0.58099999999999996</v>
      </c>
      <c r="AY14" s="3">
        <v>0.30399999999999999</v>
      </c>
      <c r="AZ14" s="3">
        <v>0.79</v>
      </c>
      <c r="BA14" s="3">
        <v>0.42799999999999999</v>
      </c>
      <c r="BB14" s="3">
        <v>0.75</v>
      </c>
      <c r="BC14" s="3">
        <v>0.90600000000000003</v>
      </c>
      <c r="BD14" s="3">
        <v>0.89900000000000002</v>
      </c>
      <c r="BE14" s="3">
        <v>0.91100000000000003</v>
      </c>
      <c r="BF14" s="3">
        <v>0.92200000000000004</v>
      </c>
      <c r="BG14" s="3">
        <v>0.89216666700000002</v>
      </c>
      <c r="BH14" s="3">
        <v>0.90900000000000003</v>
      </c>
      <c r="BI14" s="3">
        <v>0.96099999999999997</v>
      </c>
      <c r="BJ14" s="3">
        <v>0.87833333300000005</v>
      </c>
      <c r="BK14" s="3">
        <v>0.85350000000000004</v>
      </c>
      <c r="BL14" s="3">
        <v>0.90333333299999996</v>
      </c>
      <c r="BM14" s="3">
        <v>0.01</v>
      </c>
      <c r="BN14" s="3">
        <v>0.82966666700000002</v>
      </c>
      <c r="BO14" s="3">
        <v>0.79300000000000004</v>
      </c>
      <c r="BP14" s="48" t="s">
        <v>314</v>
      </c>
      <c r="BQ14" s="49" t="s">
        <v>340</v>
      </c>
      <c r="BR14" s="3">
        <v>-0.61499999999999999</v>
      </c>
      <c r="BS14" s="3">
        <v>1.6E-2</v>
      </c>
      <c r="BT14" s="3">
        <v>0.56599999999999995</v>
      </c>
      <c r="BU14" s="3">
        <v>0.40600000000000003</v>
      </c>
      <c r="BV14" s="3">
        <v>-7.0000000000000007E-2</v>
      </c>
      <c r="BW14" s="3">
        <v>2.84</v>
      </c>
      <c r="BX14" s="3">
        <v>0.48799999999999999</v>
      </c>
      <c r="BY14" s="3">
        <v>0.13500000000000001</v>
      </c>
      <c r="BZ14" s="3">
        <v>1.45</v>
      </c>
      <c r="CA14" s="3">
        <v>3.22</v>
      </c>
      <c r="CB14" s="3">
        <v>-6.3E-2</v>
      </c>
      <c r="CC14" s="3">
        <v>2.129</v>
      </c>
      <c r="CD14" s="3">
        <v>0.45400000000000001</v>
      </c>
    </row>
    <row r="15" spans="1:86" x14ac:dyDescent="0.3">
      <c r="A15" s="48" t="s">
        <v>314</v>
      </c>
      <c r="B15" s="49" t="s">
        <v>341</v>
      </c>
      <c r="C15" s="3">
        <v>45.977220000000003</v>
      </c>
      <c r="D15" s="3">
        <v>75.606983999999997</v>
      </c>
      <c r="E15" s="3">
        <v>45.219447299999999</v>
      </c>
      <c r="F15" s="3">
        <v>26.419872900000001</v>
      </c>
      <c r="G15" s="3">
        <v>26.419872900000001</v>
      </c>
      <c r="H15" s="3">
        <v>75.606983999999997</v>
      </c>
      <c r="I15" s="48" t="s">
        <v>314</v>
      </c>
      <c r="J15" s="49" t="s">
        <v>341</v>
      </c>
      <c r="K15" s="3">
        <v>48233</v>
      </c>
      <c r="L15" s="48" t="s">
        <v>314</v>
      </c>
      <c r="M15" s="49" t="s">
        <v>341</v>
      </c>
      <c r="N15" s="3">
        <v>8066.6355640000002</v>
      </c>
      <c r="O15" s="3">
        <v>10785.45397</v>
      </c>
      <c r="P15" s="3">
        <v>6222.8345559999998</v>
      </c>
      <c r="Q15" s="3">
        <v>5496.5741619999999</v>
      </c>
      <c r="R15" s="3">
        <v>9341.8327079999999</v>
      </c>
      <c r="S15" s="3">
        <v>10486.71315</v>
      </c>
      <c r="T15" s="3">
        <v>5046.5082259999999</v>
      </c>
      <c r="U15" s="3">
        <v>10323.45493</v>
      </c>
      <c r="V15" s="3">
        <v>7897.8435170000002</v>
      </c>
      <c r="W15" s="3">
        <v>5090.8353189999998</v>
      </c>
      <c r="X15" s="3">
        <v>8065.9160700000002</v>
      </c>
      <c r="Y15" s="3">
        <v>747.22467949999998</v>
      </c>
      <c r="Z15" s="3">
        <v>2332.4456909999999</v>
      </c>
      <c r="AA15" s="48" t="s">
        <v>314</v>
      </c>
      <c r="AB15" s="49" t="s">
        <v>341</v>
      </c>
      <c r="AC15" s="3">
        <v>0.29599999999999999</v>
      </c>
      <c r="AD15" s="3">
        <v>0.433</v>
      </c>
      <c r="AE15" s="3">
        <v>0.17499999999999999</v>
      </c>
      <c r="AF15" s="3">
        <v>0.48299999999999998</v>
      </c>
      <c r="AG15" s="3">
        <v>0.13300000000000001</v>
      </c>
      <c r="AH15" s="3">
        <v>0.61699999999999999</v>
      </c>
      <c r="AI15" s="3">
        <v>7.0999999999999994E-2</v>
      </c>
      <c r="AJ15" s="3">
        <v>0.35199999999999998</v>
      </c>
      <c r="AK15" s="3">
        <v>0.33500000000000002</v>
      </c>
      <c r="AL15" s="3">
        <v>0.82599999999999996</v>
      </c>
      <c r="AM15" s="3">
        <v>9.0999999999999998E-2</v>
      </c>
      <c r="AN15" s="3">
        <v>0.66900000000000004</v>
      </c>
      <c r="AO15" s="3">
        <v>9.5000000000000001E-2</v>
      </c>
      <c r="AP15" s="3">
        <v>0.66900000000000004</v>
      </c>
      <c r="AQ15" s="3">
        <v>0.34100000000000003</v>
      </c>
      <c r="AR15" s="3">
        <v>0.33800000000000002</v>
      </c>
      <c r="AS15" s="3">
        <v>0.34100000000000003</v>
      </c>
      <c r="AT15" s="3">
        <v>0.40600000000000003</v>
      </c>
      <c r="AU15" s="3">
        <v>0.34100000000000003</v>
      </c>
      <c r="AV15" s="3">
        <v>0.71499999999999997</v>
      </c>
      <c r="AW15" s="3">
        <v>0.34499999999999997</v>
      </c>
      <c r="AX15" s="3">
        <v>0.57699999999999996</v>
      </c>
      <c r="AY15" s="3">
        <v>0.17599999999999999</v>
      </c>
      <c r="AZ15" s="3">
        <v>0.78600000000000003</v>
      </c>
      <c r="BA15" s="3">
        <v>0.24399999999999999</v>
      </c>
      <c r="BB15" s="3">
        <v>0.73299999999999998</v>
      </c>
      <c r="BC15" s="3">
        <v>0.91849999999999998</v>
      </c>
      <c r="BD15" s="3">
        <v>0.92549999999999999</v>
      </c>
      <c r="BE15" s="3">
        <v>0.92749999999999999</v>
      </c>
      <c r="BF15" s="3">
        <v>0.928666667</v>
      </c>
      <c r="BG15" s="3">
        <v>0.88241666699999999</v>
      </c>
      <c r="BH15" s="3">
        <v>0.92</v>
      </c>
      <c r="BI15" s="3">
        <v>0.95550000000000002</v>
      </c>
      <c r="BJ15" s="3">
        <v>0.84633333300000002</v>
      </c>
      <c r="BK15" s="3">
        <v>0.82399999999999995</v>
      </c>
      <c r="BL15" s="3">
        <v>0.87366666699999995</v>
      </c>
      <c r="BM15" s="3">
        <v>0.01</v>
      </c>
      <c r="BN15" s="3">
        <v>0.83066666700000003</v>
      </c>
      <c r="BO15" s="3">
        <v>0.78300000000000003</v>
      </c>
      <c r="BP15" s="48" t="s">
        <v>314</v>
      </c>
      <c r="BQ15" s="49" t="s">
        <v>341</v>
      </c>
      <c r="BR15" s="3">
        <v>-0.26900000000000002</v>
      </c>
      <c r="BS15" s="3">
        <v>0.40899999999999997</v>
      </c>
      <c r="BT15" s="3">
        <v>0.77100000000000002</v>
      </c>
      <c r="BU15" s="3">
        <v>0.89800000000000002</v>
      </c>
      <c r="BV15" s="3">
        <v>0.68400000000000005</v>
      </c>
      <c r="BW15" s="3">
        <v>2.7650000000000001</v>
      </c>
      <c r="BX15" s="3">
        <v>1.1910000000000001</v>
      </c>
      <c r="BY15" s="3">
        <v>0.77800000000000002</v>
      </c>
      <c r="BZ15" s="3">
        <v>1.9750000000000001</v>
      </c>
      <c r="CA15" s="3">
        <v>3.7109999999999999</v>
      </c>
      <c r="CB15" s="3">
        <v>0.63600000000000001</v>
      </c>
      <c r="CC15" s="3">
        <v>2.8879999999999999</v>
      </c>
      <c r="CD15" s="3">
        <v>0.995</v>
      </c>
    </row>
    <row r="16" spans="1:86" x14ac:dyDescent="0.3">
      <c r="A16" s="48" t="s">
        <v>314</v>
      </c>
      <c r="B16" s="49" t="s">
        <v>342</v>
      </c>
      <c r="C16" s="3">
        <v>44.529789000000001</v>
      </c>
      <c r="D16" s="3">
        <v>81.796880099999996</v>
      </c>
      <c r="E16" s="3">
        <v>44.359502999999997</v>
      </c>
      <c r="F16" s="3">
        <v>26.4113586</v>
      </c>
      <c r="G16" s="3">
        <v>26.4113586</v>
      </c>
      <c r="H16" s="3">
        <v>81.796880099999996</v>
      </c>
      <c r="I16" s="48" t="s">
        <v>314</v>
      </c>
      <c r="J16" s="49" t="s">
        <v>342</v>
      </c>
      <c r="K16" s="3">
        <v>48128.5</v>
      </c>
      <c r="L16" s="48" t="s">
        <v>314</v>
      </c>
      <c r="M16" s="49" t="s">
        <v>342</v>
      </c>
      <c r="N16" s="3">
        <v>8579.5639809999993</v>
      </c>
      <c r="O16" s="3">
        <v>11146.45124</v>
      </c>
      <c r="P16" s="3">
        <v>6540.7788399999999</v>
      </c>
      <c r="Q16" s="3">
        <v>5537.611148</v>
      </c>
      <c r="R16" s="3">
        <v>9749.6114500000003</v>
      </c>
      <c r="S16" s="3">
        <v>11052.438969999999</v>
      </c>
      <c r="T16" s="3">
        <v>4869.8922140000004</v>
      </c>
      <c r="U16" s="3">
        <v>10839.56941</v>
      </c>
      <c r="V16" s="3">
        <v>8031.6199569999999</v>
      </c>
      <c r="W16" s="3">
        <v>5282.6211789999998</v>
      </c>
      <c r="X16" s="3">
        <v>8357.6909300000007</v>
      </c>
      <c r="Y16" s="3">
        <v>805.81723360000001</v>
      </c>
      <c r="Z16" s="3">
        <v>2106.056474</v>
      </c>
      <c r="AA16" s="48" t="s">
        <v>314</v>
      </c>
      <c r="AB16" s="49" t="s">
        <v>342</v>
      </c>
      <c r="AC16" s="3">
        <v>0.129</v>
      </c>
      <c r="AD16" s="3">
        <v>0.39400000000000002</v>
      </c>
      <c r="AE16" s="3">
        <v>6.3E-2</v>
      </c>
      <c r="AF16" s="3">
        <v>0.45500000000000002</v>
      </c>
      <c r="AG16" s="3">
        <v>5.8000000000000003E-2</v>
      </c>
      <c r="AH16" s="3">
        <v>0.60599999999999998</v>
      </c>
      <c r="AI16" s="3">
        <v>5.2999999999999999E-2</v>
      </c>
      <c r="AJ16" s="3">
        <v>0.32800000000000001</v>
      </c>
      <c r="AK16" s="3">
        <v>0.154</v>
      </c>
      <c r="AL16" s="3">
        <v>0.81899999999999995</v>
      </c>
      <c r="AM16" s="3">
        <v>5.5E-2</v>
      </c>
      <c r="AN16" s="3">
        <v>0.66900000000000004</v>
      </c>
      <c r="AO16" s="3">
        <v>0.108</v>
      </c>
      <c r="AP16" s="3">
        <v>0.66900000000000004</v>
      </c>
      <c r="AQ16" s="3">
        <v>0.23</v>
      </c>
      <c r="AR16" s="3">
        <v>0.311</v>
      </c>
      <c r="AS16" s="3">
        <v>0.159</v>
      </c>
      <c r="AT16" s="3">
        <v>0.38400000000000001</v>
      </c>
      <c r="AU16" s="3">
        <v>0.158</v>
      </c>
      <c r="AV16" s="3">
        <v>0.72399999999999998</v>
      </c>
      <c r="AW16" s="3">
        <v>0.183</v>
      </c>
      <c r="AX16" s="3">
        <v>0.54900000000000004</v>
      </c>
      <c r="AY16" s="3">
        <v>6.8000000000000005E-2</v>
      </c>
      <c r="AZ16" s="3">
        <v>0.78400000000000003</v>
      </c>
      <c r="BA16" s="3">
        <v>0.17199999999999999</v>
      </c>
      <c r="BB16" s="3">
        <v>0.70299999999999996</v>
      </c>
      <c r="BC16" s="3">
        <v>0.92400000000000004</v>
      </c>
      <c r="BD16" s="3">
        <v>0.9395</v>
      </c>
      <c r="BE16" s="3">
        <v>0.93049999999999999</v>
      </c>
      <c r="BF16" s="3">
        <v>0.92333333299999998</v>
      </c>
      <c r="BG16" s="3">
        <v>0.87683333399999996</v>
      </c>
      <c r="BH16" s="3">
        <v>0.91300000000000003</v>
      </c>
      <c r="BI16" s="3">
        <v>0.94950000000000001</v>
      </c>
      <c r="BJ16" s="3">
        <v>0.82966666700000002</v>
      </c>
      <c r="BK16" s="3">
        <v>0.77700000000000002</v>
      </c>
      <c r="BL16" s="3">
        <v>0.82599999999999996</v>
      </c>
      <c r="BM16" s="3">
        <v>0.01</v>
      </c>
      <c r="BN16" s="3">
        <v>0.83799999999999997</v>
      </c>
      <c r="BO16" s="3">
        <v>0.80500000000000005</v>
      </c>
      <c r="BP16" s="48" t="s">
        <v>314</v>
      </c>
      <c r="BQ16" s="49" t="s">
        <v>342</v>
      </c>
      <c r="BR16" s="3">
        <v>-5.2999999999999999E-2</v>
      </c>
      <c r="BS16" s="3">
        <v>0.68100000000000005</v>
      </c>
      <c r="BT16" s="3">
        <v>0.79600000000000004</v>
      </c>
      <c r="BU16" s="3">
        <v>1.036</v>
      </c>
      <c r="BV16" s="3">
        <v>1.1830000000000001</v>
      </c>
      <c r="BW16" s="3">
        <v>2.6760000000000002</v>
      </c>
      <c r="BX16" s="3">
        <v>1.4770000000000001</v>
      </c>
      <c r="BY16" s="3">
        <v>1.391</v>
      </c>
      <c r="BZ16" s="3">
        <v>2.3210000000000002</v>
      </c>
      <c r="CA16" s="3">
        <v>3.8340000000000001</v>
      </c>
      <c r="CB16" s="3">
        <v>1.131</v>
      </c>
      <c r="CC16" s="3">
        <v>3.306</v>
      </c>
      <c r="CD16" s="3">
        <v>1.347</v>
      </c>
    </row>
    <row r="17" spans="1:82" x14ac:dyDescent="0.3">
      <c r="A17" s="48" t="s">
        <v>314</v>
      </c>
      <c r="B17" s="49" t="s">
        <v>343</v>
      </c>
      <c r="C17" s="3">
        <v>43.678359</v>
      </c>
      <c r="D17" s="3">
        <v>95.896560899999997</v>
      </c>
      <c r="E17" s="3">
        <v>47.194764900000003</v>
      </c>
      <c r="F17" s="3">
        <v>26.470958700000001</v>
      </c>
      <c r="G17" s="3">
        <v>26.470958700000001</v>
      </c>
      <c r="H17" s="3">
        <v>95.896560899999997</v>
      </c>
      <c r="I17" s="48" t="s">
        <v>314</v>
      </c>
      <c r="J17" s="49" t="s">
        <v>343</v>
      </c>
      <c r="K17" s="3">
        <v>47648</v>
      </c>
      <c r="L17" s="48" t="s">
        <v>314</v>
      </c>
      <c r="M17" s="49" t="s">
        <v>343</v>
      </c>
      <c r="N17" s="3">
        <v>8569.3557650000002</v>
      </c>
      <c r="O17" s="3">
        <v>11474.765160000001</v>
      </c>
      <c r="P17" s="3">
        <v>6676.5274129999998</v>
      </c>
      <c r="Q17" s="3">
        <v>5533.7354859999996</v>
      </c>
      <c r="R17" s="3">
        <v>9759.6082330000008</v>
      </c>
      <c r="S17" s="3">
        <v>11359.044159999999</v>
      </c>
      <c r="T17" s="3">
        <v>4716.902118</v>
      </c>
      <c r="U17" s="3">
        <v>10816.85771</v>
      </c>
      <c r="V17" s="3">
        <v>8002.5752259999999</v>
      </c>
      <c r="W17" s="3">
        <v>5395.0258489999997</v>
      </c>
      <c r="X17" s="3">
        <v>8583.5669959999996</v>
      </c>
      <c r="Y17" s="3">
        <v>805.33711640000001</v>
      </c>
      <c r="Z17" s="3">
        <v>2055.4428659999999</v>
      </c>
      <c r="AA17" s="48" t="s">
        <v>314</v>
      </c>
      <c r="AB17" s="49" t="s">
        <v>343</v>
      </c>
      <c r="AC17" s="3">
        <v>4.1000000000000002E-2</v>
      </c>
      <c r="AD17" s="3">
        <v>0.36899999999999999</v>
      </c>
      <c r="AE17" s="3">
        <v>2.8000000000000001E-2</v>
      </c>
      <c r="AF17" s="3">
        <v>0.41699999999999998</v>
      </c>
      <c r="AG17" s="3">
        <v>3.3000000000000002E-2</v>
      </c>
      <c r="AH17" s="3">
        <v>0.56799999999999995</v>
      </c>
      <c r="AI17" s="3">
        <v>4.2999999999999997E-2</v>
      </c>
      <c r="AJ17" s="3">
        <v>0.309</v>
      </c>
      <c r="AK17" s="3">
        <v>5.3999999999999999E-2</v>
      </c>
      <c r="AL17" s="3">
        <v>0.82899999999999996</v>
      </c>
      <c r="AM17" s="3">
        <v>4.1000000000000002E-2</v>
      </c>
      <c r="AN17" s="3">
        <v>0.60499999999999998</v>
      </c>
      <c r="AO17" s="3">
        <v>9.8000000000000004E-2</v>
      </c>
      <c r="AP17" s="3">
        <v>0.60499999999999998</v>
      </c>
      <c r="AQ17" s="3">
        <v>8.1000000000000003E-2</v>
      </c>
      <c r="AR17" s="3">
        <v>0.28799999999999998</v>
      </c>
      <c r="AS17" s="3">
        <v>5.3999999999999999E-2</v>
      </c>
      <c r="AT17" s="3">
        <v>0.37</v>
      </c>
      <c r="AU17" s="3">
        <v>5.3999999999999999E-2</v>
      </c>
      <c r="AV17" s="3">
        <v>0.70199999999999996</v>
      </c>
      <c r="AW17" s="3">
        <v>9.0999999999999998E-2</v>
      </c>
      <c r="AX17" s="3">
        <v>0.53300000000000003</v>
      </c>
      <c r="AY17" s="3">
        <v>4.3999999999999997E-2</v>
      </c>
      <c r="AZ17" s="3">
        <v>0.78600000000000003</v>
      </c>
      <c r="BA17" s="3">
        <v>8.7999999999999995E-2</v>
      </c>
      <c r="BB17" s="3">
        <v>0.65800000000000003</v>
      </c>
      <c r="BC17" s="3">
        <v>0.92149999999999999</v>
      </c>
      <c r="BD17" s="3">
        <v>0.9405</v>
      </c>
      <c r="BE17" s="3">
        <v>0.92349999999999999</v>
      </c>
      <c r="BF17" s="3">
        <v>0.90766666699999998</v>
      </c>
      <c r="BG17" s="3">
        <v>0.87675000000000003</v>
      </c>
      <c r="BH17" s="3">
        <v>0.89800000000000002</v>
      </c>
      <c r="BI17" s="3">
        <v>0.95099999999999996</v>
      </c>
      <c r="BJ17" s="3">
        <v>0.83199999999999996</v>
      </c>
      <c r="BK17" s="3">
        <v>0.74950000000000006</v>
      </c>
      <c r="BL17" s="3">
        <v>0.80700000000000005</v>
      </c>
      <c r="BM17" s="3">
        <v>0.01</v>
      </c>
      <c r="BN17" s="3">
        <v>0.83966666700000003</v>
      </c>
      <c r="BO17" s="3">
        <v>0.81799999999999995</v>
      </c>
      <c r="BP17" s="48" t="s">
        <v>314</v>
      </c>
      <c r="BQ17" s="49" t="s">
        <v>343</v>
      </c>
      <c r="BR17" s="3">
        <v>-0.157</v>
      </c>
      <c r="BS17" s="3">
        <v>0.49099999999999999</v>
      </c>
      <c r="BT17" s="3">
        <v>0.61299999999999999</v>
      </c>
      <c r="BU17" s="3">
        <v>0.70399999999999996</v>
      </c>
      <c r="BV17" s="3">
        <v>1.1679999999999999</v>
      </c>
      <c r="BW17" s="3">
        <v>2.7069999999999999</v>
      </c>
      <c r="BX17" s="3">
        <v>1.2010000000000001</v>
      </c>
      <c r="BY17" s="3">
        <v>1.7709999999999999</v>
      </c>
      <c r="BZ17" s="3">
        <v>2.4159999999999999</v>
      </c>
      <c r="CA17" s="3">
        <v>3.6579999999999999</v>
      </c>
      <c r="CB17" s="3">
        <v>1.1839999999999999</v>
      </c>
      <c r="CC17" s="3">
        <v>3.21</v>
      </c>
      <c r="CD17" s="3">
        <v>1.3979999999999999</v>
      </c>
    </row>
    <row r="18" spans="1:82" x14ac:dyDescent="0.3">
      <c r="A18" s="48" t="s">
        <v>314</v>
      </c>
      <c r="B18" s="49" t="s">
        <v>344</v>
      </c>
      <c r="C18" s="3">
        <v>45.951677099999998</v>
      </c>
      <c r="D18" s="3">
        <v>104.72589000000001</v>
      </c>
      <c r="E18" s="3">
        <v>49.638368999999997</v>
      </c>
      <c r="F18" s="3">
        <v>26.6327304</v>
      </c>
      <c r="G18" s="3">
        <v>26.6327304</v>
      </c>
      <c r="H18" s="3">
        <v>94.2873582</v>
      </c>
      <c r="I18" s="48" t="s">
        <v>314</v>
      </c>
      <c r="J18" s="49" t="s">
        <v>344</v>
      </c>
      <c r="K18" s="3">
        <v>47762</v>
      </c>
      <c r="L18" s="48" t="s">
        <v>314</v>
      </c>
      <c r="M18" s="49" t="s">
        <v>344</v>
      </c>
      <c r="N18" s="3">
        <v>8619.1945510000005</v>
      </c>
      <c r="O18" s="3">
        <v>11872.35079</v>
      </c>
      <c r="P18" s="3">
        <v>6854.6047360000002</v>
      </c>
      <c r="Q18" s="3">
        <v>5927.046147</v>
      </c>
      <c r="R18" s="3">
        <v>9736.9581209999997</v>
      </c>
      <c r="S18" s="3">
        <v>11897.729660000001</v>
      </c>
      <c r="T18" s="3">
        <v>4924.8396279999997</v>
      </c>
      <c r="U18" s="3">
        <v>10729.14062</v>
      </c>
      <c r="V18" s="3">
        <v>8072.1822519999996</v>
      </c>
      <c r="W18" s="3">
        <v>5486.9386009999998</v>
      </c>
      <c r="X18" s="3">
        <v>8884.6953599999997</v>
      </c>
      <c r="Y18" s="3">
        <v>819.45794420000004</v>
      </c>
      <c r="Z18" s="3">
        <v>2277.787433</v>
      </c>
      <c r="AA18" s="48" t="s">
        <v>314</v>
      </c>
      <c r="AB18" s="49" t="s">
        <v>344</v>
      </c>
      <c r="AC18" s="3">
        <v>8.0000000000000002E-3</v>
      </c>
      <c r="AD18" s="3">
        <v>0.309</v>
      </c>
      <c r="AE18" s="3">
        <v>8.0000000000000002E-3</v>
      </c>
      <c r="AF18" s="3">
        <v>0.374</v>
      </c>
      <c r="AG18" s="3">
        <v>1.2999999999999999E-2</v>
      </c>
      <c r="AH18" s="3">
        <v>0.53300000000000003</v>
      </c>
      <c r="AI18" s="3">
        <v>2.9000000000000001E-2</v>
      </c>
      <c r="AJ18" s="3">
        <v>0.28100000000000003</v>
      </c>
      <c r="AK18" s="3">
        <v>1.2999999999999999E-2</v>
      </c>
      <c r="AL18" s="3">
        <v>0.83899999999999997</v>
      </c>
      <c r="AM18" s="3">
        <v>1.4999999999999999E-2</v>
      </c>
      <c r="AN18" s="3">
        <v>0.58199999999999996</v>
      </c>
      <c r="AO18" s="3">
        <v>2.1000000000000001E-2</v>
      </c>
      <c r="AP18" s="3">
        <v>0.58199999999999996</v>
      </c>
      <c r="AQ18" s="3">
        <v>1.6E-2</v>
      </c>
      <c r="AR18" s="3">
        <v>0.30599999999999999</v>
      </c>
      <c r="AS18" s="3">
        <v>0.02</v>
      </c>
      <c r="AT18" s="3">
        <v>0.38100000000000001</v>
      </c>
      <c r="AU18" s="3">
        <v>0.02</v>
      </c>
      <c r="AV18" s="3">
        <v>0.625</v>
      </c>
      <c r="AW18" s="3">
        <v>3.2000000000000001E-2</v>
      </c>
      <c r="AX18" s="3">
        <v>0.499</v>
      </c>
      <c r="AY18" s="3">
        <v>1.7000000000000001E-2</v>
      </c>
      <c r="AZ18" s="3">
        <v>0.77100000000000002</v>
      </c>
      <c r="BA18" s="3">
        <v>4.1000000000000002E-2</v>
      </c>
      <c r="BB18" s="3">
        <v>0.621</v>
      </c>
      <c r="BC18" s="3">
        <v>0.91600000000000004</v>
      </c>
      <c r="BD18" s="3">
        <v>0.93149999999999999</v>
      </c>
      <c r="BE18" s="3">
        <v>0.90649999999999997</v>
      </c>
      <c r="BF18" s="3">
        <v>0.89800000000000002</v>
      </c>
      <c r="BG18" s="3">
        <v>0.87533333400000002</v>
      </c>
      <c r="BH18" s="3">
        <v>0.88400000000000001</v>
      </c>
      <c r="BI18" s="3">
        <v>0.93</v>
      </c>
      <c r="BJ18" s="3">
        <v>0.83466666700000003</v>
      </c>
      <c r="BK18" s="3">
        <v>0.76049999999999995</v>
      </c>
      <c r="BL18" s="3">
        <v>0.81866666700000001</v>
      </c>
      <c r="BM18" s="3">
        <v>0.01</v>
      </c>
      <c r="BN18" s="3">
        <v>0.83133333300000001</v>
      </c>
      <c r="BO18" s="3">
        <v>0.81200000000000006</v>
      </c>
      <c r="BP18" s="48" t="s">
        <v>314</v>
      </c>
      <c r="BQ18" s="49" t="s">
        <v>344</v>
      </c>
      <c r="BR18" s="3">
        <v>-0.80500000000000005</v>
      </c>
      <c r="BS18" s="3">
        <v>-0.36699999999999999</v>
      </c>
      <c r="BT18" s="3">
        <v>-8.4000000000000005E-2</v>
      </c>
      <c r="BU18" s="3">
        <v>-0.20799999999999999</v>
      </c>
      <c r="BV18" s="3">
        <v>0.01</v>
      </c>
      <c r="BW18" s="3">
        <v>2.7629999999999999</v>
      </c>
      <c r="BX18" s="3">
        <v>7.9000000000000001E-2</v>
      </c>
      <c r="BY18" s="3">
        <v>1.494</v>
      </c>
      <c r="BZ18" s="3">
        <v>1.7470000000000001</v>
      </c>
      <c r="CA18" s="3">
        <v>2.9769999999999999</v>
      </c>
      <c r="CB18" s="3">
        <v>0.68100000000000005</v>
      </c>
      <c r="CC18" s="3">
        <v>2.5939999999999999</v>
      </c>
      <c r="CD18" s="3">
        <v>0.83299999999999996</v>
      </c>
    </row>
    <row r="19" spans="1:82" x14ac:dyDescent="0.3">
      <c r="A19" s="48" t="s">
        <v>314</v>
      </c>
      <c r="B19" s="49" t="s">
        <v>345</v>
      </c>
      <c r="C19" s="3">
        <v>52.1586018</v>
      </c>
      <c r="D19" s="3">
        <v>114.347049</v>
      </c>
      <c r="E19" s="3">
        <v>60.809130600000003</v>
      </c>
      <c r="F19" s="3">
        <v>26.922216599999999</v>
      </c>
      <c r="G19" s="3">
        <v>26.922216599999999</v>
      </c>
      <c r="H19" s="3">
        <v>149.00024999999999</v>
      </c>
      <c r="I19" s="48" t="s">
        <v>314</v>
      </c>
      <c r="J19" s="49" t="s">
        <v>345</v>
      </c>
      <c r="K19" s="3">
        <v>49187</v>
      </c>
      <c r="L19" s="48" t="s">
        <v>314</v>
      </c>
      <c r="M19" s="49" t="s">
        <v>345</v>
      </c>
      <c r="N19" s="3">
        <v>10351.51953</v>
      </c>
      <c r="O19" s="3">
        <v>13831.559450000001</v>
      </c>
      <c r="P19" s="3">
        <v>8289.8556649999991</v>
      </c>
      <c r="Q19" s="3">
        <v>7039.8388169999998</v>
      </c>
      <c r="R19" s="3">
        <v>11564.97781</v>
      </c>
      <c r="S19" s="3">
        <v>14349.830980000001</v>
      </c>
      <c r="T19" s="3">
        <v>6790.2947709999999</v>
      </c>
      <c r="U19" s="3">
        <v>13031.256240000001</v>
      </c>
      <c r="V19" s="3">
        <v>9320.1537690000005</v>
      </c>
      <c r="W19" s="3">
        <v>6529.7363150000001</v>
      </c>
      <c r="X19" s="3">
        <v>10894.61031</v>
      </c>
      <c r="Y19" s="3">
        <v>1101.3883310000001</v>
      </c>
      <c r="Z19" s="3">
        <v>2449.4852310000001</v>
      </c>
      <c r="AA19" s="48" t="s">
        <v>314</v>
      </c>
      <c r="AB19" s="49" t="s">
        <v>345</v>
      </c>
      <c r="AC19" s="3">
        <v>0</v>
      </c>
      <c r="AD19" s="3">
        <v>0.315</v>
      </c>
      <c r="AE19" s="3">
        <v>0</v>
      </c>
      <c r="AF19" s="3">
        <v>0.36299999999999999</v>
      </c>
      <c r="AG19" s="3">
        <v>0</v>
      </c>
      <c r="AH19" s="3">
        <v>0.53300000000000003</v>
      </c>
      <c r="AI19" s="3">
        <v>0</v>
      </c>
      <c r="AJ19" s="3">
        <v>0.373</v>
      </c>
      <c r="AK19" s="3">
        <v>0</v>
      </c>
      <c r="AL19" s="3">
        <v>0.83399999999999996</v>
      </c>
      <c r="AM19" s="3">
        <v>0</v>
      </c>
      <c r="AN19" s="3">
        <v>0.628</v>
      </c>
      <c r="AO19" s="3">
        <v>0</v>
      </c>
      <c r="AP19" s="3">
        <v>0.628</v>
      </c>
      <c r="AQ19" s="3">
        <v>0</v>
      </c>
      <c r="AR19" s="3">
        <v>0.41599999999999998</v>
      </c>
      <c r="AS19" s="3">
        <v>0</v>
      </c>
      <c r="AT19" s="3">
        <v>0.49199999999999999</v>
      </c>
      <c r="AU19" s="3">
        <v>0</v>
      </c>
      <c r="AV19" s="3">
        <v>0.625</v>
      </c>
      <c r="AW19" s="3">
        <v>1E-3</v>
      </c>
      <c r="AX19" s="3">
        <v>0.49399999999999999</v>
      </c>
      <c r="AY19" s="3">
        <v>0</v>
      </c>
      <c r="AZ19" s="3">
        <v>0.76500000000000001</v>
      </c>
      <c r="BA19" s="3">
        <v>1E-3</v>
      </c>
      <c r="BB19" s="3">
        <v>0.66200000000000003</v>
      </c>
      <c r="BC19" s="3">
        <v>0.90700000000000003</v>
      </c>
      <c r="BD19" s="3">
        <v>0.91800000000000004</v>
      </c>
      <c r="BE19" s="3">
        <v>0.88649999999999995</v>
      </c>
      <c r="BF19" s="3">
        <v>0.87033333300000004</v>
      </c>
      <c r="BG19" s="3">
        <v>0.87966666699999996</v>
      </c>
      <c r="BH19" s="3">
        <v>0.86299999999999999</v>
      </c>
      <c r="BI19" s="3">
        <v>0.92249999999999999</v>
      </c>
      <c r="BJ19" s="3">
        <v>0.85233333300000003</v>
      </c>
      <c r="BK19" s="3">
        <v>0.77700000000000002</v>
      </c>
      <c r="BL19" s="3">
        <v>0.825333333</v>
      </c>
      <c r="BM19" s="3">
        <v>0.01</v>
      </c>
      <c r="BN19" s="3">
        <v>0.82799999999999996</v>
      </c>
      <c r="BO19" s="3">
        <v>0.78600000000000003</v>
      </c>
      <c r="BP19" s="48" t="s">
        <v>314</v>
      </c>
      <c r="BQ19" s="49" t="s">
        <v>345</v>
      </c>
      <c r="BR19" s="3">
        <v>-2.5859999999999999</v>
      </c>
      <c r="BS19" s="3">
        <v>-1.909</v>
      </c>
      <c r="BT19" s="3">
        <v>-1.0469999999999999</v>
      </c>
      <c r="BU19" s="3">
        <v>-1.37</v>
      </c>
      <c r="BV19" s="3">
        <v>-2.242</v>
      </c>
      <c r="BW19" s="3">
        <v>2.863</v>
      </c>
      <c r="BX19" s="3">
        <v>-1.474</v>
      </c>
      <c r="BY19" s="3">
        <v>0.89900000000000002</v>
      </c>
      <c r="BZ19" s="3">
        <v>0.438</v>
      </c>
      <c r="CA19" s="3">
        <v>1.5940000000000001</v>
      </c>
      <c r="CB19" s="3">
        <v>-0.66600000000000004</v>
      </c>
      <c r="CC19" s="3">
        <v>1.5409999999999999</v>
      </c>
      <c r="CD19" s="3">
        <v>-6.9000000000000006E-2</v>
      </c>
    </row>
    <row r="20" spans="1:82" x14ac:dyDescent="0.3">
      <c r="A20" s="48" t="s">
        <v>314</v>
      </c>
      <c r="B20" s="49" t="s">
        <v>346</v>
      </c>
      <c r="C20" s="3">
        <v>54.329748299999999</v>
      </c>
      <c r="D20" s="3">
        <v>118.34877</v>
      </c>
      <c r="E20" s="3">
        <v>51.000656999999997</v>
      </c>
      <c r="F20" s="3">
        <v>26.7263877</v>
      </c>
      <c r="G20" s="3">
        <v>26.7263877</v>
      </c>
      <c r="H20" s="3">
        <v>118.34877</v>
      </c>
      <c r="I20" s="48" t="s">
        <v>314</v>
      </c>
      <c r="J20" s="49" t="s">
        <v>346</v>
      </c>
      <c r="K20" s="3">
        <v>51643.5</v>
      </c>
      <c r="L20" s="48" t="s">
        <v>314</v>
      </c>
      <c r="M20" s="49" t="s">
        <v>346</v>
      </c>
      <c r="N20" s="3">
        <v>12405.349050000001</v>
      </c>
      <c r="O20" s="3">
        <v>16409.020629999999</v>
      </c>
      <c r="P20" s="3">
        <v>9771.1220379999995</v>
      </c>
      <c r="Q20" s="3">
        <v>8355.5799449999995</v>
      </c>
      <c r="R20" s="3">
        <v>13588.228810000001</v>
      </c>
      <c r="S20" s="3">
        <v>17376.804929999998</v>
      </c>
      <c r="T20" s="3">
        <v>9522.1047170000002</v>
      </c>
      <c r="U20" s="3">
        <v>15624.713610000001</v>
      </c>
      <c r="V20" s="3">
        <v>11967.469090000001</v>
      </c>
      <c r="W20" s="3">
        <v>8835.3209330000009</v>
      </c>
      <c r="X20" s="3">
        <v>12647.963159999999</v>
      </c>
      <c r="Y20" s="3">
        <v>1442.0270049999999</v>
      </c>
      <c r="Z20" s="3">
        <v>3278.5707830000001</v>
      </c>
      <c r="AA20" s="48" t="s">
        <v>314</v>
      </c>
      <c r="AB20" s="49" t="s">
        <v>346</v>
      </c>
      <c r="AC20" s="3">
        <v>0</v>
      </c>
      <c r="AD20" s="3">
        <v>0.37</v>
      </c>
      <c r="AE20" s="3">
        <v>0</v>
      </c>
      <c r="AF20" s="3">
        <v>0.39300000000000002</v>
      </c>
      <c r="AG20" s="3">
        <v>0</v>
      </c>
      <c r="AH20" s="3">
        <v>0.497</v>
      </c>
      <c r="AI20" s="3">
        <v>0</v>
      </c>
      <c r="AJ20" s="3">
        <v>0.45400000000000001</v>
      </c>
      <c r="AK20" s="3">
        <v>0</v>
      </c>
      <c r="AL20" s="3">
        <v>0.81100000000000005</v>
      </c>
      <c r="AM20" s="3">
        <v>0</v>
      </c>
      <c r="AN20" s="3">
        <v>0.63</v>
      </c>
      <c r="AO20" s="3">
        <v>0</v>
      </c>
      <c r="AP20" s="3">
        <v>0.63</v>
      </c>
      <c r="AQ20" s="3">
        <v>0</v>
      </c>
      <c r="AR20" s="3">
        <v>0.53500000000000003</v>
      </c>
      <c r="AS20" s="3">
        <v>0</v>
      </c>
      <c r="AT20" s="3">
        <v>0.58899999999999997</v>
      </c>
      <c r="AU20" s="3">
        <v>0</v>
      </c>
      <c r="AV20" s="3">
        <v>0.66900000000000004</v>
      </c>
      <c r="AW20" s="3">
        <v>0</v>
      </c>
      <c r="AX20" s="3">
        <v>0.47699999999999998</v>
      </c>
      <c r="AY20" s="3">
        <v>0</v>
      </c>
      <c r="AZ20" s="3">
        <v>0.75600000000000001</v>
      </c>
      <c r="BA20" s="3">
        <v>0</v>
      </c>
      <c r="BB20" s="3">
        <v>0.68899999999999995</v>
      </c>
      <c r="BC20" s="3">
        <v>0.88949999999999996</v>
      </c>
      <c r="BD20" s="3">
        <v>0.88249999999999995</v>
      </c>
      <c r="BE20" s="3">
        <v>0.83599999999999997</v>
      </c>
      <c r="BF20" s="3">
        <v>0.81433333299999999</v>
      </c>
      <c r="BG20" s="3">
        <v>0.87541666699999998</v>
      </c>
      <c r="BH20" s="3">
        <v>0.82</v>
      </c>
      <c r="BI20" s="3">
        <v>0.90649999999999997</v>
      </c>
      <c r="BJ20" s="3">
        <v>0.86133333300000003</v>
      </c>
      <c r="BK20" s="3">
        <v>0.77449999999999997</v>
      </c>
      <c r="BL20" s="3">
        <v>0.823333333</v>
      </c>
      <c r="BM20" s="3">
        <v>0.01</v>
      </c>
      <c r="BN20" s="3">
        <v>0.82066666700000002</v>
      </c>
      <c r="BO20" s="3">
        <v>0.79</v>
      </c>
      <c r="BP20" s="48" t="s">
        <v>314</v>
      </c>
      <c r="BQ20" s="49" t="s">
        <v>346</v>
      </c>
      <c r="BR20" s="3">
        <v>-2.7610000000000001</v>
      </c>
      <c r="BS20" s="3">
        <v>-2.42</v>
      </c>
      <c r="BT20" s="3">
        <v>-1.4690000000000001</v>
      </c>
      <c r="BU20" s="3">
        <v>-1.8160000000000001</v>
      </c>
      <c r="BV20" s="3">
        <v>-2.2469999999999999</v>
      </c>
      <c r="BW20" s="3">
        <v>2.9910000000000001</v>
      </c>
      <c r="BX20" s="3">
        <v>-2.0419999999999998</v>
      </c>
      <c r="BY20" s="3">
        <v>1.175</v>
      </c>
      <c r="BZ20" s="3">
        <v>0.79700000000000004</v>
      </c>
      <c r="CA20" s="3">
        <v>1.2609999999999999</v>
      </c>
      <c r="CB20" s="3">
        <v>-1.9670000000000001</v>
      </c>
      <c r="CC20" s="3">
        <v>0.88400000000000001</v>
      </c>
      <c r="CD20" s="3">
        <v>-0.66800000000000004</v>
      </c>
    </row>
    <row r="21" spans="1:82" x14ac:dyDescent="0.3">
      <c r="A21" s="48" t="s">
        <v>314</v>
      </c>
      <c r="B21" s="49" t="s">
        <v>347</v>
      </c>
      <c r="C21" s="3">
        <v>53.291003699999997</v>
      </c>
      <c r="D21" s="3">
        <v>103.278459</v>
      </c>
      <c r="E21" s="3">
        <v>38.229207000000002</v>
      </c>
      <c r="F21" s="3">
        <v>26.402844300000002</v>
      </c>
      <c r="G21" s="3">
        <v>26.402844300000002</v>
      </c>
      <c r="H21" s="3">
        <v>103.278459</v>
      </c>
      <c r="I21" s="48" t="s">
        <v>314</v>
      </c>
      <c r="J21" s="49" t="s">
        <v>347</v>
      </c>
      <c r="K21" s="3">
        <v>51329</v>
      </c>
      <c r="L21" s="48" t="s">
        <v>314</v>
      </c>
      <c r="M21" s="49" t="s">
        <v>347</v>
      </c>
      <c r="N21" s="3">
        <v>13588.30377</v>
      </c>
      <c r="O21" s="3">
        <v>17240.260630000001</v>
      </c>
      <c r="P21" s="3">
        <v>10374.84605</v>
      </c>
      <c r="Q21" s="3">
        <v>8804.6675950000008</v>
      </c>
      <c r="R21" s="3">
        <v>15017.00539</v>
      </c>
      <c r="S21" s="3">
        <v>18677.45016</v>
      </c>
      <c r="T21" s="3">
        <v>10858.477129999999</v>
      </c>
      <c r="U21" s="3">
        <v>17644.71125</v>
      </c>
      <c r="V21" s="3">
        <v>13214.952939999999</v>
      </c>
      <c r="W21" s="3">
        <v>10067.588250000001</v>
      </c>
      <c r="X21" s="3">
        <v>13644.36047</v>
      </c>
      <c r="Y21" s="3">
        <v>1660.38066</v>
      </c>
      <c r="Z21" s="3">
        <v>4293.9462249999997</v>
      </c>
      <c r="AA21" s="48" t="s">
        <v>314</v>
      </c>
      <c r="AB21" s="49" t="s">
        <v>347</v>
      </c>
      <c r="AC21" s="3">
        <v>0</v>
      </c>
      <c r="AD21" s="3">
        <v>0.40600000000000003</v>
      </c>
      <c r="AE21" s="3">
        <v>0</v>
      </c>
      <c r="AF21" s="3">
        <v>0.37</v>
      </c>
      <c r="AG21" s="3">
        <v>0</v>
      </c>
      <c r="AH21" s="3">
        <v>0.496</v>
      </c>
      <c r="AI21" s="3">
        <v>0</v>
      </c>
      <c r="AJ21" s="3">
        <v>0.47299999999999998</v>
      </c>
      <c r="AK21" s="3">
        <v>0</v>
      </c>
      <c r="AL21" s="3">
        <v>0.77200000000000002</v>
      </c>
      <c r="AM21" s="3">
        <v>0</v>
      </c>
      <c r="AN21" s="3">
        <v>0.60399999999999998</v>
      </c>
      <c r="AO21" s="3">
        <v>0</v>
      </c>
      <c r="AP21" s="3">
        <v>0.60399999999999998</v>
      </c>
      <c r="AQ21" s="3">
        <v>0</v>
      </c>
      <c r="AR21" s="3">
        <v>0.59699999999999998</v>
      </c>
      <c r="AS21" s="3">
        <v>0</v>
      </c>
      <c r="AT21" s="3">
        <v>0.63500000000000001</v>
      </c>
      <c r="AU21" s="3">
        <v>0</v>
      </c>
      <c r="AV21" s="3">
        <v>0.69199999999999995</v>
      </c>
      <c r="AW21" s="3">
        <v>0</v>
      </c>
      <c r="AX21" s="3">
        <v>0.439</v>
      </c>
      <c r="AY21" s="3">
        <v>0</v>
      </c>
      <c r="AZ21" s="3">
        <v>0.73899999999999999</v>
      </c>
      <c r="BA21" s="3">
        <v>0</v>
      </c>
      <c r="BB21" s="3">
        <v>0.71199999999999997</v>
      </c>
      <c r="BC21" s="3">
        <v>0.85450000000000004</v>
      </c>
      <c r="BD21" s="3">
        <v>0.81699999999999995</v>
      </c>
      <c r="BE21" s="3">
        <v>0.81100000000000005</v>
      </c>
      <c r="BF21" s="3">
        <v>0.79900000000000004</v>
      </c>
      <c r="BG21" s="3">
        <v>0.85824999999999996</v>
      </c>
      <c r="BH21" s="3">
        <v>0.80100000000000005</v>
      </c>
      <c r="BI21" s="3">
        <v>0.879</v>
      </c>
      <c r="BJ21" s="3">
        <v>0.86199999999999999</v>
      </c>
      <c r="BK21" s="3">
        <v>0.77900000000000003</v>
      </c>
      <c r="BL21" s="3">
        <v>0.83633333300000001</v>
      </c>
      <c r="BM21" s="3">
        <v>0.01</v>
      </c>
      <c r="BN21" s="3">
        <v>0.806666667</v>
      </c>
      <c r="BO21" s="3">
        <v>0.8</v>
      </c>
      <c r="BP21" s="48" t="s">
        <v>314</v>
      </c>
      <c r="BQ21" s="49" t="s">
        <v>347</v>
      </c>
      <c r="BR21" s="3">
        <v>-2.6419999999999999</v>
      </c>
      <c r="BS21" s="3">
        <v>-2.5619999999999998</v>
      </c>
      <c r="BT21" s="3">
        <v>-2.0110000000000001</v>
      </c>
      <c r="BU21" s="3">
        <v>-2.0190000000000001</v>
      </c>
      <c r="BV21" s="3">
        <v>-2.0630000000000002</v>
      </c>
      <c r="BW21" s="3">
        <v>3.165</v>
      </c>
      <c r="BX21" s="3">
        <v>-2.4340000000000002</v>
      </c>
      <c r="BY21" s="3">
        <v>1.3939999999999999</v>
      </c>
      <c r="BZ21" s="3">
        <v>1.268</v>
      </c>
      <c r="CA21" s="3">
        <v>1.331</v>
      </c>
      <c r="CB21" s="3">
        <v>-2.39</v>
      </c>
      <c r="CC21" s="3">
        <v>0.55900000000000005</v>
      </c>
      <c r="CD21" s="3">
        <v>-1.0509999999999999</v>
      </c>
    </row>
    <row r="22" spans="1:82" x14ac:dyDescent="0.3">
      <c r="A22" s="48" t="s">
        <v>314</v>
      </c>
      <c r="B22" s="49" t="s">
        <v>348</v>
      </c>
      <c r="C22" s="3">
        <v>53.291003699999997</v>
      </c>
      <c r="D22" s="3">
        <v>84.376712999999995</v>
      </c>
      <c r="E22" s="3">
        <v>39.055094099999998</v>
      </c>
      <c r="F22" s="3">
        <v>25.5088428</v>
      </c>
      <c r="G22" s="3">
        <v>25.5088428</v>
      </c>
      <c r="H22" s="3">
        <v>84.376712999999995</v>
      </c>
      <c r="I22" s="48" t="s">
        <v>314</v>
      </c>
      <c r="J22" s="49" t="s">
        <v>348</v>
      </c>
      <c r="K22" s="3">
        <v>50343</v>
      </c>
      <c r="L22" s="48" t="s">
        <v>314</v>
      </c>
      <c r="M22" s="49" t="s">
        <v>348</v>
      </c>
      <c r="N22" s="3">
        <v>14126.31415</v>
      </c>
      <c r="O22" s="3">
        <v>17741.613130000002</v>
      </c>
      <c r="P22" s="3">
        <v>10598.461209999999</v>
      </c>
      <c r="Q22" s="3">
        <v>8859.5758330000008</v>
      </c>
      <c r="R22" s="3">
        <v>16455.427390000001</v>
      </c>
      <c r="S22" s="3">
        <v>19500.359339999999</v>
      </c>
      <c r="T22" s="3">
        <v>11240.59086</v>
      </c>
      <c r="U22" s="3">
        <v>18939.812399999999</v>
      </c>
      <c r="V22" s="3">
        <v>13203.751899999999</v>
      </c>
      <c r="W22" s="3">
        <v>10518.735549999999</v>
      </c>
      <c r="X22" s="3">
        <v>14284.45205</v>
      </c>
      <c r="Y22" s="3">
        <v>1735.9982480000001</v>
      </c>
      <c r="Z22" s="3">
        <v>4860.707144</v>
      </c>
      <c r="AA22" s="48" t="s">
        <v>314</v>
      </c>
      <c r="AB22" s="49" t="s">
        <v>348</v>
      </c>
      <c r="AC22" s="3">
        <v>0</v>
      </c>
      <c r="AD22" s="3">
        <v>0.42899999999999999</v>
      </c>
      <c r="AE22" s="3">
        <v>0</v>
      </c>
      <c r="AF22" s="3">
        <v>0.35699999999999998</v>
      </c>
      <c r="AG22" s="3">
        <v>0</v>
      </c>
      <c r="AH22" s="3">
        <v>0.49</v>
      </c>
      <c r="AI22" s="3">
        <v>0</v>
      </c>
      <c r="AJ22" s="3">
        <v>0.47099999999999997</v>
      </c>
      <c r="AK22" s="3">
        <v>0</v>
      </c>
      <c r="AL22" s="3">
        <v>0.71799999999999997</v>
      </c>
      <c r="AM22" s="3">
        <v>0</v>
      </c>
      <c r="AN22" s="3">
        <v>0.60399999999999998</v>
      </c>
      <c r="AO22" s="3">
        <v>0</v>
      </c>
      <c r="AP22" s="3">
        <v>0.60399999999999998</v>
      </c>
      <c r="AQ22" s="3">
        <v>0</v>
      </c>
      <c r="AR22" s="3">
        <v>0.60599999999999998</v>
      </c>
      <c r="AS22" s="3">
        <v>0</v>
      </c>
      <c r="AT22" s="3">
        <v>0.64400000000000002</v>
      </c>
      <c r="AU22" s="3">
        <v>0</v>
      </c>
      <c r="AV22" s="3">
        <v>0.71399999999999997</v>
      </c>
      <c r="AW22" s="3">
        <v>0</v>
      </c>
      <c r="AX22" s="3">
        <v>0.39600000000000002</v>
      </c>
      <c r="AY22" s="3">
        <v>0</v>
      </c>
      <c r="AZ22" s="3">
        <v>0.71099999999999997</v>
      </c>
      <c r="BA22" s="3">
        <v>0</v>
      </c>
      <c r="BB22" s="3">
        <v>0.7</v>
      </c>
      <c r="BC22" s="3">
        <v>0.81850000000000001</v>
      </c>
      <c r="BD22" s="3">
        <v>0.78249999999999997</v>
      </c>
      <c r="BE22" s="3">
        <v>0.79249999999999998</v>
      </c>
      <c r="BF22" s="3">
        <v>0.79</v>
      </c>
      <c r="BG22" s="3">
        <v>0.82908333400000001</v>
      </c>
      <c r="BH22" s="3">
        <v>0.77700000000000002</v>
      </c>
      <c r="BI22" s="3">
        <v>0.86550000000000005</v>
      </c>
      <c r="BJ22" s="3">
        <v>0.83966666700000003</v>
      </c>
      <c r="BK22" s="3">
        <v>0.76049999999999995</v>
      </c>
      <c r="BL22" s="3">
        <v>0.84299999999999997</v>
      </c>
      <c r="BM22" s="3">
        <v>0.01</v>
      </c>
      <c r="BN22" s="3">
        <v>0.78566666699999999</v>
      </c>
      <c r="BO22" s="3">
        <v>0.80100000000000005</v>
      </c>
      <c r="BP22" s="48" t="s">
        <v>314</v>
      </c>
      <c r="BQ22" s="49" t="s">
        <v>348</v>
      </c>
      <c r="BR22" s="3">
        <v>-2.4239999999999999</v>
      </c>
      <c r="BS22" s="3">
        <v>-2.7709999999999999</v>
      </c>
      <c r="BT22" s="3">
        <v>-2.1539999999999999</v>
      </c>
      <c r="BU22" s="3">
        <v>-2.1190000000000002</v>
      </c>
      <c r="BV22" s="3">
        <v>-1.8220000000000001</v>
      </c>
      <c r="BW22" s="3">
        <v>3.367</v>
      </c>
      <c r="BX22" s="3">
        <v>-2.6280000000000001</v>
      </c>
      <c r="BY22" s="3">
        <v>1.409</v>
      </c>
      <c r="BZ22" s="3">
        <v>1.4510000000000001</v>
      </c>
      <c r="CA22" s="3">
        <v>1.4650000000000001</v>
      </c>
      <c r="CB22" s="3">
        <v>-2.6589999999999998</v>
      </c>
      <c r="CC22" s="3">
        <v>0.30199999999999999</v>
      </c>
      <c r="CD22" s="3">
        <v>-1.363</v>
      </c>
    </row>
    <row r="23" spans="1:82" x14ac:dyDescent="0.3">
      <c r="A23" s="48" t="s">
        <v>314</v>
      </c>
      <c r="B23" s="49" t="s">
        <v>349</v>
      </c>
      <c r="C23" s="3">
        <v>48.6932817</v>
      </c>
      <c r="D23" s="3">
        <v>76.798985999999999</v>
      </c>
      <c r="E23" s="3">
        <v>38.331378600000001</v>
      </c>
      <c r="F23" s="3">
        <v>25.3811283</v>
      </c>
      <c r="G23" s="3">
        <v>25.3811283</v>
      </c>
      <c r="H23" s="3">
        <v>72.2268069</v>
      </c>
      <c r="I23" s="48" t="s">
        <v>314</v>
      </c>
      <c r="J23" s="49" t="s">
        <v>349</v>
      </c>
      <c r="K23" s="3">
        <v>47564.5</v>
      </c>
      <c r="L23" s="48" t="s">
        <v>314</v>
      </c>
      <c r="M23" s="49" t="s">
        <v>349</v>
      </c>
      <c r="N23" s="3">
        <v>13225.831550000001</v>
      </c>
      <c r="O23" s="3">
        <v>16375.490390000001</v>
      </c>
      <c r="P23" s="3">
        <v>9890.1801720000003</v>
      </c>
      <c r="Q23" s="3">
        <v>8354.0669099999996</v>
      </c>
      <c r="R23" s="3">
        <v>16078.22063</v>
      </c>
      <c r="S23" s="3">
        <v>18567.09258</v>
      </c>
      <c r="T23" s="3">
        <v>10734.29753</v>
      </c>
      <c r="U23" s="3">
        <v>17776.189610000001</v>
      </c>
      <c r="V23" s="3">
        <v>12068.351409999999</v>
      </c>
      <c r="W23" s="3">
        <v>9542.8294609999994</v>
      </c>
      <c r="X23" s="3">
        <v>13472.052729999999</v>
      </c>
      <c r="Y23" s="3">
        <v>1610.240562</v>
      </c>
      <c r="Z23" s="3">
        <v>4496.9362140000003</v>
      </c>
      <c r="AA23" s="48" t="s">
        <v>314</v>
      </c>
      <c r="AB23" s="49" t="s">
        <v>349</v>
      </c>
      <c r="AC23" s="3">
        <v>0</v>
      </c>
      <c r="AD23" s="3">
        <v>0.45</v>
      </c>
      <c r="AE23" s="3">
        <v>0</v>
      </c>
      <c r="AF23" s="3">
        <v>0.34200000000000003</v>
      </c>
      <c r="AG23" s="3">
        <v>0</v>
      </c>
      <c r="AH23" s="3">
        <v>0.48599999999999999</v>
      </c>
      <c r="AI23" s="3">
        <v>0</v>
      </c>
      <c r="AJ23" s="3">
        <v>0.45900000000000002</v>
      </c>
      <c r="AK23" s="3">
        <v>0</v>
      </c>
      <c r="AL23" s="3">
        <v>0.65800000000000003</v>
      </c>
      <c r="AM23" s="3">
        <v>0</v>
      </c>
      <c r="AN23" s="3">
        <v>0.59699999999999998</v>
      </c>
      <c r="AO23" s="3">
        <v>0</v>
      </c>
      <c r="AP23" s="3">
        <v>0.59699999999999998</v>
      </c>
      <c r="AQ23" s="3">
        <v>0</v>
      </c>
      <c r="AR23" s="3">
        <v>0.58099999999999996</v>
      </c>
      <c r="AS23" s="3">
        <v>0</v>
      </c>
      <c r="AT23" s="3">
        <v>0.629</v>
      </c>
      <c r="AU23" s="3">
        <v>0</v>
      </c>
      <c r="AV23" s="3">
        <v>0.72099999999999997</v>
      </c>
      <c r="AW23" s="3">
        <v>0</v>
      </c>
      <c r="AX23" s="3">
        <v>0.35799999999999998</v>
      </c>
      <c r="AY23" s="3">
        <v>0</v>
      </c>
      <c r="AZ23" s="3">
        <v>0.71199999999999997</v>
      </c>
      <c r="BA23" s="3">
        <v>0</v>
      </c>
      <c r="BB23" s="3">
        <v>0.65800000000000003</v>
      </c>
      <c r="BC23" s="3">
        <v>0.78749999999999998</v>
      </c>
      <c r="BD23" s="3">
        <v>0.77349999999999997</v>
      </c>
      <c r="BE23" s="3">
        <v>0.78049999999999997</v>
      </c>
      <c r="BF23" s="3">
        <v>0.78633333299999997</v>
      </c>
      <c r="BG23" s="3">
        <v>0.81591666699999998</v>
      </c>
      <c r="BH23" s="3">
        <v>0.76500000000000001</v>
      </c>
      <c r="BI23" s="3">
        <v>0.85950000000000004</v>
      </c>
      <c r="BJ23" s="3">
        <v>0.84433333300000002</v>
      </c>
      <c r="BK23" s="3">
        <v>0.77900000000000003</v>
      </c>
      <c r="BL23" s="3">
        <v>0.82799999999999996</v>
      </c>
      <c r="BM23" s="3">
        <v>0.01</v>
      </c>
      <c r="BN23" s="3">
        <v>0.74533333300000004</v>
      </c>
      <c r="BO23" s="3">
        <v>0.77300000000000002</v>
      </c>
      <c r="BP23" s="48" t="s">
        <v>314</v>
      </c>
      <c r="BQ23" s="49" t="s">
        <v>349</v>
      </c>
      <c r="BR23" s="3">
        <v>-2.125</v>
      </c>
      <c r="BS23" s="3">
        <v>-2.746</v>
      </c>
      <c r="BT23" s="3">
        <v>-2.202</v>
      </c>
      <c r="BU23" s="3">
        <v>-2.3820000000000001</v>
      </c>
      <c r="BV23" s="3">
        <v>-1.698</v>
      </c>
      <c r="BW23" s="3">
        <v>3.6190000000000002</v>
      </c>
      <c r="BX23" s="3">
        <v>-2.7410000000000001</v>
      </c>
      <c r="BY23" s="3">
        <v>1.3029999999999999</v>
      </c>
      <c r="BZ23" s="3">
        <v>1.391</v>
      </c>
      <c r="CA23" s="3">
        <v>1.74</v>
      </c>
      <c r="CB23" s="3">
        <v>-2.843</v>
      </c>
      <c r="CC23" s="3">
        <v>0.29899999999999999</v>
      </c>
      <c r="CD23" s="3">
        <v>-1.651</v>
      </c>
    </row>
    <row r="24" spans="1:82" x14ac:dyDescent="0.3">
      <c r="A24" s="48" t="s">
        <v>314</v>
      </c>
      <c r="B24" s="49" t="s">
        <v>350</v>
      </c>
      <c r="C24" s="3">
        <v>45.270533100000002</v>
      </c>
      <c r="D24" s="3">
        <v>75.010982999999996</v>
      </c>
      <c r="E24" s="3">
        <v>38.399493</v>
      </c>
      <c r="F24" s="3">
        <v>24.870270300000001</v>
      </c>
      <c r="G24" s="3">
        <v>24.870270300000001</v>
      </c>
      <c r="H24" s="3">
        <v>68.403886200000002</v>
      </c>
      <c r="I24" s="48" t="s">
        <v>314</v>
      </c>
      <c r="J24" s="49" t="s">
        <v>350</v>
      </c>
      <c r="K24" s="3">
        <v>43251.5</v>
      </c>
      <c r="L24" s="48" t="s">
        <v>314</v>
      </c>
      <c r="M24" s="49" t="s">
        <v>350</v>
      </c>
      <c r="N24" s="3">
        <v>12160.33591</v>
      </c>
      <c r="O24" s="3">
        <v>14600.415419999999</v>
      </c>
      <c r="P24" s="3">
        <v>8847.4307160000008</v>
      </c>
      <c r="Q24" s="3">
        <v>7394.1958809999996</v>
      </c>
      <c r="R24" s="3">
        <v>15236.346009999999</v>
      </c>
      <c r="S24" s="3">
        <v>16901.171009999998</v>
      </c>
      <c r="T24" s="3">
        <v>10033.71355</v>
      </c>
      <c r="U24" s="3">
        <v>16387.14431</v>
      </c>
      <c r="V24" s="3">
        <v>10823.977720000001</v>
      </c>
      <c r="W24" s="3">
        <v>8520.6659660000005</v>
      </c>
      <c r="X24" s="3">
        <v>12372.816639999999</v>
      </c>
      <c r="Y24" s="3">
        <v>1463.1836840000001</v>
      </c>
      <c r="Z24" s="3">
        <v>3970.8751609999999</v>
      </c>
      <c r="AA24" s="48" t="s">
        <v>314</v>
      </c>
      <c r="AB24" s="49" t="s">
        <v>350</v>
      </c>
      <c r="AC24" s="3">
        <v>0</v>
      </c>
      <c r="AD24" s="3">
        <v>0.46200000000000002</v>
      </c>
      <c r="AE24" s="3">
        <v>0</v>
      </c>
      <c r="AF24" s="3">
        <v>0.29499999999999998</v>
      </c>
      <c r="AG24" s="3">
        <v>0</v>
      </c>
      <c r="AH24" s="3">
        <v>0.49199999999999999</v>
      </c>
      <c r="AI24" s="3">
        <v>0</v>
      </c>
      <c r="AJ24" s="3">
        <v>0.45300000000000001</v>
      </c>
      <c r="AK24" s="3">
        <v>0</v>
      </c>
      <c r="AL24" s="3">
        <v>0.59599999999999997</v>
      </c>
      <c r="AM24" s="3">
        <v>0</v>
      </c>
      <c r="AN24" s="3">
        <v>0.56599999999999995</v>
      </c>
      <c r="AO24" s="3">
        <v>0</v>
      </c>
      <c r="AP24" s="3">
        <v>0.56599999999999995</v>
      </c>
      <c r="AQ24" s="3">
        <v>0</v>
      </c>
      <c r="AR24" s="3">
        <v>0.54200000000000004</v>
      </c>
      <c r="AS24" s="3">
        <v>0</v>
      </c>
      <c r="AT24" s="3">
        <v>0.60199999999999998</v>
      </c>
      <c r="AU24" s="3">
        <v>0</v>
      </c>
      <c r="AV24" s="3">
        <v>0.71</v>
      </c>
      <c r="AW24" s="3">
        <v>0</v>
      </c>
      <c r="AX24" s="3">
        <v>0.36099999999999999</v>
      </c>
      <c r="AY24" s="3">
        <v>0</v>
      </c>
      <c r="AZ24" s="3">
        <v>0.7</v>
      </c>
      <c r="BA24" s="3">
        <v>0</v>
      </c>
      <c r="BB24" s="3">
        <v>0.65</v>
      </c>
      <c r="BC24" s="3">
        <v>0.75749999999999995</v>
      </c>
      <c r="BD24" s="3">
        <v>0.76349999999999996</v>
      </c>
      <c r="BE24" s="3">
        <v>0.77600000000000002</v>
      </c>
      <c r="BF24" s="3">
        <v>0.77666666699999998</v>
      </c>
      <c r="BG24" s="3">
        <v>0.79341666700000002</v>
      </c>
      <c r="BH24" s="3">
        <v>0.75600000000000001</v>
      </c>
      <c r="BI24" s="3">
        <v>0.82399999999999995</v>
      </c>
      <c r="BJ24" s="3">
        <v>0.82933333300000001</v>
      </c>
      <c r="BK24" s="3">
        <v>0.78249999999999997</v>
      </c>
      <c r="BL24" s="3">
        <v>0.78733333299999997</v>
      </c>
      <c r="BM24" s="3">
        <v>0.01</v>
      </c>
      <c r="BN24" s="3">
        <v>0.70799999999999996</v>
      </c>
      <c r="BO24" s="3">
        <v>0.76100000000000001</v>
      </c>
      <c r="BP24" s="48" t="s">
        <v>314</v>
      </c>
      <c r="BQ24" s="49" t="s">
        <v>350</v>
      </c>
      <c r="BR24" s="3">
        <v>-1.9350000000000001</v>
      </c>
      <c r="BS24" s="3">
        <v>-2.6640000000000001</v>
      </c>
      <c r="BT24" s="3">
        <v>-2.2530000000000001</v>
      </c>
      <c r="BU24" s="3">
        <v>-2.4750000000000001</v>
      </c>
      <c r="BV24" s="3">
        <v>-1.6339999999999999</v>
      </c>
      <c r="BW24" s="3">
        <v>3.8519999999999999</v>
      </c>
      <c r="BX24" s="3">
        <v>-2.911</v>
      </c>
      <c r="BY24" s="3">
        <v>1.167</v>
      </c>
      <c r="BZ24" s="3">
        <v>1.2569999999999999</v>
      </c>
      <c r="CA24" s="3">
        <v>2.004</v>
      </c>
      <c r="CB24" s="3">
        <v>-2.839</v>
      </c>
      <c r="CC24" s="3">
        <v>0.52100000000000002</v>
      </c>
      <c r="CD24" s="3">
        <v>-1.7769999999999999</v>
      </c>
    </row>
    <row r="25" spans="1:82" x14ac:dyDescent="0.3">
      <c r="A25" s="48" t="s">
        <v>314</v>
      </c>
      <c r="B25" s="49" t="s">
        <v>351</v>
      </c>
      <c r="C25" s="3">
        <v>36.049546200000002</v>
      </c>
      <c r="D25" s="3">
        <v>71.222119500000005</v>
      </c>
      <c r="E25" s="3">
        <v>33.078055499999998</v>
      </c>
      <c r="F25" s="3">
        <v>24.546726899999999</v>
      </c>
      <c r="G25" s="3">
        <v>24.546726899999999</v>
      </c>
      <c r="H25" s="3">
        <v>67.705713599999996</v>
      </c>
      <c r="I25" s="48" t="s">
        <v>314</v>
      </c>
      <c r="J25" s="49" t="s">
        <v>351</v>
      </c>
      <c r="K25" s="3">
        <v>38420.5</v>
      </c>
      <c r="L25" s="48" t="s">
        <v>314</v>
      </c>
      <c r="M25" s="49" t="s">
        <v>351</v>
      </c>
      <c r="N25" s="3">
        <v>10283.673339999999</v>
      </c>
      <c r="O25" s="3">
        <v>12087.0398</v>
      </c>
      <c r="P25" s="3">
        <v>7246.4393229999996</v>
      </c>
      <c r="Q25" s="3">
        <v>5958.4530119999999</v>
      </c>
      <c r="R25" s="3">
        <v>13479.913280000001</v>
      </c>
      <c r="S25" s="3">
        <v>13856.65041</v>
      </c>
      <c r="T25" s="3">
        <v>8474.9182899999996</v>
      </c>
      <c r="U25" s="3">
        <v>13968.91928</v>
      </c>
      <c r="V25" s="3">
        <v>8969.7671559999999</v>
      </c>
      <c r="W25" s="3">
        <v>6812.7421420000001</v>
      </c>
      <c r="X25" s="3">
        <v>10295.29408</v>
      </c>
      <c r="Y25" s="3">
        <v>1146.1696710000001</v>
      </c>
      <c r="Z25" s="3">
        <v>3237.896561</v>
      </c>
      <c r="AA25" s="48" t="s">
        <v>314</v>
      </c>
      <c r="AB25" s="49" t="s">
        <v>351</v>
      </c>
      <c r="AC25" s="3">
        <v>0</v>
      </c>
      <c r="AD25" s="3">
        <v>0.44</v>
      </c>
      <c r="AE25" s="3">
        <v>0</v>
      </c>
      <c r="AF25" s="3">
        <v>0.26100000000000001</v>
      </c>
      <c r="AG25" s="3">
        <v>0</v>
      </c>
      <c r="AH25" s="3">
        <v>0.439</v>
      </c>
      <c r="AI25" s="3">
        <v>0</v>
      </c>
      <c r="AJ25" s="3">
        <v>0.433</v>
      </c>
      <c r="AK25" s="3">
        <v>0</v>
      </c>
      <c r="AL25" s="3">
        <v>0.53</v>
      </c>
      <c r="AM25" s="3">
        <v>0</v>
      </c>
      <c r="AN25" s="3">
        <v>0.53300000000000003</v>
      </c>
      <c r="AO25" s="3">
        <v>0</v>
      </c>
      <c r="AP25" s="3">
        <v>0.53300000000000003</v>
      </c>
      <c r="AQ25" s="3">
        <v>0</v>
      </c>
      <c r="AR25" s="3">
        <v>0.52</v>
      </c>
      <c r="AS25" s="3">
        <v>0</v>
      </c>
      <c r="AT25" s="3">
        <v>0.58799999999999997</v>
      </c>
      <c r="AU25" s="3">
        <v>0</v>
      </c>
      <c r="AV25" s="3">
        <v>0.70499999999999996</v>
      </c>
      <c r="AW25" s="3">
        <v>0</v>
      </c>
      <c r="AX25" s="3">
        <v>0.36499999999999999</v>
      </c>
      <c r="AY25" s="3">
        <v>0</v>
      </c>
      <c r="AZ25" s="3">
        <v>0.67400000000000004</v>
      </c>
      <c r="BA25" s="3">
        <v>0</v>
      </c>
      <c r="BB25" s="3">
        <v>0.63400000000000001</v>
      </c>
      <c r="BC25" s="3">
        <v>0.747</v>
      </c>
      <c r="BD25" s="3">
        <v>0.76900000000000002</v>
      </c>
      <c r="BE25" s="3">
        <v>0.77249999999999996</v>
      </c>
      <c r="BF25" s="3">
        <v>0.747</v>
      </c>
      <c r="BG25" s="3">
        <v>0.78149999999999997</v>
      </c>
      <c r="BH25" s="3">
        <v>0.72799999999999998</v>
      </c>
      <c r="BI25" s="3">
        <v>0.76849999999999996</v>
      </c>
      <c r="BJ25" s="3">
        <v>0.81599999999999995</v>
      </c>
      <c r="BK25" s="3">
        <v>0.76849999999999996</v>
      </c>
      <c r="BL25" s="3">
        <v>0.73966666700000006</v>
      </c>
      <c r="BM25" s="3">
        <v>0.01</v>
      </c>
      <c r="BN25" s="3">
        <v>0.67833333299999998</v>
      </c>
      <c r="BO25" s="3">
        <v>0.72399999999999998</v>
      </c>
      <c r="BP25" s="48" t="s">
        <v>314</v>
      </c>
      <c r="BQ25" s="49" t="s">
        <v>351</v>
      </c>
      <c r="BR25" s="3">
        <v>-1.867</v>
      </c>
      <c r="BS25" s="3">
        <v>-2.5350000000000001</v>
      </c>
      <c r="BT25" s="3">
        <v>-2.1669999999999998</v>
      </c>
      <c r="BU25" s="3">
        <v>-2.4609999999999999</v>
      </c>
      <c r="BV25" s="3">
        <v>-1.6870000000000001</v>
      </c>
      <c r="BW25" s="3">
        <v>4.0590000000000002</v>
      </c>
      <c r="BX25" s="3">
        <v>-3.0110000000000001</v>
      </c>
      <c r="BY25" s="3">
        <v>1.0529999999999999</v>
      </c>
      <c r="BZ25" s="3">
        <v>1.2430000000000001</v>
      </c>
      <c r="CA25" s="3">
        <v>2.1840000000000002</v>
      </c>
      <c r="CB25" s="3">
        <v>-2.6720000000000002</v>
      </c>
      <c r="CC25" s="3">
        <v>0.74</v>
      </c>
      <c r="CD25" s="3">
        <v>-1.8939999999999999</v>
      </c>
    </row>
    <row r="26" spans="1:82" x14ac:dyDescent="0.3">
      <c r="A26" s="48" t="s">
        <v>314</v>
      </c>
      <c r="B26" s="49" t="s">
        <v>352</v>
      </c>
      <c r="C26" s="3">
        <v>35.4876024</v>
      </c>
      <c r="D26" s="3">
        <v>67.203369899999998</v>
      </c>
      <c r="E26" s="3">
        <v>33.307941599999999</v>
      </c>
      <c r="F26" s="3">
        <v>24.282783599999998</v>
      </c>
      <c r="G26" s="3">
        <v>24.282783599999998</v>
      </c>
      <c r="H26" s="3">
        <v>63.00582</v>
      </c>
      <c r="I26" s="48" t="s">
        <v>314</v>
      </c>
      <c r="J26" s="49" t="s">
        <v>352</v>
      </c>
      <c r="K26" s="3">
        <v>34986</v>
      </c>
      <c r="L26" s="48" t="s">
        <v>314</v>
      </c>
      <c r="M26" s="49" t="s">
        <v>352</v>
      </c>
      <c r="N26" s="3">
        <v>5863.8737799999999</v>
      </c>
      <c r="O26" s="3">
        <v>6866.6073749999996</v>
      </c>
      <c r="P26" s="3">
        <v>4101.0938489999999</v>
      </c>
      <c r="Q26" s="3">
        <v>3510.2346980000002</v>
      </c>
      <c r="R26" s="3">
        <v>8193.0161559999997</v>
      </c>
      <c r="S26" s="3">
        <v>7950.7972529999997</v>
      </c>
      <c r="T26" s="3">
        <v>5033.7080859999996</v>
      </c>
      <c r="U26" s="3">
        <v>7752.648596</v>
      </c>
      <c r="V26" s="3">
        <v>4981.906422</v>
      </c>
      <c r="W26" s="3">
        <v>3568.2508790000002</v>
      </c>
      <c r="X26" s="3">
        <v>5879.0046609999999</v>
      </c>
      <c r="Y26" s="3">
        <v>643.07980810000004</v>
      </c>
      <c r="Z26" s="3">
        <v>2200.8988939999999</v>
      </c>
      <c r="AA26" s="48" t="s">
        <v>314</v>
      </c>
      <c r="AB26" s="49" t="s">
        <v>352</v>
      </c>
      <c r="AC26" s="3">
        <v>0</v>
      </c>
      <c r="AD26" s="3">
        <v>0.42799999999999999</v>
      </c>
      <c r="AE26" s="3">
        <v>0</v>
      </c>
      <c r="AF26" s="3">
        <v>0.26100000000000001</v>
      </c>
      <c r="AG26" s="3">
        <v>0</v>
      </c>
      <c r="AH26" s="3">
        <v>0.35499999999999998</v>
      </c>
      <c r="AI26" s="3">
        <v>0</v>
      </c>
      <c r="AJ26" s="3">
        <v>0.42199999999999999</v>
      </c>
      <c r="AK26" s="3">
        <v>0</v>
      </c>
      <c r="AL26" s="3">
        <v>0.48299999999999998</v>
      </c>
      <c r="AM26" s="3">
        <v>0</v>
      </c>
      <c r="AN26" s="3">
        <v>0.52900000000000003</v>
      </c>
      <c r="AO26" s="3">
        <v>0</v>
      </c>
      <c r="AP26" s="3">
        <v>0.52900000000000003</v>
      </c>
      <c r="AQ26" s="3">
        <v>0</v>
      </c>
      <c r="AR26" s="3">
        <v>0.502</v>
      </c>
      <c r="AS26" s="3">
        <v>0</v>
      </c>
      <c r="AT26" s="3">
        <v>0.56399999999999995</v>
      </c>
      <c r="AU26" s="3">
        <v>0</v>
      </c>
      <c r="AV26" s="3">
        <v>0.68899999999999995</v>
      </c>
      <c r="AW26" s="3">
        <v>0</v>
      </c>
      <c r="AX26" s="3">
        <v>0.34899999999999998</v>
      </c>
      <c r="AY26" s="3">
        <v>0</v>
      </c>
      <c r="AZ26" s="3">
        <v>0.66100000000000003</v>
      </c>
      <c r="BA26" s="3">
        <v>0</v>
      </c>
      <c r="BB26" s="3">
        <v>0.62</v>
      </c>
      <c r="BC26" s="3">
        <v>0.72150000000000003</v>
      </c>
      <c r="BD26" s="3">
        <v>0.746</v>
      </c>
      <c r="BE26" s="3">
        <v>0.748</v>
      </c>
      <c r="BF26" s="3">
        <v>0.71399999999999997</v>
      </c>
      <c r="BG26" s="3">
        <v>0.760583334</v>
      </c>
      <c r="BH26" s="3">
        <v>0.69899999999999995</v>
      </c>
      <c r="BI26" s="3">
        <v>0.76649999999999996</v>
      </c>
      <c r="BJ26" s="3">
        <v>0.799666667</v>
      </c>
      <c r="BK26" s="3">
        <v>0.73399999999999999</v>
      </c>
      <c r="BL26" s="3">
        <v>0.66500000000000004</v>
      </c>
      <c r="BM26" s="3">
        <v>0.01</v>
      </c>
      <c r="BN26" s="3">
        <v>0.66333333299999997</v>
      </c>
      <c r="BO26" s="3">
        <v>0.69599999999999995</v>
      </c>
      <c r="BP26" s="48" t="s">
        <v>314</v>
      </c>
      <c r="BQ26" s="49" t="s">
        <v>352</v>
      </c>
      <c r="BR26" s="3">
        <v>-1.8029999999999999</v>
      </c>
      <c r="BS26" s="3">
        <v>-2.294</v>
      </c>
      <c r="BT26" s="3">
        <v>-2.1339999999999999</v>
      </c>
      <c r="BU26" s="3">
        <v>-2.5259999999999998</v>
      </c>
      <c r="BV26" s="3">
        <v>-1.6870000000000001</v>
      </c>
      <c r="BW26" s="3">
        <v>4.1970000000000001</v>
      </c>
      <c r="BX26" s="3">
        <v>-3.028</v>
      </c>
      <c r="BY26" s="3">
        <v>0.98799999999999999</v>
      </c>
      <c r="BZ26" s="3">
        <v>1.2290000000000001</v>
      </c>
      <c r="CA26" s="3">
        <v>2.2639999999999998</v>
      </c>
      <c r="CB26" s="3">
        <v>-2.5270000000000001</v>
      </c>
      <c r="CC26" s="3">
        <v>0.94299999999999995</v>
      </c>
      <c r="CD26" s="3">
        <v>-1.881</v>
      </c>
    </row>
    <row r="27" spans="1:82" x14ac:dyDescent="0.3">
      <c r="A27" s="48" t="s">
        <v>315</v>
      </c>
      <c r="B27" s="49" t="s">
        <v>329</v>
      </c>
      <c r="C27" s="3">
        <v>29.873684000000001</v>
      </c>
      <c r="D27" s="3">
        <v>35.543759999999999</v>
      </c>
      <c r="E27" s="3">
        <v>26.006184399999999</v>
      </c>
      <c r="F27" s="3">
        <v>25.176829999999999</v>
      </c>
      <c r="G27" s="3">
        <v>-4.2567883999999996</v>
      </c>
      <c r="H27" s="3">
        <v>26.006184399999999</v>
      </c>
      <c r="I27" s="48" t="s">
        <v>315</v>
      </c>
      <c r="J27" s="49" t="s">
        <v>329</v>
      </c>
      <c r="K27" s="3">
        <v>28245</v>
      </c>
      <c r="L27" s="48" t="s">
        <v>315</v>
      </c>
      <c r="M27" s="49" t="s">
        <v>329</v>
      </c>
      <c r="N27" s="3">
        <v>2223.3144860000002</v>
      </c>
      <c r="O27" s="3">
        <v>2738.0692089999998</v>
      </c>
      <c r="P27" s="3">
        <v>1379.7098820000001</v>
      </c>
      <c r="Q27" s="3">
        <v>1329.970687</v>
      </c>
      <c r="R27" s="3">
        <v>3374.8526310000002</v>
      </c>
      <c r="S27" s="3">
        <v>3132.5256119999999</v>
      </c>
      <c r="T27" s="3">
        <v>1917.086857</v>
      </c>
      <c r="U27" s="3">
        <v>1930.9121640000001</v>
      </c>
      <c r="V27" s="3">
        <v>1193.5814</v>
      </c>
      <c r="W27" s="3">
        <v>752.43629199999998</v>
      </c>
      <c r="X27" s="3">
        <v>2223.0726359999999</v>
      </c>
      <c r="Y27" s="3">
        <v>98.837907139999999</v>
      </c>
      <c r="Z27" s="3">
        <v>417.6960709</v>
      </c>
      <c r="AA27" s="48" t="s">
        <v>315</v>
      </c>
      <c r="AB27" s="49" t="s">
        <v>329</v>
      </c>
      <c r="AC27" s="3">
        <v>0</v>
      </c>
      <c r="AD27" s="3">
        <v>0.48699999999999999</v>
      </c>
      <c r="AE27" s="3">
        <v>0</v>
      </c>
      <c r="AF27" s="3">
        <v>0.215</v>
      </c>
      <c r="AG27" s="3">
        <v>0</v>
      </c>
      <c r="AH27" s="3">
        <v>0.15</v>
      </c>
      <c r="AI27" s="3">
        <v>0</v>
      </c>
      <c r="AJ27" s="3">
        <v>0.84599999999999997</v>
      </c>
      <c r="AK27" s="3">
        <v>0</v>
      </c>
      <c r="AL27" s="3">
        <v>0.55900000000000005</v>
      </c>
      <c r="AM27" s="3">
        <v>0</v>
      </c>
      <c r="AN27" s="3">
        <v>0.19900000000000001</v>
      </c>
      <c r="AO27" s="3">
        <v>0</v>
      </c>
      <c r="AP27" s="3">
        <v>0.19900000000000001</v>
      </c>
      <c r="AQ27" s="3">
        <v>0</v>
      </c>
      <c r="AR27" s="3">
        <v>0.92600000000000005</v>
      </c>
      <c r="AS27" s="3">
        <v>0</v>
      </c>
      <c r="AT27" s="3">
        <v>0.88700000000000001</v>
      </c>
      <c r="AU27" s="3">
        <v>0</v>
      </c>
      <c r="AV27" s="3">
        <v>0.85699999999999998</v>
      </c>
      <c r="AW27" s="3">
        <v>0</v>
      </c>
      <c r="AX27" s="3">
        <v>0.59099999999999997</v>
      </c>
      <c r="AY27" s="3">
        <v>0</v>
      </c>
      <c r="AZ27" s="3">
        <v>0.86399999999999999</v>
      </c>
      <c r="BA27" s="3">
        <v>0</v>
      </c>
      <c r="BB27" s="3">
        <v>0.82599999999999996</v>
      </c>
      <c r="BC27" s="3">
        <v>0.97150000000000003</v>
      </c>
      <c r="BD27" s="3">
        <v>0.92549999999999999</v>
      </c>
      <c r="BE27" s="3">
        <v>0.91149999999999998</v>
      </c>
      <c r="BF27" s="3">
        <v>0.97499999999999998</v>
      </c>
      <c r="BG27" s="3">
        <v>0.97458333399999997</v>
      </c>
      <c r="BH27" s="3">
        <v>0.97499999999999998</v>
      </c>
      <c r="BI27" s="3">
        <v>0.88349999999999995</v>
      </c>
      <c r="BJ27" s="3">
        <v>0.97766666700000004</v>
      </c>
      <c r="BK27" s="3">
        <v>0.96650000000000003</v>
      </c>
      <c r="BL27" s="3">
        <v>0.98</v>
      </c>
      <c r="BM27" s="3">
        <v>0.01</v>
      </c>
      <c r="BN27" s="3">
        <v>0.95433333300000001</v>
      </c>
      <c r="BO27" s="3">
        <v>0.97699999999999998</v>
      </c>
      <c r="BP27" s="48" t="s">
        <v>315</v>
      </c>
      <c r="BQ27" s="49" t="s">
        <v>329</v>
      </c>
      <c r="BR27" s="3">
        <v>9.048</v>
      </c>
      <c r="BS27" s="3">
        <v>6.7270000000000003</v>
      </c>
      <c r="BT27" s="3">
        <v>4.6210000000000004</v>
      </c>
      <c r="BU27" s="3">
        <v>3.5289999999999999</v>
      </c>
      <c r="BV27" s="3">
        <v>9.2609999999999992</v>
      </c>
      <c r="BW27" s="3">
        <v>6.6740000000000004</v>
      </c>
      <c r="BX27" s="3">
        <v>2.4790000000000001</v>
      </c>
      <c r="BY27" s="3">
        <v>9.4209999999999994</v>
      </c>
      <c r="BZ27" s="3">
        <v>9.4260000000000002</v>
      </c>
      <c r="CA27" s="3">
        <v>9.4160000000000004</v>
      </c>
      <c r="CB27" s="3">
        <v>8.5500000000000007</v>
      </c>
      <c r="CC27" s="3">
        <v>8.8409999999999993</v>
      </c>
      <c r="CD27" s="3">
        <v>8.2530000000000001</v>
      </c>
    </row>
    <row r="28" spans="1:82" x14ac:dyDescent="0.3">
      <c r="A28" s="48" t="s">
        <v>315</v>
      </c>
      <c r="B28" s="49" t="s">
        <v>330</v>
      </c>
      <c r="C28" s="3">
        <v>29.1374204</v>
      </c>
      <c r="D28" s="3">
        <v>34.138935199999999</v>
      </c>
      <c r="E28" s="3">
        <v>24.1105172</v>
      </c>
      <c r="F28" s="3">
        <v>24.906020399999999</v>
      </c>
      <c r="G28" s="3">
        <v>8.4627999999999995E-3</v>
      </c>
      <c r="H28" s="3">
        <v>24.1105172</v>
      </c>
      <c r="I28" s="48" t="s">
        <v>315</v>
      </c>
      <c r="J28" s="49" t="s">
        <v>330</v>
      </c>
      <c r="K28" s="3">
        <v>28005</v>
      </c>
      <c r="L28" s="48" t="s">
        <v>315</v>
      </c>
      <c r="M28" s="49" t="s">
        <v>330</v>
      </c>
      <c r="N28" s="3">
        <v>1658.7930429999999</v>
      </c>
      <c r="O28" s="3">
        <v>2066.955708</v>
      </c>
      <c r="P28" s="3">
        <v>1000.1293920000001</v>
      </c>
      <c r="Q28" s="3">
        <v>1097.7537319999999</v>
      </c>
      <c r="R28" s="3">
        <v>2341.3241990000001</v>
      </c>
      <c r="S28" s="3">
        <v>2088.2537170000001</v>
      </c>
      <c r="T28" s="3">
        <v>1182.8138140000001</v>
      </c>
      <c r="U28" s="3">
        <v>1345.9437969999999</v>
      </c>
      <c r="V28" s="3">
        <v>729.47009330000003</v>
      </c>
      <c r="W28" s="3">
        <v>421.10740429999998</v>
      </c>
      <c r="X28" s="3">
        <v>1472.777685</v>
      </c>
      <c r="Y28" s="3">
        <v>37.951426779999998</v>
      </c>
      <c r="Z28" s="3">
        <v>51.894577099999999</v>
      </c>
      <c r="AA28" s="48" t="s">
        <v>315</v>
      </c>
      <c r="AB28" s="49" t="s">
        <v>330</v>
      </c>
      <c r="AC28" s="3">
        <v>0</v>
      </c>
      <c r="AD28" s="3">
        <v>0.58699999999999997</v>
      </c>
      <c r="AE28" s="3">
        <v>0</v>
      </c>
      <c r="AF28" s="3">
        <v>0.40400000000000003</v>
      </c>
      <c r="AG28" s="3">
        <v>0</v>
      </c>
      <c r="AH28" s="3">
        <v>0.23</v>
      </c>
      <c r="AI28" s="3">
        <v>0</v>
      </c>
      <c r="AJ28" s="3">
        <v>0.86199999999999999</v>
      </c>
      <c r="AK28" s="3">
        <v>0</v>
      </c>
      <c r="AL28" s="3">
        <v>0.33</v>
      </c>
      <c r="AM28" s="3">
        <v>0</v>
      </c>
      <c r="AN28" s="3">
        <v>0.26800000000000002</v>
      </c>
      <c r="AO28" s="3">
        <v>0</v>
      </c>
      <c r="AP28" s="3">
        <v>0.26800000000000002</v>
      </c>
      <c r="AQ28" s="3">
        <v>0</v>
      </c>
      <c r="AR28" s="3">
        <v>0.93700000000000006</v>
      </c>
      <c r="AS28" s="3">
        <v>0</v>
      </c>
      <c r="AT28" s="3">
        <v>0.90300000000000002</v>
      </c>
      <c r="AU28" s="3">
        <v>0</v>
      </c>
      <c r="AV28" s="3">
        <v>0.873</v>
      </c>
      <c r="AW28" s="3">
        <v>0</v>
      </c>
      <c r="AX28" s="3">
        <v>0.73899999999999999</v>
      </c>
      <c r="AY28" s="3">
        <v>0</v>
      </c>
      <c r="AZ28" s="3">
        <v>0.89700000000000002</v>
      </c>
      <c r="BA28" s="3">
        <v>0</v>
      </c>
      <c r="BB28" s="3">
        <v>0.89300000000000002</v>
      </c>
      <c r="BC28" s="3">
        <v>0.95299999999999996</v>
      </c>
      <c r="BD28" s="3">
        <v>0.87949999999999995</v>
      </c>
      <c r="BE28" s="3">
        <v>0.91349999999999998</v>
      </c>
      <c r="BF28" s="3">
        <v>0.97866666700000005</v>
      </c>
      <c r="BG28" s="3">
        <v>0.95499999999999996</v>
      </c>
      <c r="BH28" s="3">
        <v>0.97199999999999998</v>
      </c>
      <c r="BI28" s="3">
        <v>0.89800000000000002</v>
      </c>
      <c r="BJ28" s="3">
        <v>0.95699999999999996</v>
      </c>
      <c r="BK28" s="3">
        <v>0.92</v>
      </c>
      <c r="BL28" s="3">
        <v>0.98</v>
      </c>
      <c r="BM28" s="3">
        <v>0.01</v>
      </c>
      <c r="BN28" s="3">
        <v>0.948333333</v>
      </c>
      <c r="BO28" s="3">
        <v>0.97199999999999998</v>
      </c>
      <c r="BP28" s="48" t="s">
        <v>315</v>
      </c>
      <c r="BQ28" s="49" t="s">
        <v>330</v>
      </c>
      <c r="BR28" s="3">
        <v>8.9440000000000008</v>
      </c>
      <c r="BS28" s="3">
        <v>7.532</v>
      </c>
      <c r="BT28" s="3">
        <v>4.8029999999999999</v>
      </c>
      <c r="BU28" s="3">
        <v>3.081</v>
      </c>
      <c r="BV28" s="3">
        <v>9.1649999999999991</v>
      </c>
      <c r="BW28" s="3">
        <v>6.4589999999999996</v>
      </c>
      <c r="BX28" s="3">
        <v>1.8740000000000001</v>
      </c>
      <c r="BY28" s="3">
        <v>9.3059999999999992</v>
      </c>
      <c r="BZ28" s="3">
        <v>9.3409999999999993</v>
      </c>
      <c r="CA28" s="3">
        <v>9.5220000000000002</v>
      </c>
      <c r="CB28" s="3">
        <v>8.6780000000000008</v>
      </c>
      <c r="CC28" s="3">
        <v>8.923</v>
      </c>
      <c r="CD28" s="3">
        <v>8.327</v>
      </c>
    </row>
    <row r="29" spans="1:82" x14ac:dyDescent="0.3">
      <c r="A29" s="48" t="s">
        <v>315</v>
      </c>
      <c r="B29" s="49" t="s">
        <v>331</v>
      </c>
      <c r="C29" s="3">
        <v>28.8666108</v>
      </c>
      <c r="D29" s="3">
        <v>29.4251556</v>
      </c>
      <c r="E29" s="3">
        <v>25.388400000000001</v>
      </c>
      <c r="F29" s="3">
        <v>24.906020399999999</v>
      </c>
      <c r="G29" s="3">
        <v>0.10155359999999999</v>
      </c>
      <c r="H29" s="3">
        <v>25.388400000000001</v>
      </c>
      <c r="I29" s="48" t="s">
        <v>315</v>
      </c>
      <c r="J29" s="49" t="s">
        <v>331</v>
      </c>
      <c r="K29" s="3">
        <v>27211.5</v>
      </c>
      <c r="L29" s="48" t="s">
        <v>315</v>
      </c>
      <c r="M29" s="49" t="s">
        <v>331</v>
      </c>
      <c r="N29" s="3">
        <v>1408.801099</v>
      </c>
      <c r="O29" s="3">
        <v>1943.8958270000001</v>
      </c>
      <c r="P29" s="3">
        <v>900.29847480000001</v>
      </c>
      <c r="Q29" s="3">
        <v>1007.035242</v>
      </c>
      <c r="R29" s="3">
        <v>2048.0771319999999</v>
      </c>
      <c r="S29" s="3">
        <v>1730.0261499999999</v>
      </c>
      <c r="T29" s="3">
        <v>975.52627710000002</v>
      </c>
      <c r="U29" s="3">
        <v>1060.2616539999999</v>
      </c>
      <c r="V29" s="3">
        <v>637.85989830000005</v>
      </c>
      <c r="W29" s="3">
        <v>370.39974480000001</v>
      </c>
      <c r="X29" s="3">
        <v>1316.4736929999999</v>
      </c>
      <c r="Y29" s="3">
        <v>13.853952830000001</v>
      </c>
      <c r="Z29" s="3">
        <v>376.8932595</v>
      </c>
      <c r="AA29" s="48" t="s">
        <v>315</v>
      </c>
      <c r="AB29" s="49" t="s">
        <v>331</v>
      </c>
      <c r="AC29" s="3">
        <v>0</v>
      </c>
      <c r="AD29" s="3">
        <v>0.73899999999999999</v>
      </c>
      <c r="AE29" s="3">
        <v>0</v>
      </c>
      <c r="AF29" s="3">
        <v>0.57699999999999996</v>
      </c>
      <c r="AG29" s="3">
        <v>0</v>
      </c>
      <c r="AH29" s="3">
        <v>0.36</v>
      </c>
      <c r="AI29" s="3">
        <v>0</v>
      </c>
      <c r="AJ29" s="3">
        <v>0.88700000000000001</v>
      </c>
      <c r="AK29" s="3">
        <v>0</v>
      </c>
      <c r="AL29" s="3">
        <v>0.191</v>
      </c>
      <c r="AM29" s="3">
        <v>0</v>
      </c>
      <c r="AN29" s="3">
        <v>0.46300000000000002</v>
      </c>
      <c r="AO29" s="3">
        <v>0</v>
      </c>
      <c r="AP29" s="3">
        <v>0.46300000000000002</v>
      </c>
      <c r="AQ29" s="3">
        <v>0</v>
      </c>
      <c r="AR29" s="3">
        <v>0.95099999999999996</v>
      </c>
      <c r="AS29" s="3">
        <v>0</v>
      </c>
      <c r="AT29" s="3">
        <v>0.92</v>
      </c>
      <c r="AU29" s="3">
        <v>0</v>
      </c>
      <c r="AV29" s="3">
        <v>0.9</v>
      </c>
      <c r="AW29" s="3">
        <v>0</v>
      </c>
      <c r="AX29" s="3">
        <v>0.80900000000000005</v>
      </c>
      <c r="AY29" s="3">
        <v>0</v>
      </c>
      <c r="AZ29" s="3">
        <v>0.92500000000000004</v>
      </c>
      <c r="BA29" s="3">
        <v>0</v>
      </c>
      <c r="BB29" s="3">
        <v>0.92400000000000004</v>
      </c>
      <c r="BC29" s="3">
        <v>0.94450000000000001</v>
      </c>
      <c r="BD29" s="3">
        <v>0.88</v>
      </c>
      <c r="BE29" s="3">
        <v>0.91449999999999998</v>
      </c>
      <c r="BF29" s="3">
        <v>0.98</v>
      </c>
      <c r="BG29" s="3">
        <v>0.92758333400000004</v>
      </c>
      <c r="BH29" s="3">
        <v>0.97499999999999998</v>
      </c>
      <c r="BI29" s="3">
        <v>0.89349999999999996</v>
      </c>
      <c r="BJ29" s="3">
        <v>0.91066666699999999</v>
      </c>
      <c r="BK29" s="3">
        <v>0.89249999999999996</v>
      </c>
      <c r="BL29" s="3">
        <v>0.98099999999999998</v>
      </c>
      <c r="BM29" s="3">
        <v>0.01</v>
      </c>
      <c r="BN29" s="3">
        <v>0.93766666700000001</v>
      </c>
      <c r="BO29" s="3">
        <v>0.97</v>
      </c>
      <c r="BP29" s="48" t="s">
        <v>315</v>
      </c>
      <c r="BQ29" s="49" t="s">
        <v>331</v>
      </c>
      <c r="BR29" s="3">
        <v>8.8680000000000003</v>
      </c>
      <c r="BS29" s="3">
        <v>7.9960000000000004</v>
      </c>
      <c r="BT29" s="3">
        <v>5.1289999999999996</v>
      </c>
      <c r="BU29" s="3">
        <v>2.9020000000000001</v>
      </c>
      <c r="BV29" s="3">
        <v>9.2799999999999994</v>
      </c>
      <c r="BW29" s="3">
        <v>6.1859999999999999</v>
      </c>
      <c r="BX29" s="3">
        <v>1.583</v>
      </c>
      <c r="BY29" s="3">
        <v>9.2639999999999993</v>
      </c>
      <c r="BZ29" s="3">
        <v>9.3170000000000002</v>
      </c>
      <c r="CA29" s="3">
        <v>9.5739999999999998</v>
      </c>
      <c r="CB29" s="3">
        <v>8.8320000000000007</v>
      </c>
      <c r="CC29" s="3">
        <v>8.9239999999999995</v>
      </c>
      <c r="CD29" s="3">
        <v>8.3520000000000003</v>
      </c>
    </row>
    <row r="30" spans="1:82" x14ac:dyDescent="0.3">
      <c r="A30" s="48" t="s">
        <v>315</v>
      </c>
      <c r="B30" s="49" t="s">
        <v>332</v>
      </c>
      <c r="C30" s="3">
        <v>27.757984</v>
      </c>
      <c r="D30" s="3">
        <v>17.6534008</v>
      </c>
      <c r="E30" s="3">
        <v>27.622579200000001</v>
      </c>
      <c r="F30" s="3">
        <v>25.396862800000001</v>
      </c>
      <c r="G30" s="3">
        <v>7.9888832000000001</v>
      </c>
      <c r="H30" s="3">
        <v>17.6534008</v>
      </c>
      <c r="I30" s="48" t="s">
        <v>315</v>
      </c>
      <c r="J30" s="49" t="s">
        <v>332</v>
      </c>
      <c r="K30" s="3">
        <v>26172.5</v>
      </c>
      <c r="L30" s="48" t="s">
        <v>315</v>
      </c>
      <c r="M30" s="49" t="s">
        <v>332</v>
      </c>
      <c r="N30" s="3">
        <v>1353.86203</v>
      </c>
      <c r="O30" s="3">
        <v>1783.5378760000001</v>
      </c>
      <c r="P30" s="3">
        <v>823.16577870000003</v>
      </c>
      <c r="Q30" s="3">
        <v>994.93565839999997</v>
      </c>
      <c r="R30" s="3">
        <v>1734.1802680000001</v>
      </c>
      <c r="S30" s="3">
        <v>1490.9964580000001</v>
      </c>
      <c r="T30" s="3">
        <v>809.42349730000001</v>
      </c>
      <c r="U30" s="3">
        <v>812.47395140000003</v>
      </c>
      <c r="V30" s="3">
        <v>715.3740421</v>
      </c>
      <c r="W30" s="3">
        <v>271.86840860000001</v>
      </c>
      <c r="X30" s="3">
        <v>1131.8764200000001</v>
      </c>
      <c r="Y30" s="3">
        <v>34.185950599999998</v>
      </c>
      <c r="Z30" s="3">
        <v>455.31801350000001</v>
      </c>
      <c r="AA30" s="48" t="s">
        <v>315</v>
      </c>
      <c r="AB30" s="49" t="s">
        <v>332</v>
      </c>
      <c r="AC30" s="3">
        <v>0</v>
      </c>
      <c r="AD30" s="3">
        <v>0.81699999999999995</v>
      </c>
      <c r="AE30" s="3">
        <v>0</v>
      </c>
      <c r="AF30" s="3">
        <v>0.77400000000000002</v>
      </c>
      <c r="AG30" s="3">
        <v>0</v>
      </c>
      <c r="AH30" s="3">
        <v>0.52400000000000002</v>
      </c>
      <c r="AI30" s="3">
        <v>0</v>
      </c>
      <c r="AJ30" s="3">
        <v>0.90900000000000003</v>
      </c>
      <c r="AK30" s="3">
        <v>0</v>
      </c>
      <c r="AL30" s="3">
        <v>0.26700000000000002</v>
      </c>
      <c r="AM30" s="3">
        <v>0</v>
      </c>
      <c r="AN30" s="3">
        <v>0.71299999999999997</v>
      </c>
      <c r="AO30" s="3">
        <v>0</v>
      </c>
      <c r="AP30" s="3">
        <v>0.71299999999999997</v>
      </c>
      <c r="AQ30" s="3">
        <v>0</v>
      </c>
      <c r="AR30" s="3">
        <v>0.96299999999999997</v>
      </c>
      <c r="AS30" s="3">
        <v>0</v>
      </c>
      <c r="AT30" s="3">
        <v>0.93</v>
      </c>
      <c r="AU30" s="3">
        <v>0</v>
      </c>
      <c r="AV30" s="3">
        <v>0.93100000000000005</v>
      </c>
      <c r="AW30" s="3">
        <v>0</v>
      </c>
      <c r="AX30" s="3">
        <v>0.86299999999999999</v>
      </c>
      <c r="AY30" s="3">
        <v>0</v>
      </c>
      <c r="AZ30" s="3">
        <v>0.94499999999999995</v>
      </c>
      <c r="BA30" s="3">
        <v>0</v>
      </c>
      <c r="BB30" s="3">
        <v>0.95099999999999996</v>
      </c>
      <c r="BC30" s="3">
        <v>0.94850000000000001</v>
      </c>
      <c r="BD30" s="3">
        <v>0.89149999999999996</v>
      </c>
      <c r="BE30" s="3">
        <v>0.92349999999999999</v>
      </c>
      <c r="BF30" s="3">
        <v>0.98033333300000003</v>
      </c>
      <c r="BG30" s="3">
        <v>0.898416667</v>
      </c>
      <c r="BH30" s="3">
        <v>0.97499999999999998</v>
      </c>
      <c r="BI30" s="3">
        <v>0.89500000000000002</v>
      </c>
      <c r="BJ30" s="3">
        <v>0.84833333300000002</v>
      </c>
      <c r="BK30" s="3">
        <v>0.87849999999999995</v>
      </c>
      <c r="BL30" s="3">
        <v>0.98399999999999999</v>
      </c>
      <c r="BM30" s="3">
        <v>0.01</v>
      </c>
      <c r="BN30" s="3">
        <v>0.93533333299999999</v>
      </c>
      <c r="BO30" s="3">
        <v>0.97799999999999998</v>
      </c>
      <c r="BP30" s="48" t="s">
        <v>315</v>
      </c>
      <c r="BQ30" s="49" t="s">
        <v>332</v>
      </c>
      <c r="BR30" s="3">
        <v>8.8249999999999993</v>
      </c>
      <c r="BS30" s="3">
        <v>8.4819999999999993</v>
      </c>
      <c r="BT30" s="3">
        <v>5.9809999999999999</v>
      </c>
      <c r="BU30" s="3">
        <v>3.2149999999999999</v>
      </c>
      <c r="BV30" s="3">
        <v>9.3879999999999999</v>
      </c>
      <c r="BW30" s="3">
        <v>6.0179999999999998</v>
      </c>
      <c r="BX30" s="3">
        <v>1.351</v>
      </c>
      <c r="BY30" s="3">
        <v>9.2609999999999992</v>
      </c>
      <c r="BZ30" s="3">
        <v>9.2639999999999993</v>
      </c>
      <c r="CA30" s="3">
        <v>9.7379999999999995</v>
      </c>
      <c r="CB30" s="3">
        <v>8.9459999999999997</v>
      </c>
      <c r="CC30" s="3">
        <v>8.8879999999999999</v>
      </c>
      <c r="CD30" s="3">
        <v>8.3409999999999993</v>
      </c>
    </row>
    <row r="31" spans="1:82" x14ac:dyDescent="0.3">
      <c r="A31" s="48" t="s">
        <v>315</v>
      </c>
      <c r="B31" s="49" t="s">
        <v>333</v>
      </c>
      <c r="C31" s="3">
        <v>29.1374204</v>
      </c>
      <c r="D31" s="3">
        <v>21.605528400000001</v>
      </c>
      <c r="E31" s="3">
        <v>21.605528400000001</v>
      </c>
      <c r="F31" s="3">
        <v>24.973722800000001</v>
      </c>
      <c r="G31" s="3">
        <v>21.605528400000001</v>
      </c>
      <c r="H31" s="3">
        <v>21.605528400000001</v>
      </c>
      <c r="I31" s="48" t="s">
        <v>315</v>
      </c>
      <c r="J31" s="49" t="s">
        <v>333</v>
      </c>
      <c r="K31" s="3">
        <v>25236</v>
      </c>
      <c r="L31" s="48" t="s">
        <v>315</v>
      </c>
      <c r="M31" s="49" t="s">
        <v>333</v>
      </c>
      <c r="N31" s="3">
        <v>1317.6252480000001</v>
      </c>
      <c r="O31" s="3">
        <v>1699.062109</v>
      </c>
      <c r="P31" s="3">
        <v>697.88013390000003</v>
      </c>
      <c r="Q31" s="3">
        <v>1027.718247</v>
      </c>
      <c r="R31" s="3">
        <v>1497.430531</v>
      </c>
      <c r="S31" s="3">
        <v>1360.7083580000001</v>
      </c>
      <c r="T31" s="3">
        <v>799.48211819999995</v>
      </c>
      <c r="U31" s="3">
        <v>424.60867999999999</v>
      </c>
      <c r="V31" s="3">
        <v>693.72995849999995</v>
      </c>
      <c r="W31" s="3">
        <v>105.39712419999999</v>
      </c>
      <c r="X31" s="3">
        <v>907.99761539999997</v>
      </c>
      <c r="Y31" s="3">
        <v>37.679564370000001</v>
      </c>
      <c r="Z31" s="3">
        <v>644.32730730000003</v>
      </c>
      <c r="AA31" s="48" t="s">
        <v>315</v>
      </c>
      <c r="AB31" s="49" t="s">
        <v>333</v>
      </c>
      <c r="AC31" s="3">
        <v>0</v>
      </c>
      <c r="AD31" s="3">
        <v>0.86799999999999999</v>
      </c>
      <c r="AE31" s="3">
        <v>0</v>
      </c>
      <c r="AF31" s="3">
        <v>0.86099999999999999</v>
      </c>
      <c r="AG31" s="3">
        <v>0</v>
      </c>
      <c r="AH31" s="3">
        <v>0.746</v>
      </c>
      <c r="AI31" s="3">
        <v>0</v>
      </c>
      <c r="AJ31" s="3">
        <v>0.92100000000000004</v>
      </c>
      <c r="AK31" s="3">
        <v>0</v>
      </c>
      <c r="AL31" s="3">
        <v>0.626</v>
      </c>
      <c r="AM31" s="3">
        <v>0</v>
      </c>
      <c r="AN31" s="3">
        <v>0.80300000000000005</v>
      </c>
      <c r="AO31" s="3">
        <v>0</v>
      </c>
      <c r="AP31" s="3">
        <v>0.80300000000000005</v>
      </c>
      <c r="AQ31" s="3">
        <v>0</v>
      </c>
      <c r="AR31" s="3">
        <v>0.96499999999999997</v>
      </c>
      <c r="AS31" s="3">
        <v>0</v>
      </c>
      <c r="AT31" s="3">
        <v>0.93899999999999995</v>
      </c>
      <c r="AU31" s="3">
        <v>0</v>
      </c>
      <c r="AV31" s="3">
        <v>0.95699999999999996</v>
      </c>
      <c r="AW31" s="3">
        <v>0</v>
      </c>
      <c r="AX31" s="3">
        <v>0.90100000000000002</v>
      </c>
      <c r="AY31" s="3">
        <v>0</v>
      </c>
      <c r="AZ31" s="3">
        <v>0.97</v>
      </c>
      <c r="BA31" s="3">
        <v>0</v>
      </c>
      <c r="BB31" s="3">
        <v>0.97799999999999998</v>
      </c>
      <c r="BC31" s="3">
        <v>0.9395</v>
      </c>
      <c r="BD31" s="3">
        <v>0.877</v>
      </c>
      <c r="BE31" s="3">
        <v>0.92849999999999999</v>
      </c>
      <c r="BF31" s="3">
        <v>0.98133333300000003</v>
      </c>
      <c r="BG31" s="3">
        <v>0.86475000000000002</v>
      </c>
      <c r="BH31" s="3">
        <v>0.97699999999999998</v>
      </c>
      <c r="BI31" s="3">
        <v>0.89549999999999996</v>
      </c>
      <c r="BJ31" s="3">
        <v>0.79</v>
      </c>
      <c r="BK31" s="3">
        <v>0.83050000000000002</v>
      </c>
      <c r="BL31" s="3">
        <v>0.98499999999999999</v>
      </c>
      <c r="BM31" s="3">
        <v>0.01</v>
      </c>
      <c r="BN31" s="3">
        <v>0.93300000000000005</v>
      </c>
      <c r="BO31" s="3">
        <v>0.98399999999999999</v>
      </c>
      <c r="BP31" s="48" t="s">
        <v>315</v>
      </c>
      <c r="BQ31" s="49" t="s">
        <v>333</v>
      </c>
      <c r="BR31" s="3">
        <v>8.8840000000000003</v>
      </c>
      <c r="BS31" s="3">
        <v>8.7690000000000001</v>
      </c>
      <c r="BT31" s="3">
        <v>7.4379999999999997</v>
      </c>
      <c r="BU31" s="3">
        <v>4.391</v>
      </c>
      <c r="BV31" s="3">
        <v>9.3460000000000001</v>
      </c>
      <c r="BW31" s="3">
        <v>6.1159999999999997</v>
      </c>
      <c r="BX31" s="3">
        <v>1.333</v>
      </c>
      <c r="BY31" s="3">
        <v>9.173</v>
      </c>
      <c r="BZ31" s="3">
        <v>9.1639999999999997</v>
      </c>
      <c r="CA31" s="3">
        <v>9.9329999999999998</v>
      </c>
      <c r="CB31" s="3">
        <v>8.9909999999999997</v>
      </c>
      <c r="CC31" s="3">
        <v>8.8350000000000009</v>
      </c>
      <c r="CD31" s="3">
        <v>8.2219999999999995</v>
      </c>
    </row>
    <row r="32" spans="1:82" x14ac:dyDescent="0.3">
      <c r="A32" s="48" t="s">
        <v>315</v>
      </c>
      <c r="B32" s="49" t="s">
        <v>334</v>
      </c>
      <c r="C32" s="3">
        <v>28.8666108</v>
      </c>
      <c r="D32" s="3">
        <v>29.619800000000001</v>
      </c>
      <c r="E32" s="3">
        <v>29.619800000000001</v>
      </c>
      <c r="F32" s="3">
        <v>25.6338212</v>
      </c>
      <c r="G32" s="3">
        <v>25.6338212</v>
      </c>
      <c r="H32" s="3">
        <v>29.619800000000001</v>
      </c>
      <c r="I32" s="48" t="s">
        <v>315</v>
      </c>
      <c r="J32" s="49" t="s">
        <v>334</v>
      </c>
      <c r="K32" s="3">
        <v>26472</v>
      </c>
      <c r="L32" s="48" t="s">
        <v>315</v>
      </c>
      <c r="M32" s="49" t="s">
        <v>334</v>
      </c>
      <c r="N32" s="3">
        <v>1814.3696319999999</v>
      </c>
      <c r="O32" s="3">
        <v>2302.3630149999999</v>
      </c>
      <c r="P32" s="3">
        <v>896.41770220000001</v>
      </c>
      <c r="Q32" s="3">
        <v>1249.8424050000001</v>
      </c>
      <c r="R32" s="3">
        <v>2048.4645249999999</v>
      </c>
      <c r="S32" s="3">
        <v>2014.628408</v>
      </c>
      <c r="T32" s="3">
        <v>1331.8183529999999</v>
      </c>
      <c r="U32" s="3">
        <v>1074.5431799999999</v>
      </c>
      <c r="V32" s="3">
        <v>1138.8103739999999</v>
      </c>
      <c r="W32" s="3">
        <v>357.75490769999999</v>
      </c>
      <c r="X32" s="3">
        <v>1401.961978</v>
      </c>
      <c r="Y32" s="3">
        <v>6.7141173949999997</v>
      </c>
      <c r="Z32" s="3">
        <v>787.63180390000002</v>
      </c>
      <c r="AA32" s="48" t="s">
        <v>315</v>
      </c>
      <c r="AB32" s="49" t="s">
        <v>334</v>
      </c>
      <c r="AC32" s="3">
        <v>0</v>
      </c>
      <c r="AD32" s="3">
        <v>0.89100000000000001</v>
      </c>
      <c r="AE32" s="3">
        <v>0</v>
      </c>
      <c r="AF32" s="3">
        <v>0.88800000000000001</v>
      </c>
      <c r="AG32" s="3">
        <v>0</v>
      </c>
      <c r="AH32" s="3">
        <v>0.83299999999999996</v>
      </c>
      <c r="AI32" s="3">
        <v>0</v>
      </c>
      <c r="AJ32" s="3">
        <v>0.95199999999999996</v>
      </c>
      <c r="AK32" s="3">
        <v>0</v>
      </c>
      <c r="AL32" s="3">
        <v>0.86399999999999999</v>
      </c>
      <c r="AM32" s="3">
        <v>0</v>
      </c>
      <c r="AN32" s="3">
        <v>0.83599999999999997</v>
      </c>
      <c r="AO32" s="3">
        <v>0</v>
      </c>
      <c r="AP32" s="3">
        <v>0.83599999999999997</v>
      </c>
      <c r="AQ32" s="3">
        <v>0</v>
      </c>
      <c r="AR32" s="3">
        <v>0.97599999999999998</v>
      </c>
      <c r="AS32" s="3">
        <v>0</v>
      </c>
      <c r="AT32" s="3">
        <v>0.97499999999999998</v>
      </c>
      <c r="AU32" s="3">
        <v>0</v>
      </c>
      <c r="AV32" s="3">
        <v>0.97099999999999997</v>
      </c>
      <c r="AW32" s="3">
        <v>0</v>
      </c>
      <c r="AX32" s="3">
        <v>0.94699999999999995</v>
      </c>
      <c r="AY32" s="3">
        <v>0</v>
      </c>
      <c r="AZ32" s="3">
        <v>0.98799999999999999</v>
      </c>
      <c r="BA32" s="3">
        <v>0</v>
      </c>
      <c r="BB32" s="3">
        <v>0.98899999999999999</v>
      </c>
      <c r="BC32" s="3">
        <v>0.92900000000000005</v>
      </c>
      <c r="BD32" s="3">
        <v>0.86399999999999999</v>
      </c>
      <c r="BE32" s="3">
        <v>0.93400000000000005</v>
      </c>
      <c r="BF32" s="3">
        <v>0.98266666700000005</v>
      </c>
      <c r="BG32" s="3">
        <v>0.85599999999999998</v>
      </c>
      <c r="BH32" s="3">
        <v>0.97799999999999998</v>
      </c>
      <c r="BI32" s="3">
        <v>0.90249999999999997</v>
      </c>
      <c r="BJ32" s="3">
        <v>0.78300000000000003</v>
      </c>
      <c r="BK32" s="3">
        <v>0.82550000000000001</v>
      </c>
      <c r="BL32" s="3">
        <v>0.98599999999999999</v>
      </c>
      <c r="BM32" s="3">
        <v>0.01</v>
      </c>
      <c r="BN32" s="3">
        <v>0.930666667</v>
      </c>
      <c r="BO32" s="3">
        <v>0.98</v>
      </c>
      <c r="BP32" s="48" t="s">
        <v>315</v>
      </c>
      <c r="BQ32" s="49" t="s">
        <v>334</v>
      </c>
      <c r="BR32" s="3">
        <v>8.9329999999999998</v>
      </c>
      <c r="BS32" s="3">
        <v>8.84</v>
      </c>
      <c r="BT32" s="3">
        <v>8.2759999999999998</v>
      </c>
      <c r="BU32" s="3">
        <v>5.899</v>
      </c>
      <c r="BV32" s="3">
        <v>9.3759999999999994</v>
      </c>
      <c r="BW32" s="3">
        <v>6.53</v>
      </c>
      <c r="BX32" s="3">
        <v>1.6679999999999999</v>
      </c>
      <c r="BY32" s="3">
        <v>9.0500000000000007</v>
      </c>
      <c r="BZ32" s="3">
        <v>9.2479999999999993</v>
      </c>
      <c r="CA32" s="3">
        <v>9.9290000000000003</v>
      </c>
      <c r="CB32" s="3">
        <v>8.9949999999999992</v>
      </c>
      <c r="CC32" s="3">
        <v>8.73</v>
      </c>
      <c r="CD32" s="3">
        <v>7.76</v>
      </c>
    </row>
    <row r="33" spans="1:82" x14ac:dyDescent="0.3">
      <c r="A33" s="48" t="s">
        <v>315</v>
      </c>
      <c r="B33" s="49" t="s">
        <v>335</v>
      </c>
      <c r="C33" s="3">
        <v>28.324991600000001</v>
      </c>
      <c r="D33" s="3">
        <v>38.937342800000003</v>
      </c>
      <c r="E33" s="3">
        <v>38.937342800000003</v>
      </c>
      <c r="F33" s="3">
        <v>26.3531592</v>
      </c>
      <c r="G33" s="3">
        <v>26.3531592</v>
      </c>
      <c r="H33" s="3">
        <v>38.937342800000003</v>
      </c>
      <c r="I33" s="48" t="s">
        <v>315</v>
      </c>
      <c r="J33" s="49" t="s">
        <v>335</v>
      </c>
      <c r="K33" s="3">
        <v>30515</v>
      </c>
      <c r="L33" s="48" t="s">
        <v>315</v>
      </c>
      <c r="M33" s="49" t="s">
        <v>335</v>
      </c>
      <c r="N33" s="3">
        <v>2400.3596379999999</v>
      </c>
      <c r="O33" s="3">
        <v>2842.1094750000002</v>
      </c>
      <c r="P33" s="3">
        <v>1829.4263430000001</v>
      </c>
      <c r="Q33" s="3">
        <v>2102.0890650000001</v>
      </c>
      <c r="R33" s="3">
        <v>2588.6323259999999</v>
      </c>
      <c r="S33" s="3">
        <v>2696.7972759999998</v>
      </c>
      <c r="T33" s="3">
        <v>2610.328657</v>
      </c>
      <c r="U33" s="3">
        <v>3221.9989439999999</v>
      </c>
      <c r="V33" s="3">
        <v>2616.7715050000002</v>
      </c>
      <c r="W33" s="3">
        <v>1337.066041</v>
      </c>
      <c r="X33" s="3">
        <v>1290.0583710000001</v>
      </c>
      <c r="Y33" s="3">
        <v>102.2315455</v>
      </c>
      <c r="Z33" s="3">
        <v>331.57659000000001</v>
      </c>
      <c r="AA33" s="48" t="s">
        <v>315</v>
      </c>
      <c r="AB33" s="49" t="s">
        <v>335</v>
      </c>
      <c r="AC33" s="3">
        <v>0</v>
      </c>
      <c r="AD33" s="3">
        <v>0.94099999999999995</v>
      </c>
      <c r="AE33" s="3">
        <v>0</v>
      </c>
      <c r="AF33" s="3">
        <v>0.91900000000000004</v>
      </c>
      <c r="AG33" s="3">
        <v>0</v>
      </c>
      <c r="AH33" s="3">
        <v>0.90100000000000002</v>
      </c>
      <c r="AI33" s="3">
        <v>0</v>
      </c>
      <c r="AJ33" s="3">
        <v>0.97399999999999998</v>
      </c>
      <c r="AK33" s="3">
        <v>0</v>
      </c>
      <c r="AL33" s="3">
        <v>0.97199999999999998</v>
      </c>
      <c r="AM33" s="3">
        <v>0</v>
      </c>
      <c r="AN33" s="3">
        <v>0.86099999999999999</v>
      </c>
      <c r="AO33" s="3">
        <v>0</v>
      </c>
      <c r="AP33" s="3">
        <v>0.86099999999999999</v>
      </c>
      <c r="AQ33" s="3">
        <v>0</v>
      </c>
      <c r="AR33" s="3">
        <v>0.98899999999999999</v>
      </c>
      <c r="AS33" s="3">
        <v>0</v>
      </c>
      <c r="AT33" s="3">
        <v>0.98799999999999999</v>
      </c>
      <c r="AU33" s="3">
        <v>0</v>
      </c>
      <c r="AV33" s="3">
        <v>0.98099999999999998</v>
      </c>
      <c r="AW33" s="3">
        <v>0</v>
      </c>
      <c r="AX33" s="3">
        <v>0.97599999999999998</v>
      </c>
      <c r="AY33" s="3">
        <v>0</v>
      </c>
      <c r="AZ33" s="3">
        <v>0.99299999999999999</v>
      </c>
      <c r="BA33" s="3">
        <v>0</v>
      </c>
      <c r="BB33" s="3">
        <v>0.99099999999999999</v>
      </c>
      <c r="BC33" s="3">
        <v>0.93100000000000005</v>
      </c>
      <c r="BD33" s="3">
        <v>0.88749999999999996</v>
      </c>
      <c r="BE33" s="3">
        <v>0.9425</v>
      </c>
      <c r="BF33" s="3">
        <v>0.98399999999999999</v>
      </c>
      <c r="BG33" s="3">
        <v>0.85883333399999995</v>
      </c>
      <c r="BH33" s="3">
        <v>0.98099999999999998</v>
      </c>
      <c r="BI33" s="3">
        <v>0.92149999999999999</v>
      </c>
      <c r="BJ33" s="3">
        <v>0.78666666699999999</v>
      </c>
      <c r="BK33" s="3">
        <v>0.81899999999999995</v>
      </c>
      <c r="BL33" s="3">
        <v>0.98899999999999999</v>
      </c>
      <c r="BM33" s="3">
        <v>0.01</v>
      </c>
      <c r="BN33" s="3">
        <v>0.930666667</v>
      </c>
      <c r="BO33" s="3">
        <v>0.97799999999999998</v>
      </c>
      <c r="BP33" s="48" t="s">
        <v>315</v>
      </c>
      <c r="BQ33" s="49" t="s">
        <v>335</v>
      </c>
      <c r="BR33" s="3">
        <v>9.1349999999999998</v>
      </c>
      <c r="BS33" s="3">
        <v>8.9670000000000005</v>
      </c>
      <c r="BT33" s="3">
        <v>8.4949999999999992</v>
      </c>
      <c r="BU33" s="3">
        <v>6.8390000000000004</v>
      </c>
      <c r="BV33" s="3">
        <v>9.6310000000000002</v>
      </c>
      <c r="BW33" s="3">
        <v>7.3380000000000001</v>
      </c>
      <c r="BX33" s="3">
        <v>1.9019999999999999</v>
      </c>
      <c r="BY33" s="3">
        <v>9.0869999999999997</v>
      </c>
      <c r="BZ33" s="3">
        <v>9.4689999999999994</v>
      </c>
      <c r="CA33" s="3">
        <v>9.8040000000000003</v>
      </c>
      <c r="CB33" s="3">
        <v>8.7219999999999995</v>
      </c>
      <c r="CC33" s="3">
        <v>8.2289999999999992</v>
      </c>
      <c r="CD33" s="3">
        <v>6.4509999999999996</v>
      </c>
    </row>
    <row r="34" spans="1:82" x14ac:dyDescent="0.3">
      <c r="A34" s="48" t="s">
        <v>315</v>
      </c>
      <c r="B34" s="49" t="s">
        <v>336</v>
      </c>
      <c r="C34" s="3">
        <v>29.5436348</v>
      </c>
      <c r="D34" s="3">
        <v>41.163059199999999</v>
      </c>
      <c r="E34" s="3">
        <v>40.875323999999999</v>
      </c>
      <c r="F34" s="3">
        <v>26.945555200000001</v>
      </c>
      <c r="G34" s="3">
        <v>26.945555200000001</v>
      </c>
      <c r="H34" s="3">
        <v>40.985340399999998</v>
      </c>
      <c r="I34" s="48" t="s">
        <v>315</v>
      </c>
      <c r="J34" s="49" t="s">
        <v>336</v>
      </c>
      <c r="K34" s="3">
        <v>35315</v>
      </c>
      <c r="L34" s="48" t="s">
        <v>315</v>
      </c>
      <c r="M34" s="49" t="s">
        <v>336</v>
      </c>
      <c r="N34" s="3">
        <v>5983.4761580000004</v>
      </c>
      <c r="O34" s="3">
        <v>6814.2717030000003</v>
      </c>
      <c r="P34" s="3">
        <v>4288.0393309999999</v>
      </c>
      <c r="Q34" s="3">
        <v>3899.937829</v>
      </c>
      <c r="R34" s="3">
        <v>6149.4821540000003</v>
      </c>
      <c r="S34" s="3">
        <v>7030.4722080000001</v>
      </c>
      <c r="T34" s="3">
        <v>6075.3521909999999</v>
      </c>
      <c r="U34" s="3">
        <v>8401.3662710000008</v>
      </c>
      <c r="V34" s="3">
        <v>6202.0986780000003</v>
      </c>
      <c r="W34" s="3">
        <v>4400.8347080000003</v>
      </c>
      <c r="X34" s="3">
        <v>4555.8529630000003</v>
      </c>
      <c r="Y34" s="3">
        <v>504.67924859999999</v>
      </c>
      <c r="Z34" s="3">
        <v>1457.928343</v>
      </c>
      <c r="AA34" s="48" t="s">
        <v>315</v>
      </c>
      <c r="AB34" s="49" t="s">
        <v>336</v>
      </c>
      <c r="AC34" s="3">
        <v>4.9000000000000002E-2</v>
      </c>
      <c r="AD34" s="3">
        <v>0.96599999999999997</v>
      </c>
      <c r="AE34" s="3">
        <v>2.1000000000000001E-2</v>
      </c>
      <c r="AF34" s="3">
        <v>0.95499999999999996</v>
      </c>
      <c r="AG34" s="3">
        <v>2.1000000000000001E-2</v>
      </c>
      <c r="AH34" s="3">
        <v>0.93</v>
      </c>
      <c r="AI34" s="3">
        <v>4.0000000000000001E-3</v>
      </c>
      <c r="AJ34" s="3">
        <v>0.98199999999999998</v>
      </c>
      <c r="AK34" s="3">
        <v>2.9000000000000001E-2</v>
      </c>
      <c r="AL34" s="3">
        <v>0.98799999999999999</v>
      </c>
      <c r="AM34" s="3">
        <v>1.2E-2</v>
      </c>
      <c r="AN34" s="3">
        <v>0.86799999999999999</v>
      </c>
      <c r="AO34" s="3">
        <v>0</v>
      </c>
      <c r="AP34" s="3">
        <v>0.86799999999999999</v>
      </c>
      <c r="AQ34" s="3">
        <v>4.8000000000000001E-2</v>
      </c>
      <c r="AR34" s="3">
        <v>0.99299999999999999</v>
      </c>
      <c r="AS34" s="3">
        <v>1.6E-2</v>
      </c>
      <c r="AT34" s="3">
        <v>0.99099999999999999</v>
      </c>
      <c r="AU34" s="3">
        <v>1.6E-2</v>
      </c>
      <c r="AV34" s="3">
        <v>0.99</v>
      </c>
      <c r="AW34" s="3">
        <v>8.0000000000000002E-3</v>
      </c>
      <c r="AX34" s="3">
        <v>0.98899999999999999</v>
      </c>
      <c r="AY34" s="3">
        <v>1.0999999999999999E-2</v>
      </c>
      <c r="AZ34" s="3">
        <v>0.99299999999999999</v>
      </c>
      <c r="BA34" s="3">
        <v>5.0000000000000001E-3</v>
      </c>
      <c r="BB34" s="3">
        <v>0.99299999999999999</v>
      </c>
      <c r="BC34" s="3">
        <v>0.9335</v>
      </c>
      <c r="BD34" s="3">
        <v>0.90500000000000003</v>
      </c>
      <c r="BE34" s="3">
        <v>0.94650000000000001</v>
      </c>
      <c r="BF34" s="3">
        <v>0.98599999999999999</v>
      </c>
      <c r="BG34" s="3">
        <v>0.84824999999999995</v>
      </c>
      <c r="BH34" s="3">
        <v>0.98399999999999999</v>
      </c>
      <c r="BI34" s="3">
        <v>0.95650000000000002</v>
      </c>
      <c r="BJ34" s="3">
        <v>0.76300000000000001</v>
      </c>
      <c r="BK34" s="3">
        <v>0.83050000000000002</v>
      </c>
      <c r="BL34" s="3">
        <v>0.99033333300000004</v>
      </c>
      <c r="BM34" s="3">
        <v>0.01</v>
      </c>
      <c r="BN34" s="3">
        <v>0.931666667</v>
      </c>
      <c r="BO34" s="3">
        <v>0.98299999999999998</v>
      </c>
      <c r="BP34" s="48" t="s">
        <v>315</v>
      </c>
      <c r="BQ34" s="49" t="s">
        <v>336</v>
      </c>
      <c r="BR34" s="3">
        <v>9.5679999999999996</v>
      </c>
      <c r="BS34" s="3">
        <v>9.0190000000000001</v>
      </c>
      <c r="BT34" s="3">
        <v>8.375</v>
      </c>
      <c r="BU34" s="3">
        <v>6.883</v>
      </c>
      <c r="BV34" s="3">
        <v>9.7880000000000003</v>
      </c>
      <c r="BW34" s="3">
        <v>7.5789999999999997</v>
      </c>
      <c r="BX34" s="3">
        <v>1.909</v>
      </c>
      <c r="BY34" s="3">
        <v>9.3130000000000006</v>
      </c>
      <c r="BZ34" s="3">
        <v>9.7119999999999997</v>
      </c>
      <c r="CA34" s="3">
        <v>9.3699999999999992</v>
      </c>
      <c r="CB34" s="3">
        <v>7.8150000000000004</v>
      </c>
      <c r="CC34" s="3">
        <v>7.0570000000000004</v>
      </c>
      <c r="CD34" s="3">
        <v>4.9390000000000001</v>
      </c>
    </row>
    <row r="35" spans="1:82" x14ac:dyDescent="0.3">
      <c r="A35" s="48" t="s">
        <v>315</v>
      </c>
      <c r="B35" s="49" t="s">
        <v>337</v>
      </c>
      <c r="C35" s="3">
        <v>34.020456000000003</v>
      </c>
      <c r="D35" s="3">
        <v>39.275854799999998</v>
      </c>
      <c r="E35" s="3">
        <v>39.275854799999998</v>
      </c>
      <c r="F35" s="3">
        <v>27.131736799999999</v>
      </c>
      <c r="G35" s="3">
        <v>27.131736799999999</v>
      </c>
      <c r="H35" s="3">
        <v>39.275854799999998</v>
      </c>
      <c r="I35" s="48" t="s">
        <v>315</v>
      </c>
      <c r="J35" s="49" t="s">
        <v>337</v>
      </c>
      <c r="K35" s="3">
        <v>37247</v>
      </c>
      <c r="L35" s="48" t="s">
        <v>315</v>
      </c>
      <c r="M35" s="49" t="s">
        <v>337</v>
      </c>
      <c r="N35" s="3">
        <v>6455.2417969999997</v>
      </c>
      <c r="O35" s="3">
        <v>8515.4517080000005</v>
      </c>
      <c r="P35" s="3">
        <v>5185.6894830000001</v>
      </c>
      <c r="Q35" s="3">
        <v>4829.3394500000004</v>
      </c>
      <c r="R35" s="3">
        <v>7129.0128539999996</v>
      </c>
      <c r="S35" s="3">
        <v>9113.4910369999998</v>
      </c>
      <c r="T35" s="3">
        <v>8028.5375750000003</v>
      </c>
      <c r="U35" s="3">
        <v>9061.2916920000007</v>
      </c>
      <c r="V35" s="3">
        <v>6818.9880549999998</v>
      </c>
      <c r="W35" s="3">
        <v>5413.9475419999999</v>
      </c>
      <c r="X35" s="3">
        <v>5950.2834030000004</v>
      </c>
      <c r="Y35" s="3">
        <v>748.34305510000002</v>
      </c>
      <c r="Z35" s="3">
        <v>2803.4711779999998</v>
      </c>
      <c r="AA35" s="48" t="s">
        <v>315</v>
      </c>
      <c r="AB35" s="49" t="s">
        <v>337</v>
      </c>
      <c r="AC35" s="3">
        <v>0.123</v>
      </c>
      <c r="AD35" s="3">
        <v>0.98499999999999999</v>
      </c>
      <c r="AE35" s="3">
        <v>0.1</v>
      </c>
      <c r="AF35" s="3">
        <v>0.98199999999999998</v>
      </c>
      <c r="AG35" s="3">
        <v>0.109</v>
      </c>
      <c r="AH35" s="3">
        <v>0.95199999999999996</v>
      </c>
      <c r="AI35" s="3">
        <v>4.3999999999999997E-2</v>
      </c>
      <c r="AJ35" s="3">
        <v>0.99</v>
      </c>
      <c r="AK35" s="3">
        <v>8.5000000000000006E-2</v>
      </c>
      <c r="AL35" s="3">
        <v>0.99299999999999999</v>
      </c>
      <c r="AM35" s="3">
        <v>8.4000000000000005E-2</v>
      </c>
      <c r="AN35" s="3">
        <v>0.871</v>
      </c>
      <c r="AO35" s="3">
        <v>1.4999999999999999E-2</v>
      </c>
      <c r="AP35" s="3">
        <v>0.871</v>
      </c>
      <c r="AQ35" s="3">
        <v>0.13300000000000001</v>
      </c>
      <c r="AR35" s="3">
        <v>0.99299999999999999</v>
      </c>
      <c r="AS35" s="3">
        <v>7.3999999999999996E-2</v>
      </c>
      <c r="AT35" s="3">
        <v>0.99299999999999999</v>
      </c>
      <c r="AU35" s="3">
        <v>7.2999999999999995E-2</v>
      </c>
      <c r="AV35" s="3">
        <v>0.98799999999999999</v>
      </c>
      <c r="AW35" s="3">
        <v>6.4000000000000001E-2</v>
      </c>
      <c r="AX35" s="3">
        <v>0.99199999999999999</v>
      </c>
      <c r="AY35" s="3">
        <v>7.9000000000000001E-2</v>
      </c>
      <c r="AZ35" s="3">
        <v>0.99299999999999999</v>
      </c>
      <c r="BA35" s="3">
        <v>6.5000000000000002E-2</v>
      </c>
      <c r="BB35" s="3">
        <v>0.99199999999999999</v>
      </c>
      <c r="BC35" s="3">
        <v>0.93500000000000005</v>
      </c>
      <c r="BD35" s="3">
        <v>0.89949999999999997</v>
      </c>
      <c r="BE35" s="3">
        <v>0.94499999999999995</v>
      </c>
      <c r="BF35" s="3">
        <v>0.98766666700000005</v>
      </c>
      <c r="BG35" s="3">
        <v>0.84266666700000004</v>
      </c>
      <c r="BH35" s="3">
        <v>0.98499999999999999</v>
      </c>
      <c r="BI35" s="3">
        <v>0.96950000000000003</v>
      </c>
      <c r="BJ35" s="3">
        <v>0.75033333300000005</v>
      </c>
      <c r="BK35" s="3">
        <v>0.84850000000000003</v>
      </c>
      <c r="BL35" s="3">
        <v>0.99</v>
      </c>
      <c r="BM35" s="3">
        <v>0.01</v>
      </c>
      <c r="BN35" s="3">
        <v>0.93533333299999999</v>
      </c>
      <c r="BO35" s="3">
        <v>0.99099999999999999</v>
      </c>
      <c r="BP35" s="48" t="s">
        <v>315</v>
      </c>
      <c r="BQ35" s="49" t="s">
        <v>337</v>
      </c>
      <c r="BR35" s="3">
        <v>9.9930000000000003</v>
      </c>
      <c r="BS35" s="3">
        <v>8.8040000000000003</v>
      </c>
      <c r="BT35" s="3">
        <v>7.91</v>
      </c>
      <c r="BU35" s="3">
        <v>6.2009999999999996</v>
      </c>
      <c r="BV35" s="3">
        <v>9.9120000000000008</v>
      </c>
      <c r="BW35" s="3">
        <v>7.6070000000000002</v>
      </c>
      <c r="BX35" s="3">
        <v>1.712</v>
      </c>
      <c r="BY35" s="3">
        <v>9.6590000000000007</v>
      </c>
      <c r="BZ35" s="3">
        <v>10.026</v>
      </c>
      <c r="CA35" s="3">
        <v>8.4700000000000006</v>
      </c>
      <c r="CB35" s="3">
        <v>6.7190000000000003</v>
      </c>
      <c r="CC35" s="3">
        <v>6.6769999999999996</v>
      </c>
      <c r="CD35" s="3">
        <v>4.5449999999999999</v>
      </c>
    </row>
    <row r="36" spans="1:82" x14ac:dyDescent="0.3">
      <c r="A36" s="48" t="s">
        <v>315</v>
      </c>
      <c r="B36" s="49" t="s">
        <v>338</v>
      </c>
      <c r="C36" s="3">
        <v>42.203983600000001</v>
      </c>
      <c r="D36" s="3">
        <v>36.6947008</v>
      </c>
      <c r="E36" s="3">
        <v>36.6947008</v>
      </c>
      <c r="F36" s="3">
        <v>27.4448604</v>
      </c>
      <c r="G36" s="3">
        <v>27.4448604</v>
      </c>
      <c r="H36" s="3">
        <v>36.6947008</v>
      </c>
      <c r="I36" s="48" t="s">
        <v>315</v>
      </c>
      <c r="J36" s="49" t="s">
        <v>338</v>
      </c>
      <c r="K36" s="3">
        <v>38023</v>
      </c>
      <c r="L36" s="48" t="s">
        <v>315</v>
      </c>
      <c r="M36" s="49" t="s">
        <v>338</v>
      </c>
      <c r="N36" s="3">
        <v>4819.1801759999998</v>
      </c>
      <c r="O36" s="3">
        <v>7041.1189510000004</v>
      </c>
      <c r="P36" s="3">
        <v>4632.4600069999997</v>
      </c>
      <c r="Q36" s="3">
        <v>4419.5110679999998</v>
      </c>
      <c r="R36" s="3">
        <v>5837.6349069999997</v>
      </c>
      <c r="S36" s="3">
        <v>8483.5393729999996</v>
      </c>
      <c r="T36" s="3">
        <v>7278.8939929999997</v>
      </c>
      <c r="U36" s="3">
        <v>6635.1995290000004</v>
      </c>
      <c r="V36" s="3">
        <v>5055.6024319999997</v>
      </c>
      <c r="W36" s="3">
        <v>4003.799892</v>
      </c>
      <c r="X36" s="3">
        <v>5359.1078470000002</v>
      </c>
      <c r="Y36" s="3">
        <v>729.91661999999997</v>
      </c>
      <c r="Z36" s="3">
        <v>2839.2672819999998</v>
      </c>
      <c r="AA36" s="48" t="s">
        <v>315</v>
      </c>
      <c r="AB36" s="49" t="s">
        <v>338</v>
      </c>
      <c r="AC36" s="3">
        <v>0.16400000000000001</v>
      </c>
      <c r="AD36" s="3">
        <v>0.99299999999999999</v>
      </c>
      <c r="AE36" s="3">
        <v>0.21199999999999999</v>
      </c>
      <c r="AF36" s="3">
        <v>0.99099999999999999</v>
      </c>
      <c r="AG36" s="3">
        <v>0.192</v>
      </c>
      <c r="AH36" s="3">
        <v>0.95299999999999996</v>
      </c>
      <c r="AI36" s="3">
        <v>9.7000000000000003E-2</v>
      </c>
      <c r="AJ36" s="3">
        <v>0.99199999999999999</v>
      </c>
      <c r="AK36" s="3">
        <v>0.14799999999999999</v>
      </c>
      <c r="AL36" s="3">
        <v>0.99199999999999999</v>
      </c>
      <c r="AM36" s="3">
        <v>0.158</v>
      </c>
      <c r="AN36" s="3">
        <v>0.94299999999999995</v>
      </c>
      <c r="AO36" s="3">
        <v>4.8000000000000001E-2</v>
      </c>
      <c r="AP36" s="3">
        <v>0.94299999999999995</v>
      </c>
      <c r="AQ36" s="3">
        <v>0.186</v>
      </c>
      <c r="AR36" s="3">
        <v>0.99099999999999999</v>
      </c>
      <c r="AS36" s="3">
        <v>0.13300000000000001</v>
      </c>
      <c r="AT36" s="3">
        <v>0.99299999999999999</v>
      </c>
      <c r="AU36" s="3">
        <v>0.13200000000000001</v>
      </c>
      <c r="AV36" s="3">
        <v>0.99199999999999999</v>
      </c>
      <c r="AW36" s="3">
        <v>0.14299999999999999</v>
      </c>
      <c r="AX36" s="3">
        <v>0.99299999999999999</v>
      </c>
      <c r="AY36" s="3">
        <v>0.17399999999999999</v>
      </c>
      <c r="AZ36" s="3">
        <v>0.99299999999999999</v>
      </c>
      <c r="BA36" s="3">
        <v>0.112</v>
      </c>
      <c r="BB36" s="3">
        <v>0.99099999999999999</v>
      </c>
      <c r="BC36" s="3">
        <v>0.94799999999999995</v>
      </c>
      <c r="BD36" s="3">
        <v>0.93</v>
      </c>
      <c r="BE36" s="3">
        <v>0.95550000000000002</v>
      </c>
      <c r="BF36" s="3">
        <v>0.98899999999999999</v>
      </c>
      <c r="BG36" s="3">
        <v>0.89349999999999996</v>
      </c>
      <c r="BH36" s="3">
        <v>0.98599999999999999</v>
      </c>
      <c r="BI36" s="3">
        <v>0.96599999999999997</v>
      </c>
      <c r="BJ36" s="3">
        <v>0.83899999999999997</v>
      </c>
      <c r="BK36" s="3">
        <v>0.90349999999999997</v>
      </c>
      <c r="BL36" s="3">
        <v>0.98966666700000006</v>
      </c>
      <c r="BM36" s="3">
        <v>0.01</v>
      </c>
      <c r="BN36" s="3">
        <v>0.94699999999999995</v>
      </c>
      <c r="BO36" s="3">
        <v>0.99299999999999999</v>
      </c>
      <c r="BP36" s="48" t="s">
        <v>315</v>
      </c>
      <c r="BQ36" s="49" t="s">
        <v>338</v>
      </c>
      <c r="BR36" s="3">
        <v>9.9689999999999994</v>
      </c>
      <c r="BS36" s="3">
        <v>8.0169999999999995</v>
      </c>
      <c r="BT36" s="3">
        <v>6.8029999999999999</v>
      </c>
      <c r="BU36" s="3">
        <v>5.9180000000000001</v>
      </c>
      <c r="BV36" s="3">
        <v>9.6609999999999996</v>
      </c>
      <c r="BW36" s="3">
        <v>7.86</v>
      </c>
      <c r="BX36" s="3">
        <v>1.2969999999999999</v>
      </c>
      <c r="BY36" s="3">
        <v>10.148</v>
      </c>
      <c r="BZ36" s="3">
        <v>10.211</v>
      </c>
      <c r="CA36" s="3">
        <v>8.57</v>
      </c>
      <c r="CB36" s="3">
        <v>6.609</v>
      </c>
      <c r="CC36" s="3">
        <v>6.452</v>
      </c>
      <c r="CD36" s="3">
        <v>4.4850000000000003</v>
      </c>
    </row>
    <row r="37" spans="1:82" x14ac:dyDescent="0.3">
      <c r="A37" s="48" t="s">
        <v>315</v>
      </c>
      <c r="B37" s="49" t="s">
        <v>339</v>
      </c>
      <c r="C37" s="3">
        <v>39.842862400000001</v>
      </c>
      <c r="D37" s="3">
        <v>34.367430800000001</v>
      </c>
      <c r="E37" s="3">
        <v>34.367430800000001</v>
      </c>
      <c r="F37" s="3">
        <v>27.233290400000001</v>
      </c>
      <c r="G37" s="3">
        <v>27.233290400000001</v>
      </c>
      <c r="H37" s="3">
        <v>34.367430800000001</v>
      </c>
      <c r="I37" s="48" t="s">
        <v>315</v>
      </c>
      <c r="J37" s="49" t="s">
        <v>339</v>
      </c>
      <c r="K37" s="3">
        <v>37845.5</v>
      </c>
      <c r="L37" s="48" t="s">
        <v>315</v>
      </c>
      <c r="M37" s="49" t="s">
        <v>339</v>
      </c>
      <c r="N37" s="3">
        <v>3305.2189250000001</v>
      </c>
      <c r="O37" s="3">
        <v>5674.7678679999999</v>
      </c>
      <c r="P37" s="3">
        <v>3904.8983979999998</v>
      </c>
      <c r="Q37" s="3">
        <v>3613.9788659999999</v>
      </c>
      <c r="R37" s="3">
        <v>4095.5545950000001</v>
      </c>
      <c r="S37" s="3">
        <v>7519.4844279999998</v>
      </c>
      <c r="T37" s="3">
        <v>6406.4995829999998</v>
      </c>
      <c r="U37" s="3">
        <v>4598.0910249999997</v>
      </c>
      <c r="V37" s="3">
        <v>3453.6076280000002</v>
      </c>
      <c r="W37" s="3">
        <v>2704.8074350000002</v>
      </c>
      <c r="X37" s="3">
        <v>4480.4667630000004</v>
      </c>
      <c r="Y37" s="3">
        <v>634.42077429999995</v>
      </c>
      <c r="Z37" s="3">
        <v>2346.977856</v>
      </c>
      <c r="AA37" s="48" t="s">
        <v>315</v>
      </c>
      <c r="AB37" s="49" t="s">
        <v>339</v>
      </c>
      <c r="AC37" s="3">
        <v>0.216</v>
      </c>
      <c r="AD37" s="3">
        <v>0.99099999999999999</v>
      </c>
      <c r="AE37" s="3">
        <v>0.30399999999999999</v>
      </c>
      <c r="AF37" s="3">
        <v>0.99299999999999999</v>
      </c>
      <c r="AG37" s="3">
        <v>0.23699999999999999</v>
      </c>
      <c r="AH37" s="3">
        <v>0.94599999999999995</v>
      </c>
      <c r="AI37" s="3">
        <v>0.11700000000000001</v>
      </c>
      <c r="AJ37" s="3">
        <v>0.99299999999999999</v>
      </c>
      <c r="AK37" s="3">
        <v>0.21</v>
      </c>
      <c r="AL37" s="3">
        <v>0.97899999999999998</v>
      </c>
      <c r="AM37" s="3">
        <v>0.17199999999999999</v>
      </c>
      <c r="AN37" s="3">
        <v>0.97299999999999998</v>
      </c>
      <c r="AO37" s="3">
        <v>0.10199999999999999</v>
      </c>
      <c r="AP37" s="3">
        <v>0.97299999999999998</v>
      </c>
      <c r="AQ37" s="3">
        <v>0.22</v>
      </c>
      <c r="AR37" s="3">
        <v>0.99099999999999999</v>
      </c>
      <c r="AS37" s="3">
        <v>0.21</v>
      </c>
      <c r="AT37" s="3">
        <v>0.99299999999999999</v>
      </c>
      <c r="AU37" s="3">
        <v>0.20899999999999999</v>
      </c>
      <c r="AV37" s="3">
        <v>0.99299999999999999</v>
      </c>
      <c r="AW37" s="3">
        <v>0.21099999999999999</v>
      </c>
      <c r="AX37" s="3">
        <v>0.98799999999999999</v>
      </c>
      <c r="AY37" s="3">
        <v>0.222</v>
      </c>
      <c r="AZ37" s="3">
        <v>0.99299999999999999</v>
      </c>
      <c r="BA37" s="3">
        <v>0.127</v>
      </c>
      <c r="BB37" s="3">
        <v>0.98899999999999999</v>
      </c>
      <c r="BC37" s="3">
        <v>0.97199999999999998</v>
      </c>
      <c r="BD37" s="3">
        <v>0.96499999999999997</v>
      </c>
      <c r="BE37" s="3">
        <v>0.96850000000000003</v>
      </c>
      <c r="BF37" s="3">
        <v>0.99033333300000004</v>
      </c>
      <c r="BG37" s="3">
        <v>0.93799999999999994</v>
      </c>
      <c r="BH37" s="3">
        <v>0.98499999999999999</v>
      </c>
      <c r="BI37" s="3">
        <v>0.97650000000000003</v>
      </c>
      <c r="BJ37" s="3">
        <v>0.90400000000000003</v>
      </c>
      <c r="BK37" s="3">
        <v>0.93700000000000006</v>
      </c>
      <c r="BL37" s="3">
        <v>0.98733333300000004</v>
      </c>
      <c r="BM37" s="3">
        <v>0.01</v>
      </c>
      <c r="BN37" s="3">
        <v>0.96433333300000001</v>
      </c>
      <c r="BO37" s="3">
        <v>0.99299999999999999</v>
      </c>
      <c r="BP37" s="48" t="s">
        <v>315</v>
      </c>
      <c r="BQ37" s="49" t="s">
        <v>339</v>
      </c>
      <c r="BR37" s="3">
        <v>9.7159999999999993</v>
      </c>
      <c r="BS37" s="3">
        <v>7.6429999999999998</v>
      </c>
      <c r="BT37" s="3">
        <v>6.5919999999999996</v>
      </c>
      <c r="BU37" s="3">
        <v>6.1340000000000003</v>
      </c>
      <c r="BV37" s="3">
        <v>9.7110000000000003</v>
      </c>
      <c r="BW37" s="3">
        <v>8.2490000000000006</v>
      </c>
      <c r="BX37" s="3">
        <v>0.82799999999999996</v>
      </c>
      <c r="BY37" s="3">
        <v>10.458</v>
      </c>
      <c r="BZ37" s="3">
        <v>10.061999999999999</v>
      </c>
      <c r="CA37" s="3">
        <v>8.5860000000000003</v>
      </c>
      <c r="CB37" s="3">
        <v>6.8259999999999996</v>
      </c>
      <c r="CC37" s="3">
        <v>6.298</v>
      </c>
      <c r="CD37" s="3">
        <v>4.66</v>
      </c>
    </row>
    <row r="38" spans="1:82" x14ac:dyDescent="0.3">
      <c r="A38" s="48" t="s">
        <v>315</v>
      </c>
      <c r="B38" s="49" t="s">
        <v>340</v>
      </c>
      <c r="C38" s="3">
        <v>42.203983600000001</v>
      </c>
      <c r="D38" s="3">
        <v>42.178595199999997</v>
      </c>
      <c r="E38" s="3">
        <v>27.851074799999999</v>
      </c>
      <c r="F38" s="3">
        <v>26.954018000000001</v>
      </c>
      <c r="G38" s="3">
        <v>26.954018000000001</v>
      </c>
      <c r="H38" s="3">
        <v>34.8921244</v>
      </c>
      <c r="I38" s="48" t="s">
        <v>315</v>
      </c>
      <c r="J38" s="49" t="s">
        <v>340</v>
      </c>
      <c r="K38" s="3">
        <v>38339</v>
      </c>
      <c r="L38" s="48" t="s">
        <v>315</v>
      </c>
      <c r="M38" s="49" t="s">
        <v>340</v>
      </c>
      <c r="N38" s="3">
        <v>2700.1295919999998</v>
      </c>
      <c r="O38" s="3">
        <v>5260.8924440000001</v>
      </c>
      <c r="P38" s="3">
        <v>3622.5077660000002</v>
      </c>
      <c r="Q38" s="3">
        <v>3083.1811360000002</v>
      </c>
      <c r="R38" s="3">
        <v>3537.5851200000002</v>
      </c>
      <c r="S38" s="3">
        <v>7007.0753880000002</v>
      </c>
      <c r="T38" s="3">
        <v>5778.0768969999999</v>
      </c>
      <c r="U38" s="3">
        <v>3678.3210170000002</v>
      </c>
      <c r="V38" s="3">
        <v>2809.0909329999999</v>
      </c>
      <c r="W38" s="3">
        <v>2055.2952070000001</v>
      </c>
      <c r="X38" s="3">
        <v>4226.9681639999999</v>
      </c>
      <c r="Y38" s="3">
        <v>580.40419229999998</v>
      </c>
      <c r="Z38" s="3">
        <v>1841.6741159999999</v>
      </c>
      <c r="AA38" s="48" t="s">
        <v>315</v>
      </c>
      <c r="AB38" s="49" t="s">
        <v>340</v>
      </c>
      <c r="AC38" s="3">
        <v>0.28499999999999998</v>
      </c>
      <c r="AD38" s="3">
        <v>0.98099999999999998</v>
      </c>
      <c r="AE38" s="3">
        <v>0.27900000000000003</v>
      </c>
      <c r="AF38" s="3">
        <v>0.99</v>
      </c>
      <c r="AG38" s="3">
        <v>0.245</v>
      </c>
      <c r="AH38" s="3">
        <v>0.91400000000000003</v>
      </c>
      <c r="AI38" s="3">
        <v>0.16700000000000001</v>
      </c>
      <c r="AJ38" s="3">
        <v>0.98899999999999999</v>
      </c>
      <c r="AK38" s="3">
        <v>0.23499999999999999</v>
      </c>
      <c r="AL38" s="3">
        <v>0.94099999999999995</v>
      </c>
      <c r="AM38" s="3">
        <v>0.155</v>
      </c>
      <c r="AN38" s="3">
        <v>0.96699999999999997</v>
      </c>
      <c r="AO38" s="3">
        <v>9.6000000000000002E-2</v>
      </c>
      <c r="AP38" s="3">
        <v>0.96699999999999997</v>
      </c>
      <c r="AQ38" s="3">
        <v>0.246</v>
      </c>
      <c r="AR38" s="3">
        <v>0.98699999999999999</v>
      </c>
      <c r="AS38" s="3">
        <v>0.219</v>
      </c>
      <c r="AT38" s="3">
        <v>0.99099999999999999</v>
      </c>
      <c r="AU38" s="3">
        <v>0.219</v>
      </c>
      <c r="AV38" s="3">
        <v>0.99199999999999999</v>
      </c>
      <c r="AW38" s="3">
        <v>0.26</v>
      </c>
      <c r="AX38" s="3">
        <v>0.97699999999999998</v>
      </c>
      <c r="AY38" s="3">
        <v>0.221</v>
      </c>
      <c r="AZ38" s="3">
        <v>0.99299999999999999</v>
      </c>
      <c r="BA38" s="3">
        <v>0.126</v>
      </c>
      <c r="BB38" s="3">
        <v>0.99099999999999999</v>
      </c>
      <c r="BC38" s="3">
        <v>0.97899999999999998</v>
      </c>
      <c r="BD38" s="3">
        <v>0.97450000000000003</v>
      </c>
      <c r="BE38" s="3">
        <v>0.97550000000000003</v>
      </c>
      <c r="BF38" s="3">
        <v>0.99</v>
      </c>
      <c r="BG38" s="3">
        <v>0.95133333399999997</v>
      </c>
      <c r="BH38" s="3">
        <v>0.98199999999999998</v>
      </c>
      <c r="BI38" s="3">
        <v>0.98299999999999998</v>
      </c>
      <c r="BJ38" s="3">
        <v>0.923666667</v>
      </c>
      <c r="BK38" s="3">
        <v>0.95</v>
      </c>
      <c r="BL38" s="3">
        <v>0.98799999999999999</v>
      </c>
      <c r="BM38" s="3">
        <v>0.01</v>
      </c>
      <c r="BN38" s="3">
        <v>0.96899999999999997</v>
      </c>
      <c r="BO38" s="3">
        <v>0.99199999999999999</v>
      </c>
      <c r="BP38" s="48" t="s">
        <v>315</v>
      </c>
      <c r="BQ38" s="49" t="s">
        <v>340</v>
      </c>
      <c r="BR38" s="3">
        <v>9.7279999999999998</v>
      </c>
      <c r="BS38" s="3">
        <v>7.4809999999999999</v>
      </c>
      <c r="BT38" s="3">
        <v>6.5789999999999997</v>
      </c>
      <c r="BU38" s="3">
        <v>6.226</v>
      </c>
      <c r="BV38" s="3">
        <v>9.8160000000000007</v>
      </c>
      <c r="BW38" s="3">
        <v>7.8810000000000002</v>
      </c>
      <c r="BX38" s="3">
        <v>0.83799999999999997</v>
      </c>
      <c r="BY38" s="3">
        <v>10.337</v>
      </c>
      <c r="BZ38" s="3">
        <v>10.103</v>
      </c>
      <c r="CA38" s="3">
        <v>8.7379999999999995</v>
      </c>
      <c r="CB38" s="3">
        <v>7.194</v>
      </c>
      <c r="CC38" s="3">
        <v>6.3849999999999998</v>
      </c>
      <c r="CD38" s="3">
        <v>4.7729999999999997</v>
      </c>
    </row>
    <row r="39" spans="1:82" x14ac:dyDescent="0.3">
      <c r="A39" s="48" t="s">
        <v>315</v>
      </c>
      <c r="B39" s="49" t="s">
        <v>341</v>
      </c>
      <c r="C39" s="3">
        <v>37.667922799999999</v>
      </c>
      <c r="D39" s="3">
        <v>39.343557199999999</v>
      </c>
      <c r="E39" s="3">
        <v>29.619800000000001</v>
      </c>
      <c r="F39" s="3">
        <v>26.818613200000001</v>
      </c>
      <c r="G39" s="3">
        <v>26.818613200000001</v>
      </c>
      <c r="H39" s="3">
        <v>34.325116800000004</v>
      </c>
      <c r="I39" s="48" t="s">
        <v>315</v>
      </c>
      <c r="J39" s="49" t="s">
        <v>341</v>
      </c>
      <c r="K39" s="3">
        <v>38258.5</v>
      </c>
      <c r="L39" s="48" t="s">
        <v>315</v>
      </c>
      <c r="M39" s="49" t="s">
        <v>341</v>
      </c>
      <c r="N39" s="3">
        <v>3036.390433</v>
      </c>
      <c r="O39" s="3">
        <v>5504.3649610000002</v>
      </c>
      <c r="P39" s="3">
        <v>3778.5909769999998</v>
      </c>
      <c r="Q39" s="3">
        <v>3034.8204649999998</v>
      </c>
      <c r="R39" s="3">
        <v>3710.1144039999999</v>
      </c>
      <c r="S39" s="3">
        <v>7483.6817149999997</v>
      </c>
      <c r="T39" s="3">
        <v>5620.9421050000001</v>
      </c>
      <c r="U39" s="3">
        <v>3608.429165</v>
      </c>
      <c r="V39" s="3">
        <v>2926.8225430000002</v>
      </c>
      <c r="W39" s="3">
        <v>1977.5917529999999</v>
      </c>
      <c r="X39" s="3">
        <v>4404.1112009999997</v>
      </c>
      <c r="Y39" s="3">
        <v>688.29516009999998</v>
      </c>
      <c r="Z39" s="3">
        <v>1977.4207349999999</v>
      </c>
      <c r="AA39" s="48" t="s">
        <v>315</v>
      </c>
      <c r="AB39" s="49" t="s">
        <v>341</v>
      </c>
      <c r="AC39" s="3">
        <v>0.25800000000000001</v>
      </c>
      <c r="AD39" s="3">
        <v>0.95</v>
      </c>
      <c r="AE39" s="3">
        <v>0.19800000000000001</v>
      </c>
      <c r="AF39" s="3">
        <v>0.98099999999999998</v>
      </c>
      <c r="AG39" s="3">
        <v>0.17899999999999999</v>
      </c>
      <c r="AH39" s="3">
        <v>0.878</v>
      </c>
      <c r="AI39" s="3">
        <v>0.23300000000000001</v>
      </c>
      <c r="AJ39" s="3">
        <v>0.98</v>
      </c>
      <c r="AK39" s="3">
        <v>0.19700000000000001</v>
      </c>
      <c r="AL39" s="3">
        <v>0.96199999999999997</v>
      </c>
      <c r="AM39" s="3">
        <v>0.16400000000000001</v>
      </c>
      <c r="AN39" s="3">
        <v>0.94299999999999995</v>
      </c>
      <c r="AO39" s="3">
        <v>9.5000000000000001E-2</v>
      </c>
      <c r="AP39" s="3">
        <v>0.94299999999999995</v>
      </c>
      <c r="AQ39" s="3">
        <v>0.24399999999999999</v>
      </c>
      <c r="AR39" s="3">
        <v>0.97499999999999998</v>
      </c>
      <c r="AS39" s="3">
        <v>0.21</v>
      </c>
      <c r="AT39" s="3">
        <v>0.98499999999999999</v>
      </c>
      <c r="AU39" s="3">
        <v>0.21</v>
      </c>
      <c r="AV39" s="3">
        <v>0.99099999999999999</v>
      </c>
      <c r="AW39" s="3">
        <v>0.20399999999999999</v>
      </c>
      <c r="AX39" s="3">
        <v>0.96699999999999997</v>
      </c>
      <c r="AY39" s="3">
        <v>0.193</v>
      </c>
      <c r="AZ39" s="3">
        <v>0.99299999999999999</v>
      </c>
      <c r="BA39" s="3">
        <v>0.14599999999999999</v>
      </c>
      <c r="BB39" s="3">
        <v>0.99299999999999999</v>
      </c>
      <c r="BC39" s="3">
        <v>0.98</v>
      </c>
      <c r="BD39" s="3">
        <v>0.97799999999999998</v>
      </c>
      <c r="BE39" s="3">
        <v>0.97899999999999998</v>
      </c>
      <c r="BF39" s="3">
        <v>0.99033333300000004</v>
      </c>
      <c r="BG39" s="3">
        <v>0.96199999999999997</v>
      </c>
      <c r="BH39" s="3">
        <v>0.98099999999999998</v>
      </c>
      <c r="BI39" s="3">
        <v>0.98599999999999999</v>
      </c>
      <c r="BJ39" s="3">
        <v>0.94399999999999995</v>
      </c>
      <c r="BK39" s="3">
        <v>0.96499999999999997</v>
      </c>
      <c r="BL39" s="3">
        <v>0.98966666700000006</v>
      </c>
      <c r="BM39" s="3">
        <v>0.01</v>
      </c>
      <c r="BN39" s="3">
        <v>0.97</v>
      </c>
      <c r="BO39" s="3">
        <v>0.99199999999999999</v>
      </c>
      <c r="BP39" s="48" t="s">
        <v>315</v>
      </c>
      <c r="BQ39" s="49" t="s">
        <v>341</v>
      </c>
      <c r="BR39" s="3">
        <v>9.5719999999999992</v>
      </c>
      <c r="BS39" s="3">
        <v>7.1150000000000002</v>
      </c>
      <c r="BT39" s="3">
        <v>6.766</v>
      </c>
      <c r="BU39" s="3">
        <v>5.1139999999999999</v>
      </c>
      <c r="BV39" s="3">
        <v>9.6300000000000008</v>
      </c>
      <c r="BW39" s="3">
        <v>6.891</v>
      </c>
      <c r="BX39" s="3">
        <v>1.1910000000000001</v>
      </c>
      <c r="BY39" s="3">
        <v>10.185</v>
      </c>
      <c r="BZ39" s="3">
        <v>10.007999999999999</v>
      </c>
      <c r="CA39" s="3">
        <v>8.8019999999999996</v>
      </c>
      <c r="CB39" s="3">
        <v>7.3479999999999999</v>
      </c>
      <c r="CC39" s="3">
        <v>6.5830000000000002</v>
      </c>
      <c r="CD39" s="3">
        <v>4.9480000000000004</v>
      </c>
    </row>
    <row r="40" spans="1:82" x14ac:dyDescent="0.3">
      <c r="A40" s="48" t="s">
        <v>315</v>
      </c>
      <c r="B40" s="49" t="s">
        <v>342</v>
      </c>
      <c r="C40" s="3">
        <v>42.203983600000001</v>
      </c>
      <c r="D40" s="3">
        <v>37.549443599999996</v>
      </c>
      <c r="E40" s="3">
        <v>29.619800000000001</v>
      </c>
      <c r="F40" s="3">
        <v>26.437787199999999</v>
      </c>
      <c r="G40" s="3">
        <v>26.437787199999999</v>
      </c>
      <c r="H40" s="3">
        <v>33.004919999999998</v>
      </c>
      <c r="I40" s="48" t="s">
        <v>315</v>
      </c>
      <c r="J40" s="49" t="s">
        <v>342</v>
      </c>
      <c r="K40" s="3">
        <v>37803</v>
      </c>
      <c r="L40" s="48" t="s">
        <v>315</v>
      </c>
      <c r="M40" s="49" t="s">
        <v>342</v>
      </c>
      <c r="N40" s="3">
        <v>3625.885777</v>
      </c>
      <c r="O40" s="3">
        <v>6102.0134680000001</v>
      </c>
      <c r="P40" s="3">
        <v>3878.2830039999999</v>
      </c>
      <c r="Q40" s="3">
        <v>3496.812868</v>
      </c>
      <c r="R40" s="3">
        <v>4259.4803739999998</v>
      </c>
      <c r="S40" s="3">
        <v>8053.6482370000003</v>
      </c>
      <c r="T40" s="3">
        <v>5721.7425929999999</v>
      </c>
      <c r="U40" s="3">
        <v>4287.0053120000002</v>
      </c>
      <c r="V40" s="3">
        <v>3350.683935</v>
      </c>
      <c r="W40" s="3">
        <v>2137.2682829999999</v>
      </c>
      <c r="X40" s="3">
        <v>4811.6024930000003</v>
      </c>
      <c r="Y40" s="3">
        <v>642.98683579999999</v>
      </c>
      <c r="Z40" s="3">
        <v>2371.531661</v>
      </c>
      <c r="AA40" s="48" t="s">
        <v>315</v>
      </c>
      <c r="AB40" s="49" t="s">
        <v>342</v>
      </c>
      <c r="AC40" s="3">
        <v>0.17899999999999999</v>
      </c>
      <c r="AD40" s="3">
        <v>0.90400000000000003</v>
      </c>
      <c r="AE40" s="3">
        <v>0.159</v>
      </c>
      <c r="AF40" s="3">
        <v>0.98099999999999998</v>
      </c>
      <c r="AG40" s="3">
        <v>0.17899999999999999</v>
      </c>
      <c r="AH40" s="3">
        <v>0.93</v>
      </c>
      <c r="AI40" s="3">
        <v>0.29599999999999999</v>
      </c>
      <c r="AJ40" s="3">
        <v>0.97499999999999998</v>
      </c>
      <c r="AK40" s="3">
        <v>0.152</v>
      </c>
      <c r="AL40" s="3">
        <v>0.96699999999999997</v>
      </c>
      <c r="AM40" s="3">
        <v>0.19500000000000001</v>
      </c>
      <c r="AN40" s="3">
        <v>0.90500000000000003</v>
      </c>
      <c r="AO40" s="3">
        <v>8.2000000000000003E-2</v>
      </c>
      <c r="AP40" s="3">
        <v>0.90500000000000003</v>
      </c>
      <c r="AQ40" s="3">
        <v>0.184</v>
      </c>
      <c r="AR40" s="3">
        <v>0.95299999999999996</v>
      </c>
      <c r="AS40" s="3">
        <v>0.16800000000000001</v>
      </c>
      <c r="AT40" s="3">
        <v>0.98099999999999998</v>
      </c>
      <c r="AU40" s="3">
        <v>0.16800000000000001</v>
      </c>
      <c r="AV40" s="3">
        <v>0.99199999999999999</v>
      </c>
      <c r="AW40" s="3">
        <v>0.15</v>
      </c>
      <c r="AX40" s="3">
        <v>0.97399999999999998</v>
      </c>
      <c r="AY40" s="3">
        <v>0.156</v>
      </c>
      <c r="AZ40" s="3">
        <v>0.99199999999999999</v>
      </c>
      <c r="BA40" s="3">
        <v>0.14699999999999999</v>
      </c>
      <c r="BB40" s="3">
        <v>0.98899999999999999</v>
      </c>
      <c r="BC40" s="3">
        <v>0.98299999999999998</v>
      </c>
      <c r="BD40" s="3">
        <v>0.98</v>
      </c>
      <c r="BE40" s="3">
        <v>0.97899999999999998</v>
      </c>
      <c r="BF40" s="3">
        <v>0.99099999999999999</v>
      </c>
      <c r="BG40" s="3">
        <v>0.97016666699999998</v>
      </c>
      <c r="BH40" s="3">
        <v>0.98199999999999998</v>
      </c>
      <c r="BI40" s="3">
        <v>0.98750000000000004</v>
      </c>
      <c r="BJ40" s="3">
        <v>0.95733333300000001</v>
      </c>
      <c r="BK40" s="3">
        <v>0.97750000000000004</v>
      </c>
      <c r="BL40" s="3">
        <v>0.98899999999999999</v>
      </c>
      <c r="BM40" s="3">
        <v>0.01</v>
      </c>
      <c r="BN40" s="3">
        <v>0.97333333300000002</v>
      </c>
      <c r="BO40" s="3">
        <v>0.99099999999999999</v>
      </c>
      <c r="BP40" s="48" t="s">
        <v>315</v>
      </c>
      <c r="BQ40" s="49" t="s">
        <v>342</v>
      </c>
      <c r="BR40" s="3">
        <v>9.2270000000000003</v>
      </c>
      <c r="BS40" s="3">
        <v>6.843</v>
      </c>
      <c r="BT40" s="3">
        <v>7.0869999999999997</v>
      </c>
      <c r="BU40" s="3">
        <v>3.3</v>
      </c>
      <c r="BV40" s="3">
        <v>9.4030000000000005</v>
      </c>
      <c r="BW40" s="3">
        <v>6.4340000000000002</v>
      </c>
      <c r="BX40" s="3">
        <v>1.389</v>
      </c>
      <c r="BY40" s="3">
        <v>9.9529999999999994</v>
      </c>
      <c r="BZ40" s="3">
        <v>9.6709999999999994</v>
      </c>
      <c r="CA40" s="3">
        <v>8.5909999999999993</v>
      </c>
      <c r="CB40" s="3">
        <v>7.2919999999999998</v>
      </c>
      <c r="CC40" s="3">
        <v>6.6440000000000001</v>
      </c>
      <c r="CD40" s="3">
        <v>5.0069999999999997</v>
      </c>
    </row>
    <row r="41" spans="1:82" x14ac:dyDescent="0.3">
      <c r="A41" s="48" t="s">
        <v>315</v>
      </c>
      <c r="B41" s="49" t="s">
        <v>343</v>
      </c>
      <c r="C41" s="3">
        <v>37.667922799999999</v>
      </c>
      <c r="D41" s="3">
        <v>35.129082799999999</v>
      </c>
      <c r="E41" s="3">
        <v>29.535171999999999</v>
      </c>
      <c r="F41" s="3">
        <v>26.150051999999999</v>
      </c>
      <c r="G41" s="3">
        <v>26.150051999999999</v>
      </c>
      <c r="H41" s="3">
        <v>32.835664000000001</v>
      </c>
      <c r="I41" s="48" t="s">
        <v>315</v>
      </c>
      <c r="J41" s="49" t="s">
        <v>343</v>
      </c>
      <c r="K41" s="3">
        <v>37781.5</v>
      </c>
      <c r="L41" s="48" t="s">
        <v>315</v>
      </c>
      <c r="M41" s="49" t="s">
        <v>343</v>
      </c>
      <c r="N41" s="3">
        <v>3863.0131249999999</v>
      </c>
      <c r="O41" s="3">
        <v>6411.7326190000003</v>
      </c>
      <c r="P41" s="3">
        <v>4194.4811719999998</v>
      </c>
      <c r="Q41" s="3">
        <v>4045.500896</v>
      </c>
      <c r="R41" s="3">
        <v>4127.3765469999998</v>
      </c>
      <c r="S41" s="3">
        <v>8133.9525489999996</v>
      </c>
      <c r="T41" s="3">
        <v>5803.9406600000002</v>
      </c>
      <c r="U41" s="3">
        <v>4126.6199319999996</v>
      </c>
      <c r="V41" s="3">
        <v>3256.4091920000001</v>
      </c>
      <c r="W41" s="3">
        <v>2029.228687</v>
      </c>
      <c r="X41" s="3">
        <v>4804.1723080000002</v>
      </c>
      <c r="Y41" s="3">
        <v>618.25274490000004</v>
      </c>
      <c r="Z41" s="3">
        <v>2321.9367080000002</v>
      </c>
      <c r="AA41" s="48" t="s">
        <v>315</v>
      </c>
      <c r="AB41" s="49" t="s">
        <v>343</v>
      </c>
      <c r="AC41" s="3">
        <v>0.13</v>
      </c>
      <c r="AD41" s="3">
        <v>0.86699999999999999</v>
      </c>
      <c r="AE41" s="3">
        <v>0.13200000000000001</v>
      </c>
      <c r="AF41" s="3">
        <v>0.98499999999999999</v>
      </c>
      <c r="AG41" s="3">
        <v>0.21299999999999999</v>
      </c>
      <c r="AH41" s="3">
        <v>0.98</v>
      </c>
      <c r="AI41" s="3">
        <v>0.252</v>
      </c>
      <c r="AJ41" s="3">
        <v>0.97399999999999998</v>
      </c>
      <c r="AK41" s="3">
        <v>0.126</v>
      </c>
      <c r="AL41" s="3">
        <v>0.98199999999999998</v>
      </c>
      <c r="AM41" s="3">
        <v>0.20300000000000001</v>
      </c>
      <c r="AN41" s="3">
        <v>0.82399999999999995</v>
      </c>
      <c r="AO41" s="3">
        <v>6.0999999999999999E-2</v>
      </c>
      <c r="AP41" s="3">
        <v>0.82399999999999995</v>
      </c>
      <c r="AQ41" s="3">
        <v>0.126</v>
      </c>
      <c r="AR41" s="3">
        <v>0.94799999999999995</v>
      </c>
      <c r="AS41" s="3">
        <v>0.13800000000000001</v>
      </c>
      <c r="AT41" s="3">
        <v>0.98199999999999998</v>
      </c>
      <c r="AU41" s="3">
        <v>0.13800000000000001</v>
      </c>
      <c r="AV41" s="3">
        <v>0.99299999999999999</v>
      </c>
      <c r="AW41" s="3">
        <v>0.13200000000000001</v>
      </c>
      <c r="AX41" s="3">
        <v>0.98799999999999999</v>
      </c>
      <c r="AY41" s="3">
        <v>0.13100000000000001</v>
      </c>
      <c r="AZ41" s="3">
        <v>0.98899999999999999</v>
      </c>
      <c r="BA41" s="3">
        <v>0.161</v>
      </c>
      <c r="BB41" s="3">
        <v>0.97399999999999998</v>
      </c>
      <c r="BC41" s="3">
        <v>0.98550000000000004</v>
      </c>
      <c r="BD41" s="3">
        <v>0.97950000000000004</v>
      </c>
      <c r="BE41" s="3">
        <v>0.97650000000000003</v>
      </c>
      <c r="BF41" s="3">
        <v>0.99133333300000004</v>
      </c>
      <c r="BG41" s="3">
        <v>0.97691666700000002</v>
      </c>
      <c r="BH41" s="3">
        <v>0.98599999999999999</v>
      </c>
      <c r="BI41" s="3">
        <v>0.98650000000000004</v>
      </c>
      <c r="BJ41" s="3">
        <v>0.96833333300000002</v>
      </c>
      <c r="BK41" s="3">
        <v>0.98250000000000004</v>
      </c>
      <c r="BL41" s="3">
        <v>0.98599999999999999</v>
      </c>
      <c r="BM41" s="3">
        <v>0.01</v>
      </c>
      <c r="BN41" s="3">
        <v>0.97666666700000004</v>
      </c>
      <c r="BO41" s="3">
        <v>0.99199999999999999</v>
      </c>
      <c r="BP41" s="48" t="s">
        <v>315</v>
      </c>
      <c r="BQ41" s="49" t="s">
        <v>343</v>
      </c>
      <c r="BR41" s="3">
        <v>8.3409999999999993</v>
      </c>
      <c r="BS41" s="3">
        <v>6.71</v>
      </c>
      <c r="BT41" s="3">
        <v>6.2469999999999999</v>
      </c>
      <c r="BU41" s="3">
        <v>2.665</v>
      </c>
      <c r="BV41" s="3">
        <v>9.0980000000000008</v>
      </c>
      <c r="BW41" s="3">
        <v>6.1109999999999998</v>
      </c>
      <c r="BX41" s="3">
        <v>1.516</v>
      </c>
      <c r="BY41" s="3">
        <v>9.6370000000000005</v>
      </c>
      <c r="BZ41" s="3">
        <v>9.3460000000000001</v>
      </c>
      <c r="CA41" s="3">
        <v>8.2560000000000002</v>
      </c>
      <c r="CB41" s="3">
        <v>6.9589999999999996</v>
      </c>
      <c r="CC41" s="3">
        <v>6.5410000000000004</v>
      </c>
      <c r="CD41" s="3">
        <v>4.8789999999999996</v>
      </c>
    </row>
    <row r="42" spans="1:82" x14ac:dyDescent="0.3">
      <c r="A42" s="48" t="s">
        <v>315</v>
      </c>
      <c r="B42" s="49" t="s">
        <v>344</v>
      </c>
      <c r="C42" s="3">
        <v>32.014772399999998</v>
      </c>
      <c r="D42" s="3">
        <v>33.842737200000002</v>
      </c>
      <c r="E42" s="3">
        <v>29.619800000000001</v>
      </c>
      <c r="F42" s="3">
        <v>26.192366</v>
      </c>
      <c r="G42" s="3">
        <v>26.192366</v>
      </c>
      <c r="H42" s="3">
        <v>33.428060000000002</v>
      </c>
      <c r="I42" s="48" t="s">
        <v>315</v>
      </c>
      <c r="J42" s="49" t="s">
        <v>344</v>
      </c>
      <c r="K42" s="3">
        <v>38239</v>
      </c>
      <c r="L42" s="48" t="s">
        <v>315</v>
      </c>
      <c r="M42" s="49" t="s">
        <v>344</v>
      </c>
      <c r="N42" s="3">
        <v>4163.769499</v>
      </c>
      <c r="O42" s="3">
        <v>6465.5432309999997</v>
      </c>
      <c r="P42" s="3">
        <v>4474.3123370000003</v>
      </c>
      <c r="Q42" s="3">
        <v>4473.4488609999999</v>
      </c>
      <c r="R42" s="3">
        <v>4318.5507420000004</v>
      </c>
      <c r="S42" s="3">
        <v>8071.2591540000003</v>
      </c>
      <c r="T42" s="3">
        <v>5805.3830079999998</v>
      </c>
      <c r="U42" s="3">
        <v>4461.1124970000001</v>
      </c>
      <c r="V42" s="3">
        <v>3218.4298279999998</v>
      </c>
      <c r="W42" s="3">
        <v>2057.1288129999998</v>
      </c>
      <c r="X42" s="3">
        <v>4899.4438920000002</v>
      </c>
      <c r="Y42" s="3">
        <v>573.81985269999996</v>
      </c>
      <c r="Z42" s="3">
        <v>1707.3512860000001</v>
      </c>
      <c r="AA42" s="48" t="s">
        <v>315</v>
      </c>
      <c r="AB42" s="49" t="s">
        <v>344</v>
      </c>
      <c r="AC42" s="3">
        <v>7.5999999999999998E-2</v>
      </c>
      <c r="AD42" s="3">
        <v>0.90300000000000002</v>
      </c>
      <c r="AE42" s="3">
        <v>9.1999999999999998E-2</v>
      </c>
      <c r="AF42" s="3">
        <v>0.98799999999999999</v>
      </c>
      <c r="AG42" s="3">
        <v>0.158</v>
      </c>
      <c r="AH42" s="3">
        <v>0.99199999999999999</v>
      </c>
      <c r="AI42" s="3">
        <v>9.7000000000000003E-2</v>
      </c>
      <c r="AJ42" s="3">
        <v>0.98</v>
      </c>
      <c r="AK42" s="3">
        <v>8.4000000000000005E-2</v>
      </c>
      <c r="AL42" s="3">
        <v>0.99299999999999999</v>
      </c>
      <c r="AM42" s="3">
        <v>0.11</v>
      </c>
      <c r="AN42" s="3">
        <v>0.67200000000000004</v>
      </c>
      <c r="AO42" s="3">
        <v>2.8000000000000001E-2</v>
      </c>
      <c r="AP42" s="3">
        <v>0.67200000000000004</v>
      </c>
      <c r="AQ42" s="3">
        <v>7.3999999999999996E-2</v>
      </c>
      <c r="AR42" s="3">
        <v>0.95299999999999996</v>
      </c>
      <c r="AS42" s="3">
        <v>9.2999999999999999E-2</v>
      </c>
      <c r="AT42" s="3">
        <v>0.98699999999999999</v>
      </c>
      <c r="AU42" s="3">
        <v>9.2999999999999999E-2</v>
      </c>
      <c r="AV42" s="3">
        <v>0.99</v>
      </c>
      <c r="AW42" s="3">
        <v>0.113</v>
      </c>
      <c r="AX42" s="3">
        <v>0.99199999999999999</v>
      </c>
      <c r="AY42" s="3">
        <v>0.107</v>
      </c>
      <c r="AZ42" s="3">
        <v>0.97899999999999998</v>
      </c>
      <c r="BA42" s="3">
        <v>7.2999999999999995E-2</v>
      </c>
      <c r="BB42" s="3">
        <v>0.94499999999999995</v>
      </c>
      <c r="BC42" s="3">
        <v>0.98550000000000004</v>
      </c>
      <c r="BD42" s="3">
        <v>0.97650000000000003</v>
      </c>
      <c r="BE42" s="3">
        <v>0.97499999999999998</v>
      </c>
      <c r="BF42" s="3">
        <v>0.99099999999999999</v>
      </c>
      <c r="BG42" s="3">
        <v>0.98141666699999996</v>
      </c>
      <c r="BH42" s="3">
        <v>0.98799999999999999</v>
      </c>
      <c r="BI42" s="3">
        <v>0.98550000000000004</v>
      </c>
      <c r="BJ42" s="3">
        <v>0.97733333300000003</v>
      </c>
      <c r="BK42" s="3">
        <v>0.98499999999999999</v>
      </c>
      <c r="BL42" s="3">
        <v>0.98166666700000005</v>
      </c>
      <c r="BM42" s="3">
        <v>0.01</v>
      </c>
      <c r="BN42" s="3">
        <v>0.97766666700000004</v>
      </c>
      <c r="BO42" s="3">
        <v>0.99199999999999999</v>
      </c>
      <c r="BP42" s="48" t="s">
        <v>315</v>
      </c>
      <c r="BQ42" s="49" t="s">
        <v>344</v>
      </c>
      <c r="BR42" s="3">
        <v>7.2320000000000002</v>
      </c>
      <c r="BS42" s="3">
        <v>5.8710000000000004</v>
      </c>
      <c r="BT42" s="3">
        <v>4.5179999999999998</v>
      </c>
      <c r="BU42" s="3">
        <v>2.8279999999999998</v>
      </c>
      <c r="BV42" s="3">
        <v>8.4930000000000003</v>
      </c>
      <c r="BW42" s="3">
        <v>6.359</v>
      </c>
      <c r="BX42" s="3">
        <v>1.5660000000000001</v>
      </c>
      <c r="BY42" s="3">
        <v>9.2829999999999995</v>
      </c>
      <c r="BZ42" s="3">
        <v>8.8529999999999998</v>
      </c>
      <c r="CA42" s="3">
        <v>7.7270000000000003</v>
      </c>
      <c r="CB42" s="3">
        <v>6.4039999999999999</v>
      </c>
      <c r="CC42" s="3">
        <v>6.1689999999999996</v>
      </c>
      <c r="CD42" s="3">
        <v>4.5540000000000003</v>
      </c>
    </row>
    <row r="43" spans="1:82" x14ac:dyDescent="0.3">
      <c r="A43" s="48" t="s">
        <v>315</v>
      </c>
      <c r="B43" s="49" t="s">
        <v>345</v>
      </c>
      <c r="C43" s="3">
        <v>32.539465999999997</v>
      </c>
      <c r="D43" s="3">
        <v>36.347726000000002</v>
      </c>
      <c r="E43" s="3">
        <v>31.853979200000001</v>
      </c>
      <c r="F43" s="3">
        <v>27.106348400000002</v>
      </c>
      <c r="G43" s="3">
        <v>27.106348400000002</v>
      </c>
      <c r="H43" s="3">
        <v>34.697479999999999</v>
      </c>
      <c r="I43" s="48" t="s">
        <v>315</v>
      </c>
      <c r="J43" s="49" t="s">
        <v>345</v>
      </c>
      <c r="K43" s="3">
        <v>39994</v>
      </c>
      <c r="L43" s="48" t="s">
        <v>315</v>
      </c>
      <c r="M43" s="49" t="s">
        <v>345</v>
      </c>
      <c r="N43" s="3">
        <v>5391.6790730000002</v>
      </c>
      <c r="O43" s="3">
        <v>7912.7628949999998</v>
      </c>
      <c r="P43" s="3">
        <v>5416.7762229999998</v>
      </c>
      <c r="Q43" s="3">
        <v>5194.9231129999998</v>
      </c>
      <c r="R43" s="3">
        <v>5708.7778049999997</v>
      </c>
      <c r="S43" s="3">
        <v>9508.4603389999993</v>
      </c>
      <c r="T43" s="3">
        <v>6793.6137790000002</v>
      </c>
      <c r="U43" s="3">
        <v>5746.6372600000004</v>
      </c>
      <c r="V43" s="3">
        <v>4302.637068</v>
      </c>
      <c r="W43" s="3">
        <v>2933.1233870000001</v>
      </c>
      <c r="X43" s="3">
        <v>6134.1042360000001</v>
      </c>
      <c r="Y43" s="3">
        <v>635.68547899999999</v>
      </c>
      <c r="Z43" s="3">
        <v>1901.366561</v>
      </c>
      <c r="AA43" s="48" t="s">
        <v>315</v>
      </c>
      <c r="AB43" s="49" t="s">
        <v>345</v>
      </c>
      <c r="AC43" s="3">
        <v>0.02</v>
      </c>
      <c r="AD43" s="3">
        <v>0.95199999999999996</v>
      </c>
      <c r="AE43" s="3">
        <v>3.1E-2</v>
      </c>
      <c r="AF43" s="3">
        <v>0.99199999999999999</v>
      </c>
      <c r="AG43" s="3">
        <v>3.9E-2</v>
      </c>
      <c r="AH43" s="3">
        <v>0.99</v>
      </c>
      <c r="AI43" s="3">
        <v>1.4999999999999999E-2</v>
      </c>
      <c r="AJ43" s="3">
        <v>0.99199999999999999</v>
      </c>
      <c r="AK43" s="3">
        <v>2.8000000000000001E-2</v>
      </c>
      <c r="AL43" s="3">
        <v>0.99299999999999999</v>
      </c>
      <c r="AM43" s="3">
        <v>1.7999999999999999E-2</v>
      </c>
      <c r="AN43" s="3">
        <v>0.47899999999999998</v>
      </c>
      <c r="AO43" s="3">
        <v>4.0000000000000001E-3</v>
      </c>
      <c r="AP43" s="3">
        <v>0.47899999999999998</v>
      </c>
      <c r="AQ43" s="3">
        <v>2.3E-2</v>
      </c>
      <c r="AR43" s="3">
        <v>0.97299999999999998</v>
      </c>
      <c r="AS43" s="3">
        <v>3.5000000000000003E-2</v>
      </c>
      <c r="AT43" s="3">
        <v>0.99299999999999999</v>
      </c>
      <c r="AU43" s="3">
        <v>3.5999999999999997E-2</v>
      </c>
      <c r="AV43" s="3">
        <v>0.97799999999999998</v>
      </c>
      <c r="AW43" s="3">
        <v>0.04</v>
      </c>
      <c r="AX43" s="3">
        <v>0.97499999999999998</v>
      </c>
      <c r="AY43" s="3">
        <v>3.5999999999999997E-2</v>
      </c>
      <c r="AZ43" s="3">
        <v>0.96399999999999997</v>
      </c>
      <c r="BA43" s="3">
        <v>1.9E-2</v>
      </c>
      <c r="BB43" s="3">
        <v>0.91500000000000004</v>
      </c>
      <c r="BC43" s="3">
        <v>0.98450000000000004</v>
      </c>
      <c r="BD43" s="3">
        <v>0.97250000000000003</v>
      </c>
      <c r="BE43" s="3">
        <v>0.97550000000000003</v>
      </c>
      <c r="BF43" s="3">
        <v>0.99033333300000004</v>
      </c>
      <c r="BG43" s="3">
        <v>0.98208333400000003</v>
      </c>
      <c r="BH43" s="3">
        <v>0.99099999999999999</v>
      </c>
      <c r="BI43" s="3">
        <v>0.98299999999999998</v>
      </c>
      <c r="BJ43" s="3">
        <v>0.97966666700000005</v>
      </c>
      <c r="BK43" s="3">
        <v>0.98350000000000004</v>
      </c>
      <c r="BL43" s="3">
        <v>0.98033333300000003</v>
      </c>
      <c r="BM43" s="3">
        <v>0.01</v>
      </c>
      <c r="BN43" s="3">
        <v>0.97766666700000004</v>
      </c>
      <c r="BO43" s="3">
        <v>0.99299999999999999</v>
      </c>
      <c r="BP43" s="48" t="s">
        <v>315</v>
      </c>
      <c r="BQ43" s="49" t="s">
        <v>345</v>
      </c>
      <c r="BR43" s="3">
        <v>6.2619999999999996</v>
      </c>
      <c r="BS43" s="3">
        <v>5.07</v>
      </c>
      <c r="BT43" s="3">
        <v>4.0060000000000002</v>
      </c>
      <c r="BU43" s="3">
        <v>3.0219999999999998</v>
      </c>
      <c r="BV43" s="3">
        <v>7.5750000000000002</v>
      </c>
      <c r="BW43" s="3">
        <v>6.8</v>
      </c>
      <c r="BX43" s="3">
        <v>1.474</v>
      </c>
      <c r="BY43" s="3">
        <v>8.6980000000000004</v>
      </c>
      <c r="BZ43" s="3">
        <v>8.1780000000000008</v>
      </c>
      <c r="CA43" s="3">
        <v>6.923</v>
      </c>
      <c r="CB43" s="3">
        <v>5.5869999999999997</v>
      </c>
      <c r="CC43" s="3">
        <v>5.6120000000000001</v>
      </c>
      <c r="CD43" s="3">
        <v>4.1260000000000003</v>
      </c>
    </row>
    <row r="44" spans="1:82" x14ac:dyDescent="0.3">
      <c r="A44" s="48" t="s">
        <v>315</v>
      </c>
      <c r="B44" s="49" t="s">
        <v>346</v>
      </c>
      <c r="C44" s="3">
        <v>42.203983600000001</v>
      </c>
      <c r="D44" s="3">
        <v>47.882522399999999</v>
      </c>
      <c r="E44" s="3">
        <v>33.851199999999999</v>
      </c>
      <c r="F44" s="3">
        <v>27.656430400000001</v>
      </c>
      <c r="G44" s="3">
        <v>27.8680004</v>
      </c>
      <c r="H44" s="3">
        <v>47.078556399999997</v>
      </c>
      <c r="I44" s="48" t="s">
        <v>315</v>
      </c>
      <c r="J44" s="49" t="s">
        <v>346</v>
      </c>
      <c r="K44" s="3">
        <v>42852.5</v>
      </c>
      <c r="L44" s="48" t="s">
        <v>315</v>
      </c>
      <c r="M44" s="49" t="s">
        <v>346</v>
      </c>
      <c r="N44" s="3">
        <v>7375.7891970000001</v>
      </c>
      <c r="O44" s="3">
        <v>10258.063959999999</v>
      </c>
      <c r="P44" s="3">
        <v>6836.0784880000001</v>
      </c>
      <c r="Q44" s="3">
        <v>5972.1074360000002</v>
      </c>
      <c r="R44" s="3">
        <v>7558.8435049999998</v>
      </c>
      <c r="S44" s="3">
        <v>11364.83166</v>
      </c>
      <c r="T44" s="3">
        <v>8053.2677910000002</v>
      </c>
      <c r="U44" s="3">
        <v>8971.5985479999999</v>
      </c>
      <c r="V44" s="3">
        <v>6870.8234069999999</v>
      </c>
      <c r="W44" s="3">
        <v>4927.5397130000001</v>
      </c>
      <c r="X44" s="3">
        <v>7490.7532979999996</v>
      </c>
      <c r="Y44" s="3">
        <v>972.45429960000001</v>
      </c>
      <c r="Z44" s="3">
        <v>2788.7218269999998</v>
      </c>
      <c r="AA44" s="48" t="s">
        <v>315</v>
      </c>
      <c r="AB44" s="49" t="s">
        <v>346</v>
      </c>
      <c r="AC44" s="3">
        <v>0</v>
      </c>
      <c r="AD44" s="3">
        <v>0.98199999999999998</v>
      </c>
      <c r="AE44" s="3">
        <v>0</v>
      </c>
      <c r="AF44" s="3">
        <v>0.98899999999999999</v>
      </c>
      <c r="AG44" s="3">
        <v>0</v>
      </c>
      <c r="AH44" s="3">
        <v>0.96299999999999997</v>
      </c>
      <c r="AI44" s="3">
        <v>0</v>
      </c>
      <c r="AJ44" s="3">
        <v>0.99</v>
      </c>
      <c r="AK44" s="3">
        <v>0</v>
      </c>
      <c r="AL44" s="3">
        <v>0.99299999999999999</v>
      </c>
      <c r="AM44" s="3">
        <v>0</v>
      </c>
      <c r="AN44" s="3">
        <v>0.374</v>
      </c>
      <c r="AO44" s="3">
        <v>0</v>
      </c>
      <c r="AP44" s="3">
        <v>0.374</v>
      </c>
      <c r="AQ44" s="3">
        <v>0</v>
      </c>
      <c r="AR44" s="3">
        <v>0.99099999999999999</v>
      </c>
      <c r="AS44" s="3">
        <v>0</v>
      </c>
      <c r="AT44" s="3">
        <v>0.98799999999999999</v>
      </c>
      <c r="AU44" s="3">
        <v>0</v>
      </c>
      <c r="AV44" s="3">
        <v>0.95499999999999996</v>
      </c>
      <c r="AW44" s="3">
        <v>0</v>
      </c>
      <c r="AX44" s="3">
        <v>0.93200000000000005</v>
      </c>
      <c r="AY44" s="3">
        <v>0</v>
      </c>
      <c r="AZ44" s="3">
        <v>0.94199999999999995</v>
      </c>
      <c r="BA44" s="3">
        <v>0</v>
      </c>
      <c r="BB44" s="3">
        <v>0.872</v>
      </c>
      <c r="BC44" s="3">
        <v>0.98350000000000004</v>
      </c>
      <c r="BD44" s="3">
        <v>0.97299999999999998</v>
      </c>
      <c r="BE44" s="3">
        <v>0.97899999999999998</v>
      </c>
      <c r="BF44" s="3">
        <v>0.98833333300000004</v>
      </c>
      <c r="BG44" s="3">
        <v>0.97941666699999996</v>
      </c>
      <c r="BH44" s="3">
        <v>0.99299999999999999</v>
      </c>
      <c r="BI44" s="3">
        <v>0.97099999999999997</v>
      </c>
      <c r="BJ44" s="3">
        <v>0.97533333300000002</v>
      </c>
      <c r="BK44" s="3">
        <v>0.97399999999999998</v>
      </c>
      <c r="BL44" s="3">
        <v>0.98266666700000005</v>
      </c>
      <c r="BM44" s="3">
        <v>0.01</v>
      </c>
      <c r="BN44" s="3">
        <v>0.97399999999999998</v>
      </c>
      <c r="BO44" s="3">
        <v>0.99099999999999999</v>
      </c>
      <c r="BP44" s="48" t="s">
        <v>315</v>
      </c>
      <c r="BQ44" s="49" t="s">
        <v>346</v>
      </c>
      <c r="BR44" s="3">
        <v>5.476</v>
      </c>
      <c r="BS44" s="3">
        <v>4.7640000000000002</v>
      </c>
      <c r="BT44" s="3">
        <v>4.0549999999999997</v>
      </c>
      <c r="BU44" s="3">
        <v>2.99</v>
      </c>
      <c r="BV44" s="3">
        <v>6.6959999999999997</v>
      </c>
      <c r="BW44" s="3">
        <v>6.3979999999999997</v>
      </c>
      <c r="BX44" s="3">
        <v>1.181</v>
      </c>
      <c r="BY44" s="3">
        <v>8.0370000000000008</v>
      </c>
      <c r="BZ44" s="3">
        <v>7.4480000000000004</v>
      </c>
      <c r="CA44" s="3">
        <v>5.9580000000000002</v>
      </c>
      <c r="CB44" s="3">
        <v>4.8289999999999997</v>
      </c>
      <c r="CC44" s="3">
        <v>5.0869999999999997</v>
      </c>
      <c r="CD44" s="3">
        <v>3.6829999999999998</v>
      </c>
    </row>
    <row r="45" spans="1:82" x14ac:dyDescent="0.3">
      <c r="A45" s="48" t="s">
        <v>315</v>
      </c>
      <c r="B45" s="49" t="s">
        <v>347</v>
      </c>
      <c r="C45" s="3">
        <v>93.124651200000002</v>
      </c>
      <c r="D45" s="3">
        <v>49.744338399999997</v>
      </c>
      <c r="E45" s="3">
        <v>33.004919999999998</v>
      </c>
      <c r="F45" s="3">
        <v>27.0301832</v>
      </c>
      <c r="G45" s="3">
        <v>27.157125199999999</v>
      </c>
      <c r="H45" s="3">
        <v>37.828716</v>
      </c>
      <c r="I45" s="48" t="s">
        <v>315</v>
      </c>
      <c r="J45" s="49" t="s">
        <v>347</v>
      </c>
      <c r="K45" s="3">
        <v>45038.5</v>
      </c>
      <c r="L45" s="48" t="s">
        <v>315</v>
      </c>
      <c r="M45" s="49" t="s">
        <v>347</v>
      </c>
      <c r="N45" s="3">
        <v>8591.5417589999997</v>
      </c>
      <c r="O45" s="3">
        <v>11714.55214</v>
      </c>
      <c r="P45" s="3">
        <v>7452.7206550000001</v>
      </c>
      <c r="Q45" s="3">
        <v>6225.7847769999998</v>
      </c>
      <c r="R45" s="3">
        <v>9213.6279460000005</v>
      </c>
      <c r="S45" s="3">
        <v>12830.00448</v>
      </c>
      <c r="T45" s="3">
        <v>8911.8229080000001</v>
      </c>
      <c r="U45" s="3">
        <v>10850.92848</v>
      </c>
      <c r="V45" s="3">
        <v>8208.6078510000007</v>
      </c>
      <c r="W45" s="3">
        <v>6439.0267670000003</v>
      </c>
      <c r="X45" s="3">
        <v>8759.2110209999992</v>
      </c>
      <c r="Y45" s="3">
        <v>1151.365969</v>
      </c>
      <c r="Z45" s="3">
        <v>3703.9041219999999</v>
      </c>
      <c r="AA45" s="48" t="s">
        <v>315</v>
      </c>
      <c r="AB45" s="49" t="s">
        <v>347</v>
      </c>
      <c r="AC45" s="3">
        <v>0</v>
      </c>
      <c r="AD45" s="3">
        <v>0.99299999999999999</v>
      </c>
      <c r="AE45" s="3">
        <v>0</v>
      </c>
      <c r="AF45" s="3">
        <v>0.94799999999999995</v>
      </c>
      <c r="AG45" s="3">
        <v>0</v>
      </c>
      <c r="AH45" s="3">
        <v>0.88700000000000001</v>
      </c>
      <c r="AI45" s="3">
        <v>0</v>
      </c>
      <c r="AJ45" s="3">
        <v>0.97</v>
      </c>
      <c r="AK45" s="3">
        <v>0</v>
      </c>
      <c r="AL45" s="3">
        <v>0.97499999999999998</v>
      </c>
      <c r="AM45" s="3">
        <v>0</v>
      </c>
      <c r="AN45" s="3">
        <v>0.38</v>
      </c>
      <c r="AO45" s="3">
        <v>0</v>
      </c>
      <c r="AP45" s="3">
        <v>0.38</v>
      </c>
      <c r="AQ45" s="3">
        <v>0</v>
      </c>
      <c r="AR45" s="3">
        <v>0.99199999999999999</v>
      </c>
      <c r="AS45" s="3">
        <v>0</v>
      </c>
      <c r="AT45" s="3">
        <v>0.96899999999999997</v>
      </c>
      <c r="AU45" s="3">
        <v>0</v>
      </c>
      <c r="AV45" s="3">
        <v>0.92600000000000005</v>
      </c>
      <c r="AW45" s="3">
        <v>0</v>
      </c>
      <c r="AX45" s="3">
        <v>0.86399999999999999</v>
      </c>
      <c r="AY45" s="3">
        <v>0</v>
      </c>
      <c r="AZ45" s="3">
        <v>0.91500000000000004</v>
      </c>
      <c r="BA45" s="3">
        <v>0</v>
      </c>
      <c r="BB45" s="3">
        <v>0.83299999999999996</v>
      </c>
      <c r="BC45" s="3">
        <v>0.98250000000000004</v>
      </c>
      <c r="BD45" s="3">
        <v>0.97350000000000003</v>
      </c>
      <c r="BE45" s="3">
        <v>0.98250000000000004</v>
      </c>
      <c r="BF45" s="3">
        <v>0.98866666700000005</v>
      </c>
      <c r="BG45" s="3">
        <v>0.97424999999999995</v>
      </c>
      <c r="BH45" s="3">
        <v>0.99199999999999999</v>
      </c>
      <c r="BI45" s="3">
        <v>0.95</v>
      </c>
      <c r="BJ45" s="3">
        <v>0.96599999999999997</v>
      </c>
      <c r="BK45" s="3">
        <v>0.96599999999999997</v>
      </c>
      <c r="BL45" s="3">
        <v>0.98299999999999998</v>
      </c>
      <c r="BM45" s="3">
        <v>0.01</v>
      </c>
      <c r="BN45" s="3">
        <v>0.97399999999999998</v>
      </c>
      <c r="BO45" s="3">
        <v>0.98899999999999999</v>
      </c>
      <c r="BP45" s="48" t="s">
        <v>315</v>
      </c>
      <c r="BQ45" s="49" t="s">
        <v>347</v>
      </c>
      <c r="BR45" s="3">
        <v>5.1429999999999998</v>
      </c>
      <c r="BS45" s="3">
        <v>4.577</v>
      </c>
      <c r="BT45" s="3">
        <v>4.0609999999999999</v>
      </c>
      <c r="BU45" s="3">
        <v>2.7959999999999998</v>
      </c>
      <c r="BV45" s="3">
        <v>5.9470000000000001</v>
      </c>
      <c r="BW45" s="3">
        <v>5.359</v>
      </c>
      <c r="BX45" s="3">
        <v>1.0189999999999999</v>
      </c>
      <c r="BY45" s="3">
        <v>7.5359999999999996</v>
      </c>
      <c r="BZ45" s="3">
        <v>6.867</v>
      </c>
      <c r="CA45" s="3">
        <v>5.4130000000000003</v>
      </c>
      <c r="CB45" s="3">
        <v>4.3529999999999998</v>
      </c>
      <c r="CC45" s="3">
        <v>4.8019999999999996</v>
      </c>
      <c r="CD45" s="3">
        <v>3.3730000000000002</v>
      </c>
    </row>
    <row r="46" spans="1:82" x14ac:dyDescent="0.3">
      <c r="A46" s="48" t="s">
        <v>315</v>
      </c>
      <c r="B46" s="49" t="s">
        <v>348</v>
      </c>
      <c r="C46" s="3">
        <v>92.633808799999997</v>
      </c>
      <c r="D46" s="3">
        <v>43.854229599999996</v>
      </c>
      <c r="E46" s="3">
        <v>33.851199999999999</v>
      </c>
      <c r="F46" s="3">
        <v>25.828465600000001</v>
      </c>
      <c r="G46" s="3">
        <v>25.4899536</v>
      </c>
      <c r="H46" s="3">
        <v>36.390039999999999</v>
      </c>
      <c r="I46" s="48" t="s">
        <v>315</v>
      </c>
      <c r="J46" s="49" t="s">
        <v>348</v>
      </c>
      <c r="K46" s="3">
        <v>43740.5</v>
      </c>
      <c r="L46" s="48" t="s">
        <v>315</v>
      </c>
      <c r="M46" s="49" t="s">
        <v>348</v>
      </c>
      <c r="N46" s="3">
        <v>8831.7434919999996</v>
      </c>
      <c r="O46" s="3">
        <v>11935.548070000001</v>
      </c>
      <c r="P46" s="3">
        <v>7396.4947119999997</v>
      </c>
      <c r="Q46" s="3">
        <v>6189.8722330000001</v>
      </c>
      <c r="R46" s="3">
        <v>10300.910540000001</v>
      </c>
      <c r="S46" s="3">
        <v>13319.77282</v>
      </c>
      <c r="T46" s="3">
        <v>9239.6782409999996</v>
      </c>
      <c r="U46" s="3">
        <v>11494.080749999999</v>
      </c>
      <c r="V46" s="3">
        <v>8171.3823130000001</v>
      </c>
      <c r="W46" s="3">
        <v>6932.5280169999996</v>
      </c>
      <c r="X46" s="3">
        <v>9241.427592</v>
      </c>
      <c r="Y46" s="3">
        <v>1214.999534</v>
      </c>
      <c r="Z46" s="3">
        <v>4278.7016000000003</v>
      </c>
      <c r="AA46" s="48" t="s">
        <v>315</v>
      </c>
      <c r="AB46" s="49" t="s">
        <v>348</v>
      </c>
      <c r="AC46" s="3">
        <v>0</v>
      </c>
      <c r="AD46" s="3">
        <v>0.98499999999999999</v>
      </c>
      <c r="AE46" s="3">
        <v>0</v>
      </c>
      <c r="AF46" s="3">
        <v>0.85699999999999998</v>
      </c>
      <c r="AG46" s="3">
        <v>0</v>
      </c>
      <c r="AH46" s="3">
        <v>0.77500000000000002</v>
      </c>
      <c r="AI46" s="3">
        <v>0</v>
      </c>
      <c r="AJ46" s="3">
        <v>0.92700000000000005</v>
      </c>
      <c r="AK46" s="3">
        <v>0</v>
      </c>
      <c r="AL46" s="3">
        <v>0.85899999999999999</v>
      </c>
      <c r="AM46" s="3">
        <v>0</v>
      </c>
      <c r="AN46" s="3">
        <v>0.41199999999999998</v>
      </c>
      <c r="AO46" s="3">
        <v>0</v>
      </c>
      <c r="AP46" s="3">
        <v>0.41199999999999998</v>
      </c>
      <c r="AQ46" s="3">
        <v>0</v>
      </c>
      <c r="AR46" s="3">
        <v>0.98099999999999998</v>
      </c>
      <c r="AS46" s="3">
        <v>0</v>
      </c>
      <c r="AT46" s="3">
        <v>0.93500000000000005</v>
      </c>
      <c r="AU46" s="3">
        <v>0</v>
      </c>
      <c r="AV46" s="3">
        <v>0.88800000000000001</v>
      </c>
      <c r="AW46" s="3">
        <v>0</v>
      </c>
      <c r="AX46" s="3">
        <v>0.77600000000000002</v>
      </c>
      <c r="AY46" s="3">
        <v>0</v>
      </c>
      <c r="AZ46" s="3">
        <v>0.876</v>
      </c>
      <c r="BA46" s="3">
        <v>0</v>
      </c>
      <c r="BB46" s="3">
        <v>0.79200000000000004</v>
      </c>
      <c r="BC46" s="3">
        <v>0.98299999999999998</v>
      </c>
      <c r="BD46" s="3">
        <v>0.97299999999999998</v>
      </c>
      <c r="BE46" s="3">
        <v>0.98450000000000004</v>
      </c>
      <c r="BF46" s="3">
        <v>0.99166666699999995</v>
      </c>
      <c r="BG46" s="3">
        <v>0.97166666700000004</v>
      </c>
      <c r="BH46" s="3">
        <v>0.99199999999999999</v>
      </c>
      <c r="BI46" s="3">
        <v>0.92500000000000004</v>
      </c>
      <c r="BJ46" s="3">
        <v>0.96033333300000001</v>
      </c>
      <c r="BK46" s="3">
        <v>0.97350000000000003</v>
      </c>
      <c r="BL46" s="3">
        <v>0.97533333300000002</v>
      </c>
      <c r="BM46" s="3">
        <v>0.01</v>
      </c>
      <c r="BN46" s="3">
        <v>0.97433333300000002</v>
      </c>
      <c r="BO46" s="3">
        <v>0.98299999999999998</v>
      </c>
      <c r="BP46" s="48" t="s">
        <v>315</v>
      </c>
      <c r="BQ46" s="49" t="s">
        <v>348</v>
      </c>
      <c r="BR46" s="3">
        <v>4.9000000000000004</v>
      </c>
      <c r="BS46" s="3">
        <v>4.3360000000000003</v>
      </c>
      <c r="BT46" s="3">
        <v>3.9420000000000002</v>
      </c>
      <c r="BU46" s="3">
        <v>2.4689999999999999</v>
      </c>
      <c r="BV46" s="3">
        <v>5.2610000000000001</v>
      </c>
      <c r="BW46" s="3">
        <v>4.9909999999999997</v>
      </c>
      <c r="BX46" s="3">
        <v>1.014</v>
      </c>
      <c r="BY46" s="3">
        <v>6.984</v>
      </c>
      <c r="BZ46" s="3">
        <v>6.29</v>
      </c>
      <c r="CA46" s="3">
        <v>5.0540000000000003</v>
      </c>
      <c r="CB46" s="3">
        <v>3.931</v>
      </c>
      <c r="CC46" s="3">
        <v>4.548</v>
      </c>
      <c r="CD46" s="3">
        <v>3.2530000000000001</v>
      </c>
    </row>
    <row r="47" spans="1:82" x14ac:dyDescent="0.3">
      <c r="A47" s="48" t="s">
        <v>315</v>
      </c>
      <c r="B47" s="49" t="s">
        <v>349</v>
      </c>
      <c r="C47" s="3">
        <v>44.937468000000003</v>
      </c>
      <c r="D47" s="3">
        <v>40.342167600000003</v>
      </c>
      <c r="E47" s="3">
        <v>29.619800000000001</v>
      </c>
      <c r="F47" s="3">
        <v>25.599969999999999</v>
      </c>
      <c r="G47" s="3">
        <v>25.4899536</v>
      </c>
      <c r="H47" s="3">
        <v>29.619800000000001</v>
      </c>
      <c r="I47" s="48" t="s">
        <v>315</v>
      </c>
      <c r="J47" s="49" t="s">
        <v>349</v>
      </c>
      <c r="K47" s="3">
        <v>40867</v>
      </c>
      <c r="L47" s="48" t="s">
        <v>315</v>
      </c>
      <c r="M47" s="49" t="s">
        <v>349</v>
      </c>
      <c r="N47" s="3">
        <v>8121.5359189999999</v>
      </c>
      <c r="O47" s="3">
        <v>10754.430990000001</v>
      </c>
      <c r="P47" s="3">
        <v>6614.0523990000002</v>
      </c>
      <c r="Q47" s="3">
        <v>5661.4890320000004</v>
      </c>
      <c r="R47" s="3">
        <v>9828.7544809999999</v>
      </c>
      <c r="S47" s="3">
        <v>12384.72078</v>
      </c>
      <c r="T47" s="3">
        <v>8665.0950250000005</v>
      </c>
      <c r="U47" s="3">
        <v>10535.48846</v>
      </c>
      <c r="V47" s="3">
        <v>7087.0269550000003</v>
      </c>
      <c r="W47" s="3">
        <v>6156.4231499999996</v>
      </c>
      <c r="X47" s="3">
        <v>8552.2035830000004</v>
      </c>
      <c r="Y47" s="3">
        <v>1123.9907129999999</v>
      </c>
      <c r="Z47" s="3">
        <v>4170.1346910000002</v>
      </c>
      <c r="AA47" s="48" t="s">
        <v>315</v>
      </c>
      <c r="AB47" s="49" t="s">
        <v>349</v>
      </c>
      <c r="AC47" s="3">
        <v>0</v>
      </c>
      <c r="AD47" s="3">
        <v>0.93600000000000005</v>
      </c>
      <c r="AE47" s="3">
        <v>0</v>
      </c>
      <c r="AF47" s="3">
        <v>0.67700000000000005</v>
      </c>
      <c r="AG47" s="3">
        <v>0</v>
      </c>
      <c r="AH47" s="3">
        <v>0.628</v>
      </c>
      <c r="AI47" s="3">
        <v>0</v>
      </c>
      <c r="AJ47" s="3">
        <v>0.85099999999999998</v>
      </c>
      <c r="AK47" s="3">
        <v>0</v>
      </c>
      <c r="AL47" s="3">
        <v>0.95599999999999996</v>
      </c>
      <c r="AM47" s="3">
        <v>0</v>
      </c>
      <c r="AN47" s="3">
        <v>0.42799999999999999</v>
      </c>
      <c r="AO47" s="3">
        <v>0</v>
      </c>
      <c r="AP47" s="3">
        <v>0.42799999999999999</v>
      </c>
      <c r="AQ47" s="3">
        <v>0</v>
      </c>
      <c r="AR47" s="3">
        <v>0.94799999999999995</v>
      </c>
      <c r="AS47" s="3">
        <v>0</v>
      </c>
      <c r="AT47" s="3">
        <v>0.873</v>
      </c>
      <c r="AU47" s="3">
        <v>0</v>
      </c>
      <c r="AV47" s="3">
        <v>0.84299999999999997</v>
      </c>
      <c r="AW47" s="3">
        <v>0</v>
      </c>
      <c r="AX47" s="3">
        <v>0.69399999999999995</v>
      </c>
      <c r="AY47" s="3">
        <v>0</v>
      </c>
      <c r="AZ47" s="3">
        <v>0.82899999999999996</v>
      </c>
      <c r="BA47" s="3">
        <v>0</v>
      </c>
      <c r="BB47" s="3">
        <v>0.75600000000000001</v>
      </c>
      <c r="BC47" s="3">
        <v>0.98650000000000004</v>
      </c>
      <c r="BD47" s="3">
        <v>0.97899999999999998</v>
      </c>
      <c r="BE47" s="3">
        <v>0.98350000000000004</v>
      </c>
      <c r="BF47" s="3">
        <v>0.99033333300000004</v>
      </c>
      <c r="BG47" s="3">
        <v>0.97541666699999996</v>
      </c>
      <c r="BH47" s="3">
        <v>0.99199999999999999</v>
      </c>
      <c r="BI47" s="3">
        <v>0.89400000000000002</v>
      </c>
      <c r="BJ47" s="3">
        <v>0.96433333300000001</v>
      </c>
      <c r="BK47" s="3">
        <v>0.98450000000000004</v>
      </c>
      <c r="BL47" s="3">
        <v>0.96633333300000002</v>
      </c>
      <c r="BM47" s="3">
        <v>0.01</v>
      </c>
      <c r="BN47" s="3">
        <v>0.97866666700000005</v>
      </c>
      <c r="BO47" s="3">
        <v>0.96599999999999997</v>
      </c>
      <c r="BP47" s="48" t="s">
        <v>315</v>
      </c>
      <c r="BQ47" s="49" t="s">
        <v>349</v>
      </c>
      <c r="BR47" s="3">
        <v>4.66</v>
      </c>
      <c r="BS47" s="3">
        <v>3.9910000000000001</v>
      </c>
      <c r="BT47" s="3">
        <v>3.6890000000000001</v>
      </c>
      <c r="BU47" s="3">
        <v>2.1989999999999998</v>
      </c>
      <c r="BV47" s="3">
        <v>4.7169999999999996</v>
      </c>
      <c r="BW47" s="3">
        <v>5.3360000000000003</v>
      </c>
      <c r="BX47" s="3">
        <v>1.0169999999999999</v>
      </c>
      <c r="BY47" s="3">
        <v>6.4640000000000004</v>
      </c>
      <c r="BZ47" s="3">
        <v>5.7649999999999997</v>
      </c>
      <c r="CA47" s="3">
        <v>4.7009999999999996</v>
      </c>
      <c r="CB47" s="3">
        <v>3.5960000000000001</v>
      </c>
      <c r="CC47" s="3">
        <v>4.3339999999999996</v>
      </c>
      <c r="CD47" s="3">
        <v>3.1880000000000002</v>
      </c>
    </row>
    <row r="48" spans="1:82" x14ac:dyDescent="0.3">
      <c r="A48" s="48" t="s">
        <v>315</v>
      </c>
      <c r="B48" s="49" t="s">
        <v>350</v>
      </c>
      <c r="C48" s="3">
        <v>60.864457600000001</v>
      </c>
      <c r="D48" s="3">
        <v>40.452184000000003</v>
      </c>
      <c r="E48" s="3">
        <v>26.023109999999999</v>
      </c>
      <c r="F48" s="3">
        <v>25.193755599999999</v>
      </c>
      <c r="G48" s="3">
        <v>24.609822399999999</v>
      </c>
      <c r="H48" s="3">
        <v>35.543759999999999</v>
      </c>
      <c r="I48" s="48" t="s">
        <v>315</v>
      </c>
      <c r="J48" s="49" t="s">
        <v>350</v>
      </c>
      <c r="K48" s="3">
        <v>37407.5</v>
      </c>
      <c r="L48" s="48" t="s">
        <v>315</v>
      </c>
      <c r="M48" s="49" t="s">
        <v>350</v>
      </c>
      <c r="N48" s="3">
        <v>7196.1625260000001</v>
      </c>
      <c r="O48" s="3">
        <v>9216.8154070000001</v>
      </c>
      <c r="P48" s="3">
        <v>5640.9394190000003</v>
      </c>
      <c r="Q48" s="3">
        <v>4906.9157349999996</v>
      </c>
      <c r="R48" s="3">
        <v>9061.5497219999997</v>
      </c>
      <c r="S48" s="3">
        <v>11017.514150000001</v>
      </c>
      <c r="T48" s="3">
        <v>7898.507243</v>
      </c>
      <c r="U48" s="3">
        <v>9361.5110380000006</v>
      </c>
      <c r="V48" s="3">
        <v>6230.2223160000003</v>
      </c>
      <c r="W48" s="3">
        <v>5296.781027</v>
      </c>
      <c r="X48" s="3">
        <v>7595.2505419999998</v>
      </c>
      <c r="Y48" s="3">
        <v>993.46077979999995</v>
      </c>
      <c r="Z48" s="3">
        <v>3544.04315</v>
      </c>
      <c r="AA48" s="48" t="s">
        <v>315</v>
      </c>
      <c r="AB48" s="49" t="s">
        <v>350</v>
      </c>
      <c r="AC48" s="3">
        <v>0</v>
      </c>
      <c r="AD48" s="3">
        <v>0.83899999999999997</v>
      </c>
      <c r="AE48" s="3">
        <v>0</v>
      </c>
      <c r="AF48" s="3">
        <v>0.55000000000000004</v>
      </c>
      <c r="AG48" s="3">
        <v>0</v>
      </c>
      <c r="AH48" s="3">
        <v>0.505</v>
      </c>
      <c r="AI48" s="3">
        <v>0</v>
      </c>
      <c r="AJ48" s="3">
        <v>0.74399999999999999</v>
      </c>
      <c r="AK48" s="3">
        <v>0</v>
      </c>
      <c r="AL48" s="3">
        <v>0.99</v>
      </c>
      <c r="AM48" s="3">
        <v>0</v>
      </c>
      <c r="AN48" s="3">
        <v>0.45400000000000001</v>
      </c>
      <c r="AO48" s="3">
        <v>0</v>
      </c>
      <c r="AP48" s="3">
        <v>0.45400000000000001</v>
      </c>
      <c r="AQ48" s="3">
        <v>0</v>
      </c>
      <c r="AR48" s="3">
        <v>0.879</v>
      </c>
      <c r="AS48" s="3">
        <v>0</v>
      </c>
      <c r="AT48" s="3">
        <v>0.78900000000000003</v>
      </c>
      <c r="AU48" s="3">
        <v>0</v>
      </c>
      <c r="AV48" s="3">
        <v>0.79500000000000004</v>
      </c>
      <c r="AW48" s="3">
        <v>0</v>
      </c>
      <c r="AX48" s="3">
        <v>0.65200000000000002</v>
      </c>
      <c r="AY48" s="3">
        <v>0</v>
      </c>
      <c r="AZ48" s="3">
        <v>0.78900000000000003</v>
      </c>
      <c r="BA48" s="3">
        <v>0</v>
      </c>
      <c r="BB48" s="3">
        <v>0.71699999999999997</v>
      </c>
      <c r="BC48" s="3">
        <v>0.98799999999999999</v>
      </c>
      <c r="BD48" s="3">
        <v>0.98350000000000004</v>
      </c>
      <c r="BE48" s="3">
        <v>0.98250000000000004</v>
      </c>
      <c r="BF48" s="3">
        <v>0.99133333300000004</v>
      </c>
      <c r="BG48" s="3">
        <v>0.97950000000000004</v>
      </c>
      <c r="BH48" s="3">
        <v>0.99</v>
      </c>
      <c r="BI48" s="3">
        <v>0.87549999999999994</v>
      </c>
      <c r="BJ48" s="3">
        <v>0.97099999999999997</v>
      </c>
      <c r="BK48" s="3">
        <v>0.98550000000000004</v>
      </c>
      <c r="BL48" s="3">
        <v>0.95166666700000002</v>
      </c>
      <c r="BM48" s="3">
        <v>0.01</v>
      </c>
      <c r="BN48" s="3">
        <v>0.98266666700000005</v>
      </c>
      <c r="BO48" s="3">
        <v>0.95099999999999996</v>
      </c>
      <c r="BP48" s="48" t="s">
        <v>315</v>
      </c>
      <c r="BQ48" s="49" t="s">
        <v>350</v>
      </c>
      <c r="BR48" s="3">
        <v>4.2709999999999999</v>
      </c>
      <c r="BS48" s="3">
        <v>3.5169999999999999</v>
      </c>
      <c r="BT48" s="3">
        <v>3.153</v>
      </c>
      <c r="BU48" s="3">
        <v>1.954</v>
      </c>
      <c r="BV48" s="3">
        <v>4.1539999999999999</v>
      </c>
      <c r="BW48" s="3">
        <v>5.4829999999999997</v>
      </c>
      <c r="BX48" s="3">
        <v>1.0509999999999999</v>
      </c>
      <c r="BY48" s="3">
        <v>6.01</v>
      </c>
      <c r="BZ48" s="3">
        <v>5.2690000000000001</v>
      </c>
      <c r="CA48" s="3">
        <v>4.3120000000000003</v>
      </c>
      <c r="CB48" s="3">
        <v>3.3119999999999998</v>
      </c>
      <c r="CC48" s="3">
        <v>4.0659999999999998</v>
      </c>
      <c r="CD48" s="3">
        <v>2.9790000000000001</v>
      </c>
    </row>
    <row r="49" spans="1:82" x14ac:dyDescent="0.3">
      <c r="A49" s="48" t="s">
        <v>315</v>
      </c>
      <c r="B49" s="49" t="s">
        <v>351</v>
      </c>
      <c r="C49" s="3">
        <v>75.555878399999997</v>
      </c>
      <c r="D49" s="3">
        <v>38.954268399999997</v>
      </c>
      <c r="E49" s="3">
        <v>25.303771999999999</v>
      </c>
      <c r="F49" s="3">
        <v>24.753689999999999</v>
      </c>
      <c r="G49" s="3">
        <v>8.8013119999999994</v>
      </c>
      <c r="H49" s="3">
        <v>29.619800000000001</v>
      </c>
      <c r="I49" s="48" t="s">
        <v>315</v>
      </c>
      <c r="J49" s="49" t="s">
        <v>351</v>
      </c>
      <c r="K49" s="3">
        <v>33417.5</v>
      </c>
      <c r="L49" s="48" t="s">
        <v>315</v>
      </c>
      <c r="M49" s="49" t="s">
        <v>351</v>
      </c>
      <c r="N49" s="3">
        <v>5912.5531719999999</v>
      </c>
      <c r="O49" s="3">
        <v>7359.3325160000004</v>
      </c>
      <c r="P49" s="3">
        <v>4495.4397120000003</v>
      </c>
      <c r="Q49" s="3">
        <v>3921.649175</v>
      </c>
      <c r="R49" s="3">
        <v>7789.0214120000001</v>
      </c>
      <c r="S49" s="3">
        <v>8592.1908789999998</v>
      </c>
      <c r="T49" s="3">
        <v>6764.5773310000004</v>
      </c>
      <c r="U49" s="3">
        <v>7679.3991939999996</v>
      </c>
      <c r="V49" s="3">
        <v>5071.0749759999999</v>
      </c>
      <c r="W49" s="3">
        <v>4205.5643410000002</v>
      </c>
      <c r="X49" s="3">
        <v>6300.1044760000004</v>
      </c>
      <c r="Y49" s="3">
        <v>790.55925360000003</v>
      </c>
      <c r="Z49" s="3">
        <v>2784.8449519999999</v>
      </c>
      <c r="AA49" s="48" t="s">
        <v>315</v>
      </c>
      <c r="AB49" s="49" t="s">
        <v>351</v>
      </c>
      <c r="AC49" s="3">
        <v>0</v>
      </c>
      <c r="AD49" s="3">
        <v>0.66200000000000003</v>
      </c>
      <c r="AE49" s="3">
        <v>0</v>
      </c>
      <c r="AF49" s="3">
        <v>0.52</v>
      </c>
      <c r="AG49" s="3">
        <v>0</v>
      </c>
      <c r="AH49" s="3">
        <v>0.44900000000000001</v>
      </c>
      <c r="AI49" s="3">
        <v>0</v>
      </c>
      <c r="AJ49" s="3">
        <v>0.56899999999999995</v>
      </c>
      <c r="AK49" s="3">
        <v>0</v>
      </c>
      <c r="AL49" s="3">
        <v>0.99299999999999999</v>
      </c>
      <c r="AM49" s="3">
        <v>0</v>
      </c>
      <c r="AN49" s="3">
        <v>0.51200000000000001</v>
      </c>
      <c r="AO49" s="3">
        <v>0</v>
      </c>
      <c r="AP49" s="3">
        <v>0.51200000000000001</v>
      </c>
      <c r="AQ49" s="3">
        <v>0</v>
      </c>
      <c r="AR49" s="3">
        <v>0.79500000000000004</v>
      </c>
      <c r="AS49" s="3">
        <v>0</v>
      </c>
      <c r="AT49" s="3">
        <v>0.65300000000000002</v>
      </c>
      <c r="AU49" s="3">
        <v>0</v>
      </c>
      <c r="AV49" s="3">
        <v>0.74</v>
      </c>
      <c r="AW49" s="3">
        <v>0</v>
      </c>
      <c r="AX49" s="3">
        <v>0.64600000000000002</v>
      </c>
      <c r="AY49" s="3">
        <v>0</v>
      </c>
      <c r="AZ49" s="3">
        <v>0.748</v>
      </c>
      <c r="BA49" s="3">
        <v>0</v>
      </c>
      <c r="BB49" s="3">
        <v>0.68200000000000005</v>
      </c>
      <c r="BC49" s="3">
        <v>0.98950000000000005</v>
      </c>
      <c r="BD49" s="3">
        <v>0.98650000000000004</v>
      </c>
      <c r="BE49" s="3">
        <v>0.98050000000000004</v>
      </c>
      <c r="BF49" s="3">
        <v>0.99133333300000004</v>
      </c>
      <c r="BG49" s="3">
        <v>0.98408333400000003</v>
      </c>
      <c r="BH49" s="3">
        <v>0.99099999999999999</v>
      </c>
      <c r="BI49" s="3">
        <v>0.90200000000000002</v>
      </c>
      <c r="BJ49" s="3">
        <v>0.97866666700000005</v>
      </c>
      <c r="BK49" s="3">
        <v>0.98599999999999999</v>
      </c>
      <c r="BL49" s="3">
        <v>0.92900000000000005</v>
      </c>
      <c r="BM49" s="3">
        <v>0.01</v>
      </c>
      <c r="BN49" s="3">
        <v>0.98033333300000003</v>
      </c>
      <c r="BO49" s="3">
        <v>0.96799999999999997</v>
      </c>
      <c r="BP49" s="48" t="s">
        <v>315</v>
      </c>
      <c r="BQ49" s="49" t="s">
        <v>351</v>
      </c>
      <c r="BR49" s="3">
        <v>3.7370000000000001</v>
      </c>
      <c r="BS49" s="3">
        <v>3.14</v>
      </c>
      <c r="BT49" s="3">
        <v>2.677</v>
      </c>
      <c r="BU49" s="3">
        <v>1.917</v>
      </c>
      <c r="BV49" s="3">
        <v>3.4289999999999998</v>
      </c>
      <c r="BW49" s="3">
        <v>5.5650000000000004</v>
      </c>
      <c r="BX49" s="3">
        <v>1.0609999999999999</v>
      </c>
      <c r="BY49" s="3">
        <v>5.5650000000000004</v>
      </c>
      <c r="BZ49" s="3">
        <v>4.6710000000000003</v>
      </c>
      <c r="CA49" s="3">
        <v>3.8559999999999999</v>
      </c>
      <c r="CB49" s="3">
        <v>3.09</v>
      </c>
      <c r="CC49" s="3">
        <v>3.7549999999999999</v>
      </c>
      <c r="CD49" s="3">
        <v>2.77</v>
      </c>
    </row>
    <row r="50" spans="1:82" x14ac:dyDescent="0.3">
      <c r="A50" s="48" t="s">
        <v>315</v>
      </c>
      <c r="B50" s="49" t="s">
        <v>352</v>
      </c>
      <c r="C50" s="3">
        <v>39.622829600000003</v>
      </c>
      <c r="D50" s="3">
        <v>35.010603600000003</v>
      </c>
      <c r="E50" s="3">
        <v>25.447639599999999</v>
      </c>
      <c r="F50" s="3">
        <v>25.388400000000001</v>
      </c>
      <c r="G50" s="3">
        <v>5.8647204000000004</v>
      </c>
      <c r="H50" s="3">
        <v>25.447639599999999</v>
      </c>
      <c r="I50" s="48" t="s">
        <v>315</v>
      </c>
      <c r="J50" s="49" t="s">
        <v>352</v>
      </c>
      <c r="K50" s="3">
        <v>30791</v>
      </c>
      <c r="L50" s="48" t="s">
        <v>315</v>
      </c>
      <c r="M50" s="49" t="s">
        <v>352</v>
      </c>
      <c r="N50" s="3">
        <v>3896.9421040000002</v>
      </c>
      <c r="O50" s="3">
        <v>4785.555163</v>
      </c>
      <c r="P50" s="3">
        <v>2936.5389449999998</v>
      </c>
      <c r="Q50" s="3">
        <v>2663.8079429999998</v>
      </c>
      <c r="R50" s="3">
        <v>5485.1613600000001</v>
      </c>
      <c r="S50" s="3">
        <v>5834.374581</v>
      </c>
      <c r="T50" s="3">
        <v>4553.8161369999998</v>
      </c>
      <c r="U50" s="3">
        <v>4643.3959160000004</v>
      </c>
      <c r="V50" s="3">
        <v>3314.41795</v>
      </c>
      <c r="W50" s="3">
        <v>2561.8419760000002</v>
      </c>
      <c r="X50" s="3">
        <v>4195.5086220000003</v>
      </c>
      <c r="Y50" s="3">
        <v>509.36836069999998</v>
      </c>
      <c r="Z50" s="3">
        <v>2025.3053990000001</v>
      </c>
      <c r="AA50" s="48" t="s">
        <v>315</v>
      </c>
      <c r="AB50" s="49" t="s">
        <v>352</v>
      </c>
      <c r="AC50" s="3">
        <v>0</v>
      </c>
      <c r="AD50" s="3">
        <v>0.52300000000000002</v>
      </c>
      <c r="AE50" s="3">
        <v>0</v>
      </c>
      <c r="AF50" s="3">
        <v>0.42899999999999999</v>
      </c>
      <c r="AG50" s="3">
        <v>0</v>
      </c>
      <c r="AH50" s="3">
        <v>0.39100000000000001</v>
      </c>
      <c r="AI50" s="3">
        <v>0</v>
      </c>
      <c r="AJ50" s="3">
        <v>0.505</v>
      </c>
      <c r="AK50" s="3">
        <v>0</v>
      </c>
      <c r="AL50" s="3">
        <v>0.98899999999999999</v>
      </c>
      <c r="AM50" s="3">
        <v>0</v>
      </c>
      <c r="AN50" s="3">
        <v>0.54900000000000004</v>
      </c>
      <c r="AO50" s="3">
        <v>0</v>
      </c>
      <c r="AP50" s="3">
        <v>0.54900000000000004</v>
      </c>
      <c r="AQ50" s="3">
        <v>0</v>
      </c>
      <c r="AR50" s="3">
        <v>0.71199999999999997</v>
      </c>
      <c r="AS50" s="3">
        <v>0</v>
      </c>
      <c r="AT50" s="3">
        <v>0.61599999999999999</v>
      </c>
      <c r="AU50" s="3">
        <v>0</v>
      </c>
      <c r="AV50" s="3">
        <v>0.69299999999999995</v>
      </c>
      <c r="AW50" s="3">
        <v>0</v>
      </c>
      <c r="AX50" s="3">
        <v>0.61799999999999999</v>
      </c>
      <c r="AY50" s="3">
        <v>0</v>
      </c>
      <c r="AZ50" s="3">
        <v>0.65800000000000003</v>
      </c>
      <c r="BA50" s="3">
        <v>0</v>
      </c>
      <c r="BB50" s="3">
        <v>0.65</v>
      </c>
      <c r="BC50" s="3">
        <v>0.99050000000000005</v>
      </c>
      <c r="BD50" s="3">
        <v>0.98650000000000004</v>
      </c>
      <c r="BE50" s="3">
        <v>0.97350000000000003</v>
      </c>
      <c r="BF50" s="3">
        <v>0.98899999999999999</v>
      </c>
      <c r="BG50" s="3">
        <v>0.98708333400000003</v>
      </c>
      <c r="BH50" s="3">
        <v>0.99199999999999999</v>
      </c>
      <c r="BI50" s="3">
        <v>0.95950000000000002</v>
      </c>
      <c r="BJ50" s="3">
        <v>0.98366666700000005</v>
      </c>
      <c r="BK50" s="3">
        <v>0.98850000000000005</v>
      </c>
      <c r="BL50" s="3">
        <v>0.91600000000000004</v>
      </c>
      <c r="BM50" s="3">
        <v>0.01</v>
      </c>
      <c r="BN50" s="3">
        <v>0.97733333300000003</v>
      </c>
      <c r="BO50" s="3">
        <v>0.98599999999999999</v>
      </c>
      <c r="BP50" s="48" t="s">
        <v>315</v>
      </c>
      <c r="BQ50" s="49" t="s">
        <v>352</v>
      </c>
      <c r="BR50" s="3">
        <v>3.0019999999999998</v>
      </c>
      <c r="BS50" s="3">
        <v>2.8809999999999998</v>
      </c>
      <c r="BT50" s="3">
        <v>2.4569999999999999</v>
      </c>
      <c r="BU50" s="3">
        <v>2.0059999999999998</v>
      </c>
      <c r="BV50" s="3">
        <v>2.7829999999999999</v>
      </c>
      <c r="BW50" s="3">
        <v>5.7009999999999996</v>
      </c>
      <c r="BX50" s="3">
        <v>0.90700000000000003</v>
      </c>
      <c r="BY50" s="3">
        <v>5.1079999999999997</v>
      </c>
      <c r="BZ50" s="3">
        <v>4.1509999999999998</v>
      </c>
      <c r="CA50" s="3">
        <v>3.4510000000000001</v>
      </c>
      <c r="CB50" s="3">
        <v>2.7839999999999998</v>
      </c>
      <c r="CC50" s="3">
        <v>3.3540000000000001</v>
      </c>
      <c r="CD50" s="3">
        <v>2.6179999999999999</v>
      </c>
    </row>
    <row r="51" spans="1:82" x14ac:dyDescent="0.3">
      <c r="A51" s="48" t="s">
        <v>316</v>
      </c>
      <c r="B51" s="49" t="s">
        <v>329</v>
      </c>
      <c r="C51" s="3">
        <v>32.789262000000001</v>
      </c>
      <c r="D51" s="3">
        <v>26.019642000000001</v>
      </c>
      <c r="E51" s="3">
        <v>26.019642000000001</v>
      </c>
      <c r="F51" s="3">
        <v>25.307963999999998</v>
      </c>
      <c r="G51" s="3">
        <v>15.630879</v>
      </c>
      <c r="H51" s="3">
        <v>26.019642000000001</v>
      </c>
      <c r="I51" s="48" t="s">
        <v>316</v>
      </c>
      <c r="J51" s="49" t="s">
        <v>329</v>
      </c>
      <c r="K51" s="3">
        <v>28695.5</v>
      </c>
      <c r="L51" s="48" t="s">
        <v>316</v>
      </c>
      <c r="M51" s="49" t="s">
        <v>329</v>
      </c>
      <c r="N51" s="3">
        <v>1820.8896669999999</v>
      </c>
      <c r="O51" s="3">
        <v>2689.7144560000002</v>
      </c>
      <c r="P51" s="3">
        <v>1427.7076159999999</v>
      </c>
      <c r="Q51" s="3">
        <v>1562.905992</v>
      </c>
      <c r="R51" s="3">
        <v>2768.2160530000001</v>
      </c>
      <c r="S51" s="3">
        <v>2823.6683630000002</v>
      </c>
      <c r="T51" s="3">
        <v>2323.825977</v>
      </c>
      <c r="U51" s="3">
        <v>2058.9656260000002</v>
      </c>
      <c r="V51" s="3">
        <v>1474.5171720000001</v>
      </c>
      <c r="W51" s="3">
        <v>1071.5278800000001</v>
      </c>
      <c r="X51" s="3">
        <v>2033.556282</v>
      </c>
      <c r="Y51" s="3">
        <v>224.57956809999999</v>
      </c>
      <c r="Z51" s="3">
        <v>497.65705939999998</v>
      </c>
      <c r="AA51" s="48" t="s">
        <v>316</v>
      </c>
      <c r="AB51" s="49" t="s">
        <v>329</v>
      </c>
      <c r="AC51" s="3">
        <v>0</v>
      </c>
      <c r="AD51" s="3">
        <v>0.57599999999999996</v>
      </c>
      <c r="AE51" s="3">
        <v>0</v>
      </c>
      <c r="AF51" s="3">
        <v>0.435</v>
      </c>
      <c r="AG51" s="3">
        <v>0</v>
      </c>
      <c r="AH51" s="3">
        <v>0.216</v>
      </c>
      <c r="AI51" s="3">
        <v>0</v>
      </c>
      <c r="AJ51" s="3">
        <v>0.63</v>
      </c>
      <c r="AK51" s="3">
        <v>0</v>
      </c>
      <c r="AL51" s="3">
        <v>0.56699999999999995</v>
      </c>
      <c r="AM51" s="3">
        <v>0</v>
      </c>
      <c r="AN51" s="3">
        <v>3.2000000000000001E-2</v>
      </c>
      <c r="AO51" s="3">
        <v>0</v>
      </c>
      <c r="AP51" s="3">
        <v>3.2000000000000001E-2</v>
      </c>
      <c r="AQ51" s="3">
        <v>0</v>
      </c>
      <c r="AR51" s="3">
        <v>0.69399999999999995</v>
      </c>
      <c r="AS51" s="3">
        <v>0</v>
      </c>
      <c r="AT51" s="3">
        <v>0.73199999999999998</v>
      </c>
      <c r="AU51" s="3">
        <v>0</v>
      </c>
      <c r="AV51" s="3">
        <v>0.89100000000000001</v>
      </c>
      <c r="AW51" s="3">
        <v>0</v>
      </c>
      <c r="AX51" s="3">
        <v>0.622</v>
      </c>
      <c r="AY51" s="3">
        <v>0</v>
      </c>
      <c r="AZ51" s="3">
        <v>0.746</v>
      </c>
      <c r="BA51" s="3">
        <v>0</v>
      </c>
      <c r="BB51" s="3">
        <v>0.23499999999999999</v>
      </c>
      <c r="BC51" s="3">
        <v>0.435</v>
      </c>
      <c r="BD51" s="3">
        <v>0.438</v>
      </c>
      <c r="BE51" s="3">
        <v>8.4000000000000005E-2</v>
      </c>
      <c r="BF51" s="3">
        <v>0.177666667</v>
      </c>
      <c r="BG51" s="3">
        <v>0.63949999999999996</v>
      </c>
      <c r="BH51" s="3">
        <v>0.19700000000000001</v>
      </c>
      <c r="BI51" s="3">
        <v>0.71799999999999997</v>
      </c>
      <c r="BJ51" s="3">
        <v>0.84399999999999997</v>
      </c>
      <c r="BK51" s="3">
        <v>0.86050000000000004</v>
      </c>
      <c r="BL51" s="3">
        <v>0.5</v>
      </c>
      <c r="BM51" s="3">
        <v>0.01</v>
      </c>
      <c r="BN51" s="3">
        <v>0.34933333300000002</v>
      </c>
      <c r="BO51" s="3">
        <v>0.50600000000000001</v>
      </c>
      <c r="BP51" s="48" t="s">
        <v>316</v>
      </c>
      <c r="BQ51" s="49" t="s">
        <v>329</v>
      </c>
      <c r="BR51" s="3">
        <v>3.206</v>
      </c>
      <c r="BS51" s="3">
        <v>3.9529999999999998</v>
      </c>
      <c r="BT51" s="3">
        <v>2.6680000000000001</v>
      </c>
      <c r="BU51" s="3">
        <v>1.4630000000000001</v>
      </c>
      <c r="BV51" s="3">
        <v>4.0220000000000002</v>
      </c>
      <c r="BW51" s="3">
        <v>7.2240000000000002</v>
      </c>
      <c r="BX51" s="3">
        <v>0.13500000000000001</v>
      </c>
      <c r="BY51" s="3">
        <v>6.5590000000000002</v>
      </c>
      <c r="BZ51" s="3">
        <v>6.3860000000000001</v>
      </c>
      <c r="CA51" s="3">
        <v>6.4710000000000001</v>
      </c>
      <c r="CB51" s="3">
        <v>3.8170000000000002</v>
      </c>
      <c r="CC51" s="3">
        <v>5.2380000000000004</v>
      </c>
      <c r="CD51" s="3">
        <v>1.621</v>
      </c>
    </row>
    <row r="52" spans="1:82" x14ac:dyDescent="0.3">
      <c r="A52" s="48" t="s">
        <v>316</v>
      </c>
      <c r="B52" s="49" t="s">
        <v>330</v>
      </c>
      <c r="C52" s="3">
        <v>28.423725000000001</v>
      </c>
      <c r="D52" s="3">
        <v>25.342680000000001</v>
      </c>
      <c r="E52" s="3">
        <v>25.342680000000001</v>
      </c>
      <c r="F52" s="3">
        <v>25.281927</v>
      </c>
      <c r="G52" s="3">
        <v>15.674274</v>
      </c>
      <c r="H52" s="3">
        <v>25.342680000000001</v>
      </c>
      <c r="I52" s="48" t="s">
        <v>316</v>
      </c>
      <c r="J52" s="49" t="s">
        <v>330</v>
      </c>
      <c r="K52" s="3">
        <v>29241</v>
      </c>
      <c r="L52" s="48" t="s">
        <v>316</v>
      </c>
      <c r="M52" s="49" t="s">
        <v>330</v>
      </c>
      <c r="N52" s="3">
        <v>1259.1843329999999</v>
      </c>
      <c r="O52" s="3">
        <v>1949.3244950000001</v>
      </c>
      <c r="P52" s="3">
        <v>1053.5936979999999</v>
      </c>
      <c r="Q52" s="3">
        <v>1266.06917</v>
      </c>
      <c r="R52" s="3">
        <v>1750.2644869999999</v>
      </c>
      <c r="S52" s="3">
        <v>1845.362014</v>
      </c>
      <c r="T52" s="3">
        <v>1527.458052</v>
      </c>
      <c r="U52" s="3">
        <v>1589.3559909999999</v>
      </c>
      <c r="V52" s="3">
        <v>1144.6144939999999</v>
      </c>
      <c r="W52" s="3">
        <v>735.0039696</v>
      </c>
      <c r="X52" s="3">
        <v>1437.9816949999999</v>
      </c>
      <c r="Y52" s="3">
        <v>141.19824929999999</v>
      </c>
      <c r="Z52" s="3">
        <v>321.65168899999998</v>
      </c>
      <c r="AA52" s="48" t="s">
        <v>316</v>
      </c>
      <c r="AB52" s="49" t="s">
        <v>330</v>
      </c>
      <c r="AC52" s="3">
        <v>0</v>
      </c>
      <c r="AD52" s="3">
        <v>0.60899999999999999</v>
      </c>
      <c r="AE52" s="3">
        <v>0</v>
      </c>
      <c r="AF52" s="3">
        <v>0.46300000000000002</v>
      </c>
      <c r="AG52" s="3">
        <v>0</v>
      </c>
      <c r="AH52" s="3">
        <v>0.22700000000000001</v>
      </c>
      <c r="AI52" s="3">
        <v>0</v>
      </c>
      <c r="AJ52" s="3">
        <v>0.64</v>
      </c>
      <c r="AK52" s="3">
        <v>0</v>
      </c>
      <c r="AL52" s="3">
        <v>0.57199999999999995</v>
      </c>
      <c r="AM52" s="3">
        <v>0</v>
      </c>
      <c r="AN52" s="3">
        <v>3.7999999999999999E-2</v>
      </c>
      <c r="AO52" s="3">
        <v>0</v>
      </c>
      <c r="AP52" s="3">
        <v>3.7999999999999999E-2</v>
      </c>
      <c r="AQ52" s="3">
        <v>0</v>
      </c>
      <c r="AR52" s="3">
        <v>0.72099999999999997</v>
      </c>
      <c r="AS52" s="3">
        <v>0</v>
      </c>
      <c r="AT52" s="3">
        <v>0.73899999999999999</v>
      </c>
      <c r="AU52" s="3">
        <v>0</v>
      </c>
      <c r="AV52" s="3">
        <v>0.90400000000000003</v>
      </c>
      <c r="AW52" s="3">
        <v>0</v>
      </c>
      <c r="AX52" s="3">
        <v>0.63900000000000001</v>
      </c>
      <c r="AY52" s="3">
        <v>0</v>
      </c>
      <c r="AZ52" s="3">
        <v>0.65300000000000002</v>
      </c>
      <c r="BA52" s="3">
        <v>0</v>
      </c>
      <c r="BB52" s="3">
        <v>0.221</v>
      </c>
      <c r="BC52" s="3">
        <v>0.35799999999999998</v>
      </c>
      <c r="BD52" s="3">
        <v>0.35249999999999998</v>
      </c>
      <c r="BE52" s="3">
        <v>6.4000000000000001E-2</v>
      </c>
      <c r="BF52" s="3">
        <v>0.174666667</v>
      </c>
      <c r="BG52" s="3">
        <v>0.58383333400000004</v>
      </c>
      <c r="BH52" s="3">
        <v>0.13900000000000001</v>
      </c>
      <c r="BI52" s="3">
        <v>0.75900000000000001</v>
      </c>
      <c r="BJ52" s="3">
        <v>0.80966666700000001</v>
      </c>
      <c r="BK52" s="3">
        <v>0.83850000000000002</v>
      </c>
      <c r="BL52" s="3">
        <v>0.49299999999999999</v>
      </c>
      <c r="BM52" s="3">
        <v>0.01</v>
      </c>
      <c r="BN52" s="3">
        <v>0.31266666700000001</v>
      </c>
      <c r="BO52" s="3">
        <v>0.48699999999999999</v>
      </c>
      <c r="BP52" s="48" t="s">
        <v>316</v>
      </c>
      <c r="BQ52" s="49" t="s">
        <v>330</v>
      </c>
      <c r="BR52" s="3">
        <v>3.0840000000000001</v>
      </c>
      <c r="BS52" s="3">
        <v>3.5859999999999999</v>
      </c>
      <c r="BT52" s="3">
        <v>2.7839999999999998</v>
      </c>
      <c r="BU52" s="3">
        <v>1.0549999999999999</v>
      </c>
      <c r="BV52" s="3">
        <v>3.944</v>
      </c>
      <c r="BW52" s="3">
        <v>7.1539999999999999</v>
      </c>
      <c r="BX52" s="3">
        <v>-6.7000000000000004E-2</v>
      </c>
      <c r="BY52" s="3">
        <v>6.5330000000000004</v>
      </c>
      <c r="BZ52" s="3">
        <v>6.2450000000000001</v>
      </c>
      <c r="CA52" s="3">
        <v>6.6139999999999999</v>
      </c>
      <c r="CB52" s="3">
        <v>3.7149999999999999</v>
      </c>
      <c r="CC52" s="3">
        <v>5.2220000000000004</v>
      </c>
      <c r="CD52" s="3">
        <v>1.7090000000000001</v>
      </c>
    </row>
    <row r="53" spans="1:82" x14ac:dyDescent="0.3">
      <c r="A53" s="48" t="s">
        <v>316</v>
      </c>
      <c r="B53" s="49" t="s">
        <v>331</v>
      </c>
      <c r="C53" s="3">
        <v>28.389009000000001</v>
      </c>
      <c r="D53" s="3">
        <v>25.212495000000001</v>
      </c>
      <c r="E53" s="3">
        <v>25.212495000000001</v>
      </c>
      <c r="F53" s="3">
        <v>25.325322</v>
      </c>
      <c r="G53" s="3">
        <v>18.043641000000001</v>
      </c>
      <c r="H53" s="3">
        <v>25.212495000000001</v>
      </c>
      <c r="I53" s="48" t="s">
        <v>316</v>
      </c>
      <c r="J53" s="49" t="s">
        <v>331</v>
      </c>
      <c r="K53" s="3">
        <v>28368</v>
      </c>
      <c r="L53" s="48" t="s">
        <v>316</v>
      </c>
      <c r="M53" s="49" t="s">
        <v>331</v>
      </c>
      <c r="N53" s="3">
        <v>1161.1519800000001</v>
      </c>
      <c r="O53" s="3">
        <v>1823.4313099999999</v>
      </c>
      <c r="P53" s="3">
        <v>925.29850180000005</v>
      </c>
      <c r="Q53" s="3">
        <v>1149.6273289999999</v>
      </c>
      <c r="R53" s="3">
        <v>1439.545372</v>
      </c>
      <c r="S53" s="3">
        <v>1655.719466</v>
      </c>
      <c r="T53" s="3">
        <v>1512.7319399999999</v>
      </c>
      <c r="U53" s="3">
        <v>1223.218374</v>
      </c>
      <c r="V53" s="3">
        <v>1120.436958</v>
      </c>
      <c r="W53" s="3">
        <v>668.29852549999998</v>
      </c>
      <c r="X53" s="3">
        <v>1255.8001839999999</v>
      </c>
      <c r="Y53" s="3">
        <v>110.5588891</v>
      </c>
      <c r="Z53" s="3">
        <v>302.33421499999997</v>
      </c>
      <c r="AA53" s="48" t="s">
        <v>316</v>
      </c>
      <c r="AB53" s="49" t="s">
        <v>331</v>
      </c>
      <c r="AC53" s="3">
        <v>0</v>
      </c>
      <c r="AD53" s="3">
        <v>0.63500000000000001</v>
      </c>
      <c r="AE53" s="3">
        <v>0</v>
      </c>
      <c r="AF53" s="3">
        <v>0.47899999999999998</v>
      </c>
      <c r="AG53" s="3">
        <v>0</v>
      </c>
      <c r="AH53" s="3">
        <v>0.27</v>
      </c>
      <c r="AI53" s="3">
        <v>0</v>
      </c>
      <c r="AJ53" s="3">
        <v>0.64500000000000002</v>
      </c>
      <c r="AK53" s="3">
        <v>0</v>
      </c>
      <c r="AL53" s="3">
        <v>0.59699999999999998</v>
      </c>
      <c r="AM53" s="3">
        <v>0</v>
      </c>
      <c r="AN53" s="3">
        <v>5.6000000000000001E-2</v>
      </c>
      <c r="AO53" s="3">
        <v>0</v>
      </c>
      <c r="AP53" s="3">
        <v>5.6000000000000001E-2</v>
      </c>
      <c r="AQ53" s="3">
        <v>0</v>
      </c>
      <c r="AR53" s="3">
        <v>0.72899999999999998</v>
      </c>
      <c r="AS53" s="3">
        <v>0</v>
      </c>
      <c r="AT53" s="3">
        <v>0.79700000000000004</v>
      </c>
      <c r="AU53" s="3">
        <v>0</v>
      </c>
      <c r="AV53" s="3">
        <v>0.88600000000000001</v>
      </c>
      <c r="AW53" s="3">
        <v>0</v>
      </c>
      <c r="AX53" s="3">
        <v>0.65200000000000002</v>
      </c>
      <c r="AY53" s="3">
        <v>0</v>
      </c>
      <c r="AZ53" s="3">
        <v>0.45600000000000002</v>
      </c>
      <c r="BA53" s="3">
        <v>0</v>
      </c>
      <c r="BB53" s="3">
        <v>0.216</v>
      </c>
      <c r="BC53" s="3">
        <v>0.28349999999999997</v>
      </c>
      <c r="BD53" s="3">
        <v>0.26800000000000002</v>
      </c>
      <c r="BE53" s="3">
        <v>5.8000000000000003E-2</v>
      </c>
      <c r="BF53" s="3">
        <v>0.196333333</v>
      </c>
      <c r="BG53" s="3">
        <v>0.52675000000000005</v>
      </c>
      <c r="BH53" s="3">
        <v>0.106</v>
      </c>
      <c r="BI53" s="3">
        <v>0.79049999999999998</v>
      </c>
      <c r="BJ53" s="3">
        <v>0.77</v>
      </c>
      <c r="BK53" s="3">
        <v>0.8</v>
      </c>
      <c r="BL53" s="3">
        <v>0.49399999999999999</v>
      </c>
      <c r="BM53" s="3">
        <v>0.01</v>
      </c>
      <c r="BN53" s="3">
        <v>0.27966666699999998</v>
      </c>
      <c r="BO53" s="3">
        <v>0.39300000000000002</v>
      </c>
      <c r="BP53" s="48" t="s">
        <v>316</v>
      </c>
      <c r="BQ53" s="49" t="s">
        <v>331</v>
      </c>
      <c r="BR53" s="3">
        <v>3.085</v>
      </c>
      <c r="BS53" s="3">
        <v>3.2709999999999999</v>
      </c>
      <c r="BT53" s="3">
        <v>3.0430000000000001</v>
      </c>
      <c r="BU53" s="3">
        <v>0.80400000000000005</v>
      </c>
      <c r="BV53" s="3">
        <v>3.7829999999999999</v>
      </c>
      <c r="BW53" s="3">
        <v>7.149</v>
      </c>
      <c r="BX53" s="3">
        <v>-0.378</v>
      </c>
      <c r="BY53" s="3">
        <v>6.375</v>
      </c>
      <c r="BZ53" s="3">
        <v>6.11</v>
      </c>
      <c r="CA53" s="3">
        <v>6.641</v>
      </c>
      <c r="CB53" s="3">
        <v>3.7290000000000001</v>
      </c>
      <c r="CC53" s="3">
        <v>5.0759999999999996</v>
      </c>
      <c r="CD53" s="3">
        <v>2.0049999999999999</v>
      </c>
    </row>
    <row r="54" spans="1:82" x14ac:dyDescent="0.3">
      <c r="A54" s="48" t="s">
        <v>316</v>
      </c>
      <c r="B54" s="49" t="s">
        <v>332</v>
      </c>
      <c r="C54" s="3">
        <v>28.163354999999999</v>
      </c>
      <c r="D54" s="3">
        <v>25.212495000000001</v>
      </c>
      <c r="E54" s="3">
        <v>25.212495000000001</v>
      </c>
      <c r="F54" s="3">
        <v>25.386075000000002</v>
      </c>
      <c r="G54" s="3">
        <v>23.424620999999998</v>
      </c>
      <c r="H54" s="3">
        <v>25.212495000000001</v>
      </c>
      <c r="I54" s="48" t="s">
        <v>316</v>
      </c>
      <c r="J54" s="49" t="s">
        <v>332</v>
      </c>
      <c r="K54" s="3">
        <v>27620.5</v>
      </c>
      <c r="L54" s="48" t="s">
        <v>316</v>
      </c>
      <c r="M54" s="49" t="s">
        <v>332</v>
      </c>
      <c r="N54" s="3">
        <v>1039.0774100000001</v>
      </c>
      <c r="O54" s="3">
        <v>1676.456999</v>
      </c>
      <c r="P54" s="3">
        <v>892.49588440000002</v>
      </c>
      <c r="Q54" s="3">
        <v>1102.268734</v>
      </c>
      <c r="R54" s="3">
        <v>1294.97478</v>
      </c>
      <c r="S54" s="3">
        <v>1475.2202729999999</v>
      </c>
      <c r="T54" s="3">
        <v>1342.3997670000001</v>
      </c>
      <c r="U54" s="3">
        <v>1052.7209150000001</v>
      </c>
      <c r="V54" s="3">
        <v>1091.25575</v>
      </c>
      <c r="W54" s="3">
        <v>595.54481469999996</v>
      </c>
      <c r="X54" s="3">
        <v>1150.9148230000001</v>
      </c>
      <c r="Y54" s="3">
        <v>105.61817430000001</v>
      </c>
      <c r="Z54" s="3">
        <v>223.9291063</v>
      </c>
      <c r="AA54" s="48" t="s">
        <v>316</v>
      </c>
      <c r="AB54" s="49" t="s">
        <v>332</v>
      </c>
      <c r="AC54" s="3">
        <v>0</v>
      </c>
      <c r="AD54" s="3">
        <v>0.65800000000000003</v>
      </c>
      <c r="AE54" s="3">
        <v>0</v>
      </c>
      <c r="AF54" s="3">
        <v>0.505</v>
      </c>
      <c r="AG54" s="3">
        <v>0</v>
      </c>
      <c r="AH54" s="3">
        <v>0.33800000000000002</v>
      </c>
      <c r="AI54" s="3">
        <v>0</v>
      </c>
      <c r="AJ54" s="3">
        <v>0.64500000000000002</v>
      </c>
      <c r="AK54" s="3">
        <v>0</v>
      </c>
      <c r="AL54" s="3">
        <v>0.63300000000000001</v>
      </c>
      <c r="AM54" s="3">
        <v>0</v>
      </c>
      <c r="AN54" s="3">
        <v>9.6000000000000002E-2</v>
      </c>
      <c r="AO54" s="3">
        <v>0</v>
      </c>
      <c r="AP54" s="3">
        <v>9.6000000000000002E-2</v>
      </c>
      <c r="AQ54" s="3">
        <v>0</v>
      </c>
      <c r="AR54" s="3">
        <v>0.73599999999999999</v>
      </c>
      <c r="AS54" s="3">
        <v>0</v>
      </c>
      <c r="AT54" s="3">
        <v>0.82099999999999995</v>
      </c>
      <c r="AU54" s="3">
        <v>0</v>
      </c>
      <c r="AV54" s="3">
        <v>0.879</v>
      </c>
      <c r="AW54" s="3">
        <v>0</v>
      </c>
      <c r="AX54" s="3">
        <v>0.66700000000000004</v>
      </c>
      <c r="AY54" s="3">
        <v>0</v>
      </c>
      <c r="AZ54" s="3">
        <v>0.314</v>
      </c>
      <c r="BA54" s="3">
        <v>0</v>
      </c>
      <c r="BB54" s="3">
        <v>0.314</v>
      </c>
      <c r="BC54" s="3">
        <v>0.23949999999999999</v>
      </c>
      <c r="BD54" s="3">
        <v>0.191</v>
      </c>
      <c r="BE54" s="3">
        <v>7.0999999999999994E-2</v>
      </c>
      <c r="BF54" s="3">
        <v>0.23833333300000001</v>
      </c>
      <c r="BG54" s="3">
        <v>0.50391666700000004</v>
      </c>
      <c r="BH54" s="3">
        <v>0.11</v>
      </c>
      <c r="BI54" s="3">
        <v>0.8075</v>
      </c>
      <c r="BJ54" s="3">
        <v>0.76833333299999995</v>
      </c>
      <c r="BK54" s="3">
        <v>0.76800000000000002</v>
      </c>
      <c r="BL54" s="3">
        <v>0.46700000000000003</v>
      </c>
      <c r="BM54" s="3">
        <v>0.01</v>
      </c>
      <c r="BN54" s="3">
        <v>0.25866666700000002</v>
      </c>
      <c r="BO54" s="3">
        <v>0.30599999999999999</v>
      </c>
      <c r="BP54" s="48" t="s">
        <v>316</v>
      </c>
      <c r="BQ54" s="49" t="s">
        <v>332</v>
      </c>
      <c r="BR54" s="3">
        <v>3.2280000000000002</v>
      </c>
      <c r="BS54" s="3">
        <v>2.9849999999999999</v>
      </c>
      <c r="BT54" s="3">
        <v>3.4449999999999998</v>
      </c>
      <c r="BU54" s="3">
        <v>1.35</v>
      </c>
      <c r="BV54" s="3">
        <v>3.5979999999999999</v>
      </c>
      <c r="BW54" s="3">
        <v>7.2110000000000003</v>
      </c>
      <c r="BX54" s="3">
        <v>-0.53700000000000003</v>
      </c>
      <c r="BY54" s="3">
        <v>6.1340000000000003</v>
      </c>
      <c r="BZ54" s="3">
        <v>5.9960000000000004</v>
      </c>
      <c r="CA54" s="3">
        <v>6.5890000000000004</v>
      </c>
      <c r="CB54" s="3">
        <v>3.8370000000000002</v>
      </c>
      <c r="CC54" s="3">
        <v>4.8650000000000002</v>
      </c>
      <c r="CD54" s="3">
        <v>2.6869999999999998</v>
      </c>
    </row>
    <row r="55" spans="1:82" x14ac:dyDescent="0.3">
      <c r="A55" s="48" t="s">
        <v>316</v>
      </c>
      <c r="B55" s="49" t="s">
        <v>333</v>
      </c>
      <c r="C55" s="3">
        <v>27.885626999999999</v>
      </c>
      <c r="D55" s="3">
        <v>26.392838999999999</v>
      </c>
      <c r="E55" s="3">
        <v>26.392838999999999</v>
      </c>
      <c r="F55" s="3">
        <v>25.542297000000001</v>
      </c>
      <c r="G55" s="3">
        <v>25.368717</v>
      </c>
      <c r="H55" s="3">
        <v>26.392838999999999</v>
      </c>
      <c r="I55" s="48" t="s">
        <v>316</v>
      </c>
      <c r="J55" s="49" t="s">
        <v>333</v>
      </c>
      <c r="K55" s="3">
        <v>27017</v>
      </c>
      <c r="L55" s="48" t="s">
        <v>316</v>
      </c>
      <c r="M55" s="49" t="s">
        <v>333</v>
      </c>
      <c r="N55" s="3">
        <v>888.64447610000002</v>
      </c>
      <c r="O55" s="3">
        <v>1512.0266959999999</v>
      </c>
      <c r="P55" s="3">
        <v>820.06848300000001</v>
      </c>
      <c r="Q55" s="3">
        <v>1146.5563099999999</v>
      </c>
      <c r="R55" s="3">
        <v>912.66381799999999</v>
      </c>
      <c r="S55" s="3">
        <v>1283.751125</v>
      </c>
      <c r="T55" s="3">
        <v>1178.9301780000001</v>
      </c>
      <c r="U55" s="3">
        <v>611.12450360000003</v>
      </c>
      <c r="V55" s="3">
        <v>1055.018624</v>
      </c>
      <c r="W55" s="3">
        <v>400.48652149999998</v>
      </c>
      <c r="X55" s="3">
        <v>873.88879510000004</v>
      </c>
      <c r="Y55" s="3">
        <v>70.561671799999999</v>
      </c>
      <c r="Z55" s="3">
        <v>651.69705880000004</v>
      </c>
      <c r="AA55" s="48" t="s">
        <v>316</v>
      </c>
      <c r="AB55" s="49" t="s">
        <v>333</v>
      </c>
      <c r="AC55" s="3">
        <v>0</v>
      </c>
      <c r="AD55" s="3">
        <v>0.66900000000000004</v>
      </c>
      <c r="AE55" s="3">
        <v>0</v>
      </c>
      <c r="AF55" s="3">
        <v>0.51600000000000001</v>
      </c>
      <c r="AG55" s="3">
        <v>0</v>
      </c>
      <c r="AH55" s="3">
        <v>0.36</v>
      </c>
      <c r="AI55" s="3">
        <v>0</v>
      </c>
      <c r="AJ55" s="3">
        <v>0.64</v>
      </c>
      <c r="AK55" s="3">
        <v>0</v>
      </c>
      <c r="AL55" s="3">
        <v>0.65200000000000002</v>
      </c>
      <c r="AM55" s="3">
        <v>0</v>
      </c>
      <c r="AN55" s="3">
        <v>0.16900000000000001</v>
      </c>
      <c r="AO55" s="3">
        <v>0</v>
      </c>
      <c r="AP55" s="3">
        <v>0.16900000000000001</v>
      </c>
      <c r="AQ55" s="3">
        <v>0</v>
      </c>
      <c r="AR55" s="3">
        <v>0.74399999999999999</v>
      </c>
      <c r="AS55" s="3">
        <v>0</v>
      </c>
      <c r="AT55" s="3">
        <v>0.82899999999999996</v>
      </c>
      <c r="AU55" s="3">
        <v>0</v>
      </c>
      <c r="AV55" s="3">
        <v>0.86199999999999999</v>
      </c>
      <c r="AW55" s="3">
        <v>0</v>
      </c>
      <c r="AX55" s="3">
        <v>0.60899999999999999</v>
      </c>
      <c r="AY55" s="3">
        <v>0</v>
      </c>
      <c r="AZ55" s="3">
        <v>0.214</v>
      </c>
      <c r="BA55" s="3">
        <v>0</v>
      </c>
      <c r="BB55" s="3">
        <v>0.22900000000000001</v>
      </c>
      <c r="BC55" s="3">
        <v>0.2225</v>
      </c>
      <c r="BD55" s="3">
        <v>0.14549999999999999</v>
      </c>
      <c r="BE55" s="3">
        <v>9.4E-2</v>
      </c>
      <c r="BF55" s="3">
        <v>0.28199999999999997</v>
      </c>
      <c r="BG55" s="3">
        <v>0.49091666699999997</v>
      </c>
      <c r="BH55" s="3">
        <v>0.13300000000000001</v>
      </c>
      <c r="BI55" s="3">
        <v>0.80800000000000005</v>
      </c>
      <c r="BJ55" s="3">
        <v>0.75933333300000005</v>
      </c>
      <c r="BK55" s="3">
        <v>0.745</v>
      </c>
      <c r="BL55" s="3">
        <v>0.42433333299999998</v>
      </c>
      <c r="BM55" s="3">
        <v>0.01</v>
      </c>
      <c r="BN55" s="3">
        <v>0.25</v>
      </c>
      <c r="BO55" s="3">
        <v>0.252</v>
      </c>
      <c r="BP55" s="48" t="s">
        <v>316</v>
      </c>
      <c r="BQ55" s="49" t="s">
        <v>333</v>
      </c>
      <c r="BR55" s="3">
        <v>3.375</v>
      </c>
      <c r="BS55" s="3">
        <v>2.7629999999999999</v>
      </c>
      <c r="BT55" s="3">
        <v>3.452</v>
      </c>
      <c r="BU55" s="3">
        <v>1.1850000000000001</v>
      </c>
      <c r="BV55" s="3">
        <v>3.4660000000000002</v>
      </c>
      <c r="BW55" s="3">
        <v>7.2939999999999996</v>
      </c>
      <c r="BX55" s="3">
        <v>-0.79800000000000004</v>
      </c>
      <c r="BY55" s="3">
        <v>5.867</v>
      </c>
      <c r="BZ55" s="3">
        <v>5.9359999999999999</v>
      </c>
      <c r="CA55" s="3">
        <v>6.4340000000000002</v>
      </c>
      <c r="CB55" s="3">
        <v>3.9060000000000001</v>
      </c>
      <c r="CC55" s="3">
        <v>4.577</v>
      </c>
      <c r="CD55" s="3">
        <v>3.0659999999999998</v>
      </c>
    </row>
    <row r="56" spans="1:82" x14ac:dyDescent="0.3">
      <c r="A56" s="48" t="s">
        <v>316</v>
      </c>
      <c r="B56" s="49" t="s">
        <v>334</v>
      </c>
      <c r="C56" s="3">
        <v>26.766036</v>
      </c>
      <c r="D56" s="3">
        <v>30.541401</v>
      </c>
      <c r="E56" s="3">
        <v>30.541401</v>
      </c>
      <c r="F56" s="3">
        <v>26.436233999999999</v>
      </c>
      <c r="G56" s="3">
        <v>26.436233999999999</v>
      </c>
      <c r="H56" s="3">
        <v>30.541401</v>
      </c>
      <c r="I56" s="48" t="s">
        <v>316</v>
      </c>
      <c r="J56" s="49" t="s">
        <v>334</v>
      </c>
      <c r="K56" s="3">
        <v>28359</v>
      </c>
      <c r="L56" s="48" t="s">
        <v>316</v>
      </c>
      <c r="M56" s="49" t="s">
        <v>334</v>
      </c>
      <c r="N56" s="3">
        <v>1335.692389</v>
      </c>
      <c r="O56" s="3">
        <v>2044.0194469999999</v>
      </c>
      <c r="P56" s="3">
        <v>1083.2726889999999</v>
      </c>
      <c r="Q56" s="3">
        <v>1468.97695</v>
      </c>
      <c r="R56" s="3">
        <v>1395.216563</v>
      </c>
      <c r="S56" s="3">
        <v>1743.99008</v>
      </c>
      <c r="T56" s="3">
        <v>1626.196631</v>
      </c>
      <c r="U56" s="3">
        <v>1261.146561</v>
      </c>
      <c r="V56" s="3">
        <v>1529.535879</v>
      </c>
      <c r="W56" s="3">
        <v>735.08873019999999</v>
      </c>
      <c r="X56" s="3">
        <v>1295.899124</v>
      </c>
      <c r="Y56" s="3">
        <v>81.325273800000005</v>
      </c>
      <c r="Z56" s="3">
        <v>703.78883640000004</v>
      </c>
      <c r="AA56" s="48" t="s">
        <v>316</v>
      </c>
      <c r="AB56" s="49" t="s">
        <v>334</v>
      </c>
      <c r="AC56" s="3">
        <v>0</v>
      </c>
      <c r="AD56" s="3">
        <v>0.66100000000000003</v>
      </c>
      <c r="AE56" s="3">
        <v>0</v>
      </c>
      <c r="AF56" s="3">
        <v>0.50900000000000001</v>
      </c>
      <c r="AG56" s="3">
        <v>0</v>
      </c>
      <c r="AH56" s="3">
        <v>0.40300000000000002</v>
      </c>
      <c r="AI56" s="3">
        <v>0</v>
      </c>
      <c r="AJ56" s="3">
        <v>0.63200000000000001</v>
      </c>
      <c r="AK56" s="3">
        <v>0</v>
      </c>
      <c r="AL56" s="3">
        <v>0.69899999999999995</v>
      </c>
      <c r="AM56" s="3">
        <v>0</v>
      </c>
      <c r="AN56" s="3">
        <v>0.28100000000000003</v>
      </c>
      <c r="AO56" s="3">
        <v>0</v>
      </c>
      <c r="AP56" s="3">
        <v>0.28100000000000003</v>
      </c>
      <c r="AQ56" s="3">
        <v>0</v>
      </c>
      <c r="AR56" s="3">
        <v>0.748</v>
      </c>
      <c r="AS56" s="3">
        <v>0</v>
      </c>
      <c r="AT56" s="3">
        <v>0.83399999999999996</v>
      </c>
      <c r="AU56" s="3">
        <v>0</v>
      </c>
      <c r="AV56" s="3">
        <v>0.81399999999999995</v>
      </c>
      <c r="AW56" s="3">
        <v>0</v>
      </c>
      <c r="AX56" s="3">
        <v>0.55100000000000005</v>
      </c>
      <c r="AY56" s="3">
        <v>0</v>
      </c>
      <c r="AZ56" s="3">
        <v>0.125</v>
      </c>
      <c r="BA56" s="3">
        <v>0</v>
      </c>
      <c r="BB56" s="3">
        <v>0.16200000000000001</v>
      </c>
      <c r="BC56" s="3">
        <v>0.21</v>
      </c>
      <c r="BD56" s="3">
        <v>0.11600000000000001</v>
      </c>
      <c r="BE56" s="3">
        <v>0.1135</v>
      </c>
      <c r="BF56" s="3">
        <v>0.31466666700000001</v>
      </c>
      <c r="BG56" s="3">
        <v>0.47616666699999999</v>
      </c>
      <c r="BH56" s="3">
        <v>0.15</v>
      </c>
      <c r="BI56" s="3">
        <v>0.80700000000000005</v>
      </c>
      <c r="BJ56" s="3">
        <v>0.74233333300000004</v>
      </c>
      <c r="BK56" s="3">
        <v>0.74</v>
      </c>
      <c r="BL56" s="3">
        <v>0.39566666700000003</v>
      </c>
      <c r="BM56" s="3">
        <v>0.01</v>
      </c>
      <c r="BN56" s="3">
        <v>0.247</v>
      </c>
      <c r="BO56" s="3">
        <v>0.20699999999999999</v>
      </c>
      <c r="BP56" s="48" t="s">
        <v>316</v>
      </c>
      <c r="BQ56" s="49" t="s">
        <v>334</v>
      </c>
      <c r="BR56" s="3">
        <v>3.4319999999999999</v>
      </c>
      <c r="BS56" s="3">
        <v>2.7090000000000001</v>
      </c>
      <c r="BT56" s="3">
        <v>3.3849999999999998</v>
      </c>
      <c r="BU56" s="3">
        <v>0.998</v>
      </c>
      <c r="BV56" s="3">
        <v>3.4940000000000002</v>
      </c>
      <c r="BW56" s="3">
        <v>7.3639999999999999</v>
      </c>
      <c r="BX56" s="3">
        <v>-1.099</v>
      </c>
      <c r="BY56" s="3">
        <v>5.6349999999999998</v>
      </c>
      <c r="BZ56" s="3">
        <v>6.0110000000000001</v>
      </c>
      <c r="CA56" s="3">
        <v>6.1429999999999998</v>
      </c>
      <c r="CB56" s="3">
        <v>3.8530000000000002</v>
      </c>
      <c r="CC56" s="3">
        <v>4.3659999999999997</v>
      </c>
      <c r="CD56" s="3">
        <v>3.12</v>
      </c>
    </row>
    <row r="57" spans="1:82" x14ac:dyDescent="0.3">
      <c r="A57" s="48" t="s">
        <v>316</v>
      </c>
      <c r="B57" s="49" t="s">
        <v>335</v>
      </c>
      <c r="C57" s="3">
        <v>30.775734</v>
      </c>
      <c r="D57" s="3">
        <v>34.880901000000001</v>
      </c>
      <c r="E57" s="3">
        <v>34.880901000000001</v>
      </c>
      <c r="F57" s="3">
        <v>27.347529000000002</v>
      </c>
      <c r="G57" s="3">
        <v>27.347529000000002</v>
      </c>
      <c r="H57" s="3">
        <v>34.880901000000001</v>
      </c>
      <c r="I57" s="48" t="s">
        <v>316</v>
      </c>
      <c r="J57" s="49" t="s">
        <v>335</v>
      </c>
      <c r="K57" s="3">
        <v>32193.5</v>
      </c>
      <c r="L57" s="48" t="s">
        <v>316</v>
      </c>
      <c r="M57" s="49" t="s">
        <v>335</v>
      </c>
      <c r="N57" s="3">
        <v>3072.6889940000001</v>
      </c>
      <c r="O57" s="3">
        <v>3694.8366940000001</v>
      </c>
      <c r="P57" s="3">
        <v>2227.624859</v>
      </c>
      <c r="Q57" s="3">
        <v>2409.3645409999999</v>
      </c>
      <c r="R57" s="3">
        <v>3365.796969</v>
      </c>
      <c r="S57" s="3">
        <v>3242.642476</v>
      </c>
      <c r="T57" s="3">
        <v>2769.8844720000002</v>
      </c>
      <c r="U57" s="3">
        <v>3672.2630680000002</v>
      </c>
      <c r="V57" s="3">
        <v>3300.255572</v>
      </c>
      <c r="W57" s="3">
        <v>1758.743166</v>
      </c>
      <c r="X57" s="3">
        <v>2281.3177470000001</v>
      </c>
      <c r="Y57" s="3">
        <v>179.1101032</v>
      </c>
      <c r="Z57" s="3">
        <v>542.42274650000002</v>
      </c>
      <c r="AA57" s="48" t="s">
        <v>316</v>
      </c>
      <c r="AB57" s="49" t="s">
        <v>335</v>
      </c>
      <c r="AC57" s="3">
        <v>2.5999999999999999E-2</v>
      </c>
      <c r="AD57" s="3">
        <v>0.625</v>
      </c>
      <c r="AE57" s="3">
        <v>2.8000000000000001E-2</v>
      </c>
      <c r="AF57" s="3">
        <v>0.51300000000000001</v>
      </c>
      <c r="AG57" s="3">
        <v>1.7000000000000001E-2</v>
      </c>
      <c r="AH57" s="3">
        <v>0.42899999999999999</v>
      </c>
      <c r="AI57" s="3">
        <v>1.4999999999999999E-2</v>
      </c>
      <c r="AJ57" s="3">
        <v>0.60899999999999999</v>
      </c>
      <c r="AK57" s="3">
        <v>2.7E-2</v>
      </c>
      <c r="AL57" s="3">
        <v>0.77900000000000003</v>
      </c>
      <c r="AM57" s="3">
        <v>1.2999999999999999E-2</v>
      </c>
      <c r="AN57" s="3">
        <v>0.39900000000000002</v>
      </c>
      <c r="AO57" s="3">
        <v>0</v>
      </c>
      <c r="AP57" s="3">
        <v>0.39900000000000002</v>
      </c>
      <c r="AQ57" s="3">
        <v>2.5999999999999999E-2</v>
      </c>
      <c r="AR57" s="3">
        <v>0.74199999999999999</v>
      </c>
      <c r="AS57" s="3">
        <v>2.8000000000000001E-2</v>
      </c>
      <c r="AT57" s="3">
        <v>0.83299999999999996</v>
      </c>
      <c r="AU57" s="3">
        <v>2.8000000000000001E-2</v>
      </c>
      <c r="AV57" s="3">
        <v>0.69399999999999995</v>
      </c>
      <c r="AW57" s="3">
        <v>8.9999999999999993E-3</v>
      </c>
      <c r="AX57" s="3">
        <v>0.51600000000000001</v>
      </c>
      <c r="AY57" s="3">
        <v>1.0999999999999999E-2</v>
      </c>
      <c r="AZ57" s="3">
        <v>7.5999999999999998E-2</v>
      </c>
      <c r="BA57" s="3">
        <v>8.0000000000000002E-3</v>
      </c>
      <c r="BB57" s="3">
        <v>0.113</v>
      </c>
      <c r="BC57" s="3">
        <v>0.19550000000000001</v>
      </c>
      <c r="BD57" s="3">
        <v>9.5500000000000002E-2</v>
      </c>
      <c r="BE57" s="3">
        <v>0.13800000000000001</v>
      </c>
      <c r="BF57" s="3">
        <v>0.33800000000000002</v>
      </c>
      <c r="BG57" s="3">
        <v>0.45424999999999999</v>
      </c>
      <c r="BH57" s="3">
        <v>0.17</v>
      </c>
      <c r="BI57" s="3">
        <v>0.8</v>
      </c>
      <c r="BJ57" s="3">
        <v>0.71299999999999997</v>
      </c>
      <c r="BK57" s="3">
        <v>0.74</v>
      </c>
      <c r="BL57" s="3">
        <v>0.34733333300000002</v>
      </c>
      <c r="BM57" s="3">
        <v>0.01</v>
      </c>
      <c r="BN57" s="3">
        <v>0.23933333300000001</v>
      </c>
      <c r="BO57" s="3">
        <v>0.16800000000000001</v>
      </c>
      <c r="BP57" s="48" t="s">
        <v>316</v>
      </c>
      <c r="BQ57" s="49" t="s">
        <v>335</v>
      </c>
      <c r="BR57" s="3">
        <v>4.2389999999999999</v>
      </c>
      <c r="BS57" s="3">
        <v>3.1349999999999998</v>
      </c>
      <c r="BT57" s="3">
        <v>3.3929999999999998</v>
      </c>
      <c r="BU57" s="3">
        <v>1.117</v>
      </c>
      <c r="BV57" s="3">
        <v>4.07</v>
      </c>
      <c r="BW57" s="3">
        <v>7.4089999999999998</v>
      </c>
      <c r="BX57" s="3">
        <v>-0.72699999999999998</v>
      </c>
      <c r="BY57" s="3">
        <v>5.8650000000000002</v>
      </c>
      <c r="BZ57" s="3">
        <v>6.3380000000000001</v>
      </c>
      <c r="CA57" s="3">
        <v>5.8310000000000004</v>
      </c>
      <c r="CB57" s="3">
        <v>3.8279999999999998</v>
      </c>
      <c r="CC57" s="3">
        <v>4.2640000000000002</v>
      </c>
      <c r="CD57" s="3">
        <v>3.2050000000000001</v>
      </c>
    </row>
    <row r="58" spans="1:82" x14ac:dyDescent="0.3">
      <c r="A58" s="48" t="s">
        <v>316</v>
      </c>
      <c r="B58" s="49" t="s">
        <v>336</v>
      </c>
      <c r="C58" s="3">
        <v>26.713961999999999</v>
      </c>
      <c r="D58" s="3">
        <v>37.337057999999999</v>
      </c>
      <c r="E58" s="3">
        <v>37.337057999999999</v>
      </c>
      <c r="F58" s="3">
        <v>27.963737999999999</v>
      </c>
      <c r="G58" s="3">
        <v>27.963737999999999</v>
      </c>
      <c r="H58" s="3">
        <v>37.337057999999999</v>
      </c>
      <c r="I58" s="48" t="s">
        <v>316</v>
      </c>
      <c r="J58" s="49" t="s">
        <v>336</v>
      </c>
      <c r="K58" s="3">
        <v>37389.5</v>
      </c>
      <c r="L58" s="48" t="s">
        <v>316</v>
      </c>
      <c r="M58" s="49" t="s">
        <v>336</v>
      </c>
      <c r="N58" s="3">
        <v>7081.5039850000003</v>
      </c>
      <c r="O58" s="3">
        <v>8372.020305</v>
      </c>
      <c r="P58" s="3">
        <v>4959.0250930000002</v>
      </c>
      <c r="Q58" s="3">
        <v>4604.8394669999998</v>
      </c>
      <c r="R58" s="3">
        <v>7386.021917</v>
      </c>
      <c r="S58" s="3">
        <v>8079.0909570000003</v>
      </c>
      <c r="T58" s="3">
        <v>6545.8837430000003</v>
      </c>
      <c r="U58" s="3">
        <v>9399.8668440000001</v>
      </c>
      <c r="V58" s="3">
        <v>7241.5462029999999</v>
      </c>
      <c r="W58" s="3">
        <v>5012.5853829999996</v>
      </c>
      <c r="X58" s="3">
        <v>6168.5292950000003</v>
      </c>
      <c r="Y58" s="3">
        <v>630.48035919999995</v>
      </c>
      <c r="Z58" s="3">
        <v>1960.83538</v>
      </c>
      <c r="AA58" s="48" t="s">
        <v>316</v>
      </c>
      <c r="AB58" s="49" t="s">
        <v>336</v>
      </c>
      <c r="AC58" s="3">
        <v>0.14199999999999999</v>
      </c>
      <c r="AD58" s="3">
        <v>0.58099999999999996</v>
      </c>
      <c r="AE58" s="3">
        <v>0.17399999999999999</v>
      </c>
      <c r="AF58" s="3">
        <v>0.52300000000000002</v>
      </c>
      <c r="AG58" s="3">
        <v>0.124</v>
      </c>
      <c r="AH58" s="3">
        <v>0.46600000000000003</v>
      </c>
      <c r="AI58" s="3">
        <v>0.122</v>
      </c>
      <c r="AJ58" s="3">
        <v>0.58799999999999997</v>
      </c>
      <c r="AK58" s="3">
        <v>0.16800000000000001</v>
      </c>
      <c r="AL58" s="3">
        <v>0.86499999999999999</v>
      </c>
      <c r="AM58" s="3">
        <v>0.121</v>
      </c>
      <c r="AN58" s="3">
        <v>0.46100000000000002</v>
      </c>
      <c r="AO58" s="3">
        <v>1.0999999999999999E-2</v>
      </c>
      <c r="AP58" s="3">
        <v>0.46100000000000002</v>
      </c>
      <c r="AQ58" s="3">
        <v>0.13800000000000001</v>
      </c>
      <c r="AR58" s="3">
        <v>0.77500000000000002</v>
      </c>
      <c r="AS58" s="3">
        <v>0.21099999999999999</v>
      </c>
      <c r="AT58" s="3">
        <v>0.84299999999999997</v>
      </c>
      <c r="AU58" s="3">
        <v>0.21099999999999999</v>
      </c>
      <c r="AV58" s="3">
        <v>0.44400000000000001</v>
      </c>
      <c r="AW58" s="3">
        <v>0.13900000000000001</v>
      </c>
      <c r="AX58" s="3">
        <v>0.51</v>
      </c>
      <c r="AY58" s="3">
        <v>9.6000000000000002E-2</v>
      </c>
      <c r="AZ58" s="3">
        <v>5.8000000000000003E-2</v>
      </c>
      <c r="BA58" s="3">
        <v>9.1999999999999998E-2</v>
      </c>
      <c r="BB58" s="3">
        <v>8.7999999999999995E-2</v>
      </c>
      <c r="BC58" s="3">
        <v>0.17599999999999999</v>
      </c>
      <c r="BD58" s="3">
        <v>7.5499999999999998E-2</v>
      </c>
      <c r="BE58" s="3">
        <v>0.14349999999999999</v>
      </c>
      <c r="BF58" s="3">
        <v>0.31433333299999999</v>
      </c>
      <c r="BG58" s="3">
        <v>0.414333334</v>
      </c>
      <c r="BH58" s="3">
        <v>0.16800000000000001</v>
      </c>
      <c r="BI58" s="3">
        <v>0.78900000000000003</v>
      </c>
      <c r="BJ58" s="3">
        <v>0.65266666699999998</v>
      </c>
      <c r="BK58" s="3">
        <v>0.71350000000000002</v>
      </c>
      <c r="BL58" s="3">
        <v>0.28866666699999999</v>
      </c>
      <c r="BM58" s="3">
        <v>0.01</v>
      </c>
      <c r="BN58" s="3">
        <v>0.22333333299999999</v>
      </c>
      <c r="BO58" s="3">
        <v>0.13400000000000001</v>
      </c>
      <c r="BP58" s="48" t="s">
        <v>316</v>
      </c>
      <c r="BQ58" s="49" t="s">
        <v>336</v>
      </c>
      <c r="BR58" s="3">
        <v>6.02</v>
      </c>
      <c r="BS58" s="3">
        <v>4.5060000000000002</v>
      </c>
      <c r="BT58" s="3">
        <v>4.2679999999999998</v>
      </c>
      <c r="BU58" s="3">
        <v>1.494</v>
      </c>
      <c r="BV58" s="3">
        <v>5.6779999999999999</v>
      </c>
      <c r="BW58" s="3">
        <v>7.47</v>
      </c>
      <c r="BX58" s="3">
        <v>0.47699999999999998</v>
      </c>
      <c r="BY58" s="3">
        <v>6.7549999999999999</v>
      </c>
      <c r="BZ58" s="3">
        <v>7.117</v>
      </c>
      <c r="CA58" s="3">
        <v>5.8680000000000003</v>
      </c>
      <c r="CB58" s="3">
        <v>4.25</v>
      </c>
      <c r="CC58" s="3">
        <v>4.4720000000000004</v>
      </c>
      <c r="CD58" s="3">
        <v>3.5670000000000002</v>
      </c>
    </row>
    <row r="59" spans="1:82" x14ac:dyDescent="0.3">
      <c r="A59" s="48" t="s">
        <v>316</v>
      </c>
      <c r="B59" s="49" t="s">
        <v>337</v>
      </c>
      <c r="C59" s="3">
        <v>52.447197000000003</v>
      </c>
      <c r="D59" s="3">
        <v>36.226146</v>
      </c>
      <c r="E59" s="3">
        <v>36.226146</v>
      </c>
      <c r="F59" s="3">
        <v>27.451677</v>
      </c>
      <c r="G59" s="3">
        <v>27.451677</v>
      </c>
      <c r="H59" s="3">
        <v>36.226146</v>
      </c>
      <c r="I59" s="48" t="s">
        <v>316</v>
      </c>
      <c r="J59" s="49" t="s">
        <v>337</v>
      </c>
      <c r="K59" s="3">
        <v>38996</v>
      </c>
      <c r="L59" s="48" t="s">
        <v>316</v>
      </c>
      <c r="M59" s="49" t="s">
        <v>337</v>
      </c>
      <c r="N59" s="3">
        <v>7810.7662140000002</v>
      </c>
      <c r="O59" s="3">
        <v>9970.8726000000006</v>
      </c>
      <c r="P59" s="3">
        <v>5953.2335419999999</v>
      </c>
      <c r="Q59" s="3">
        <v>5706.6137859999999</v>
      </c>
      <c r="R59" s="3">
        <v>8448.5737939999999</v>
      </c>
      <c r="S59" s="3">
        <v>10344.14435</v>
      </c>
      <c r="T59" s="3">
        <v>8517.3730930000002</v>
      </c>
      <c r="U59" s="3">
        <v>9955.0860680000005</v>
      </c>
      <c r="V59" s="3">
        <v>8172.0278559999997</v>
      </c>
      <c r="W59" s="3">
        <v>5977.3964930000002</v>
      </c>
      <c r="X59" s="3">
        <v>7681.2861650000004</v>
      </c>
      <c r="Y59" s="3">
        <v>937.53636180000001</v>
      </c>
      <c r="Z59" s="3">
        <v>2771.3009969999998</v>
      </c>
      <c r="AA59" s="48" t="s">
        <v>316</v>
      </c>
      <c r="AB59" s="49" t="s">
        <v>337</v>
      </c>
      <c r="AC59" s="3">
        <v>0.32</v>
      </c>
      <c r="AD59" s="3">
        <v>0.77400000000000002</v>
      </c>
      <c r="AE59" s="3">
        <v>0.379</v>
      </c>
      <c r="AF59" s="3">
        <v>0.57599999999999996</v>
      </c>
      <c r="AG59" s="3">
        <v>0.245</v>
      </c>
      <c r="AH59" s="3">
        <v>0.505</v>
      </c>
      <c r="AI59" s="3">
        <v>0.33900000000000002</v>
      </c>
      <c r="AJ59" s="3">
        <v>0.84</v>
      </c>
      <c r="AK59" s="3">
        <v>0.32200000000000001</v>
      </c>
      <c r="AL59" s="3">
        <v>0.88400000000000001</v>
      </c>
      <c r="AM59" s="3">
        <v>0.3</v>
      </c>
      <c r="AN59" s="3">
        <v>0.5</v>
      </c>
      <c r="AO59" s="3">
        <v>3.3000000000000002E-2</v>
      </c>
      <c r="AP59" s="3">
        <v>0.5</v>
      </c>
      <c r="AQ59" s="3">
        <v>0.25600000000000001</v>
      </c>
      <c r="AR59" s="3">
        <v>0.873</v>
      </c>
      <c r="AS59" s="3">
        <v>0.41899999999999998</v>
      </c>
      <c r="AT59" s="3">
        <v>0.91500000000000004</v>
      </c>
      <c r="AU59" s="3">
        <v>0.42</v>
      </c>
      <c r="AV59" s="3">
        <v>0.217</v>
      </c>
      <c r="AW59" s="3">
        <v>0.34599999999999997</v>
      </c>
      <c r="AX59" s="3">
        <v>0.54100000000000004</v>
      </c>
      <c r="AY59" s="3">
        <v>0.29299999999999998</v>
      </c>
      <c r="AZ59" s="3">
        <v>6.8000000000000005E-2</v>
      </c>
      <c r="BA59" s="3">
        <v>0.23400000000000001</v>
      </c>
      <c r="BB59" s="3">
        <v>8.3000000000000004E-2</v>
      </c>
      <c r="BC59" s="3">
        <v>0.1555</v>
      </c>
      <c r="BD59" s="3">
        <v>6.8500000000000005E-2</v>
      </c>
      <c r="BE59" s="3">
        <v>0.157</v>
      </c>
      <c r="BF59" s="3">
        <v>0.32500000000000001</v>
      </c>
      <c r="BG59" s="3">
        <v>0.40058333400000001</v>
      </c>
      <c r="BH59" s="3">
        <v>0.16300000000000001</v>
      </c>
      <c r="BI59" s="3">
        <v>0.77749999999999997</v>
      </c>
      <c r="BJ59" s="3">
        <v>0.64566666699999997</v>
      </c>
      <c r="BK59" s="3">
        <v>0.73199999999999998</v>
      </c>
      <c r="BL59" s="3">
        <v>0.24566666700000001</v>
      </c>
      <c r="BM59" s="3">
        <v>0.01</v>
      </c>
      <c r="BN59" s="3">
        <v>0.21566666700000001</v>
      </c>
      <c r="BO59" s="3">
        <v>9.0999999999999998E-2</v>
      </c>
      <c r="BP59" s="48" t="s">
        <v>316</v>
      </c>
      <c r="BQ59" s="49" t="s">
        <v>337</v>
      </c>
      <c r="BR59" s="3">
        <v>7.9340000000000002</v>
      </c>
      <c r="BS59" s="3">
        <v>6.1079999999999997</v>
      </c>
      <c r="BT59" s="3">
        <v>5.5890000000000004</v>
      </c>
      <c r="BU59" s="3">
        <v>2.278</v>
      </c>
      <c r="BV59" s="3">
        <v>7.5140000000000002</v>
      </c>
      <c r="BW59" s="3">
        <v>7.4080000000000004</v>
      </c>
      <c r="BX59" s="3">
        <v>1.4239999999999999</v>
      </c>
      <c r="BY59" s="3">
        <v>7.6609999999999996</v>
      </c>
      <c r="BZ59" s="3">
        <v>7.6390000000000002</v>
      </c>
      <c r="CA59" s="3">
        <v>6.2830000000000004</v>
      </c>
      <c r="CB59" s="3">
        <v>5.1059999999999999</v>
      </c>
      <c r="CC59" s="3">
        <v>4.8739999999999997</v>
      </c>
      <c r="CD59" s="3">
        <v>3.8140000000000001</v>
      </c>
    </row>
    <row r="60" spans="1:82" x14ac:dyDescent="0.3">
      <c r="A60" s="48" t="s">
        <v>316</v>
      </c>
      <c r="B60" s="49" t="s">
        <v>338</v>
      </c>
      <c r="C60" s="3">
        <v>52.438518000000002</v>
      </c>
      <c r="D60" s="3">
        <v>32.580965999999997</v>
      </c>
      <c r="E60" s="3">
        <v>32.580965999999997</v>
      </c>
      <c r="F60" s="3">
        <v>27.234701999999999</v>
      </c>
      <c r="G60" s="3">
        <v>27.234701999999999</v>
      </c>
      <c r="H60" s="3">
        <v>32.580965999999997</v>
      </c>
      <c r="I60" s="48" t="s">
        <v>316</v>
      </c>
      <c r="J60" s="49" t="s">
        <v>338</v>
      </c>
      <c r="K60" s="3">
        <v>39448.5</v>
      </c>
      <c r="L60" s="48" t="s">
        <v>316</v>
      </c>
      <c r="M60" s="49" t="s">
        <v>338</v>
      </c>
      <c r="N60" s="3">
        <v>5792.1219529999998</v>
      </c>
      <c r="O60" s="3">
        <v>8060.8766219999998</v>
      </c>
      <c r="P60" s="3">
        <v>4890.2335519999997</v>
      </c>
      <c r="Q60" s="3">
        <v>4939.5967559999999</v>
      </c>
      <c r="R60" s="3">
        <v>6847.1514319999997</v>
      </c>
      <c r="S60" s="3">
        <v>8846.720566</v>
      </c>
      <c r="T60" s="3">
        <v>7298.2106659999999</v>
      </c>
      <c r="U60" s="3">
        <v>7366.5002850000001</v>
      </c>
      <c r="V60" s="3">
        <v>6184.0024899999999</v>
      </c>
      <c r="W60" s="3">
        <v>4496.219317</v>
      </c>
      <c r="X60" s="3">
        <v>6392.6853490000003</v>
      </c>
      <c r="Y60" s="3">
        <v>756.56144510000001</v>
      </c>
      <c r="Z60" s="3">
        <v>2422.7268760000002</v>
      </c>
      <c r="AA60" s="48" t="s">
        <v>316</v>
      </c>
      <c r="AB60" s="49" t="s">
        <v>338</v>
      </c>
      <c r="AC60" s="3">
        <v>0.436</v>
      </c>
      <c r="AD60" s="3">
        <v>0.84299999999999997</v>
      </c>
      <c r="AE60" s="3">
        <v>0.501</v>
      </c>
      <c r="AF60" s="3">
        <v>0.67700000000000005</v>
      </c>
      <c r="AG60" s="3">
        <v>0.36499999999999999</v>
      </c>
      <c r="AH60" s="3">
        <v>0.58299999999999996</v>
      </c>
      <c r="AI60" s="3">
        <v>0.52700000000000002</v>
      </c>
      <c r="AJ60" s="3">
        <v>0.89600000000000002</v>
      </c>
      <c r="AK60" s="3">
        <v>0.504</v>
      </c>
      <c r="AL60" s="3">
        <v>0.89900000000000002</v>
      </c>
      <c r="AM60" s="3">
        <v>0.52</v>
      </c>
      <c r="AN60" s="3">
        <v>0.65900000000000003</v>
      </c>
      <c r="AO60" s="3">
        <v>6.6000000000000003E-2</v>
      </c>
      <c r="AP60" s="3">
        <v>0.65900000000000003</v>
      </c>
      <c r="AQ60" s="3">
        <v>0.40899999999999997</v>
      </c>
      <c r="AR60" s="3">
        <v>0.91200000000000003</v>
      </c>
      <c r="AS60" s="3">
        <v>0.58799999999999997</v>
      </c>
      <c r="AT60" s="3">
        <v>0.93300000000000005</v>
      </c>
      <c r="AU60" s="3">
        <v>0.58899999999999997</v>
      </c>
      <c r="AV60" s="3">
        <v>0.21099999999999999</v>
      </c>
      <c r="AW60" s="3">
        <v>0.58299999999999996</v>
      </c>
      <c r="AX60" s="3">
        <v>0.6</v>
      </c>
      <c r="AY60" s="3">
        <v>0.55100000000000005</v>
      </c>
      <c r="AZ60" s="3">
        <v>0.10100000000000001</v>
      </c>
      <c r="BA60" s="3">
        <v>0.54600000000000004</v>
      </c>
      <c r="BB60" s="3">
        <v>0.08</v>
      </c>
      <c r="BC60" s="3">
        <v>0.13750000000000001</v>
      </c>
      <c r="BD60" s="3">
        <v>6.9500000000000006E-2</v>
      </c>
      <c r="BE60" s="3">
        <v>0.18049999999999999</v>
      </c>
      <c r="BF60" s="3">
        <v>0.33633333300000001</v>
      </c>
      <c r="BG60" s="3">
        <v>0.37658333399999999</v>
      </c>
      <c r="BH60" s="3">
        <v>0.16</v>
      </c>
      <c r="BI60" s="3">
        <v>0.78949999999999998</v>
      </c>
      <c r="BJ60" s="3">
        <v>0.61566666699999995</v>
      </c>
      <c r="BK60" s="3">
        <v>0.72799999999999998</v>
      </c>
      <c r="BL60" s="3">
        <v>0.19666666699999999</v>
      </c>
      <c r="BM60" s="3">
        <v>0.01</v>
      </c>
      <c r="BN60" s="3">
        <v>0.201333333</v>
      </c>
      <c r="BO60" s="3">
        <v>5.8999999999999997E-2</v>
      </c>
      <c r="BP60" s="48" t="s">
        <v>316</v>
      </c>
      <c r="BQ60" s="49" t="s">
        <v>338</v>
      </c>
      <c r="BR60" s="3">
        <v>9.2080000000000002</v>
      </c>
      <c r="BS60" s="3">
        <v>7.758</v>
      </c>
      <c r="BT60" s="3">
        <v>6.9290000000000003</v>
      </c>
      <c r="BU60" s="3">
        <v>3.0979999999999999</v>
      </c>
      <c r="BV60" s="3">
        <v>8.1349999999999998</v>
      </c>
      <c r="BW60" s="3">
        <v>7.2720000000000002</v>
      </c>
      <c r="BX60" s="3">
        <v>2.3780000000000001</v>
      </c>
      <c r="BY60" s="3">
        <v>8.4120000000000008</v>
      </c>
      <c r="BZ60" s="3">
        <v>7.2439999999999998</v>
      </c>
      <c r="CA60" s="3">
        <v>6.9980000000000002</v>
      </c>
      <c r="CB60" s="3">
        <v>5.806</v>
      </c>
      <c r="CC60" s="3">
        <v>5.3319999999999999</v>
      </c>
      <c r="CD60" s="3">
        <v>3.9390000000000001</v>
      </c>
    </row>
    <row r="61" spans="1:82" x14ac:dyDescent="0.3">
      <c r="A61" s="48" t="s">
        <v>316</v>
      </c>
      <c r="B61" s="49" t="s">
        <v>339</v>
      </c>
      <c r="C61" s="3">
        <v>48.975597</v>
      </c>
      <c r="D61" s="3">
        <v>31.843250999999999</v>
      </c>
      <c r="E61" s="3">
        <v>31.843250999999999</v>
      </c>
      <c r="F61" s="3">
        <v>27.043763999999999</v>
      </c>
      <c r="G61" s="3">
        <v>27.043763999999999</v>
      </c>
      <c r="H61" s="3">
        <v>31.843250999999999</v>
      </c>
      <c r="I61" s="48" t="s">
        <v>316</v>
      </c>
      <c r="J61" s="49" t="s">
        <v>339</v>
      </c>
      <c r="K61" s="3">
        <v>39357.5</v>
      </c>
      <c r="L61" s="48" t="s">
        <v>316</v>
      </c>
      <c r="M61" s="49" t="s">
        <v>339</v>
      </c>
      <c r="N61" s="3">
        <v>4186.9025140000003</v>
      </c>
      <c r="O61" s="3">
        <v>6474.8868709999997</v>
      </c>
      <c r="P61" s="3">
        <v>3913.8822129999999</v>
      </c>
      <c r="Q61" s="3">
        <v>4125.4999289999996</v>
      </c>
      <c r="R61" s="3">
        <v>5149.6459320000004</v>
      </c>
      <c r="S61" s="3">
        <v>7278.7453489999998</v>
      </c>
      <c r="T61" s="3">
        <v>5719.2400580000003</v>
      </c>
      <c r="U61" s="3">
        <v>5502.952209</v>
      </c>
      <c r="V61" s="3">
        <v>4670.8052310000003</v>
      </c>
      <c r="W61" s="3">
        <v>3181.0320029999998</v>
      </c>
      <c r="X61" s="3">
        <v>5038.643341</v>
      </c>
      <c r="Y61" s="3">
        <v>540.48114469999996</v>
      </c>
      <c r="Z61" s="3">
        <v>1966.650339</v>
      </c>
      <c r="AA61" s="48" t="s">
        <v>316</v>
      </c>
      <c r="AB61" s="49" t="s">
        <v>339</v>
      </c>
      <c r="AC61" s="3">
        <v>0.63300000000000001</v>
      </c>
      <c r="AD61" s="3">
        <v>0.878</v>
      </c>
      <c r="AE61" s="3">
        <v>0.55900000000000005</v>
      </c>
      <c r="AF61" s="3">
        <v>0.70099999999999996</v>
      </c>
      <c r="AG61" s="3">
        <v>0.46400000000000002</v>
      </c>
      <c r="AH61" s="3">
        <v>0.60199999999999998</v>
      </c>
      <c r="AI61" s="3">
        <v>0.59099999999999997</v>
      </c>
      <c r="AJ61" s="3">
        <v>0.89900000000000002</v>
      </c>
      <c r="AK61" s="3">
        <v>0.63700000000000001</v>
      </c>
      <c r="AL61" s="3">
        <v>0.91100000000000003</v>
      </c>
      <c r="AM61" s="3">
        <v>0.61599999999999999</v>
      </c>
      <c r="AN61" s="3">
        <v>0.78800000000000003</v>
      </c>
      <c r="AO61" s="3">
        <v>0.14099999999999999</v>
      </c>
      <c r="AP61" s="3">
        <v>0.78800000000000003</v>
      </c>
      <c r="AQ61" s="3">
        <v>0.51500000000000001</v>
      </c>
      <c r="AR61" s="3">
        <v>0.92800000000000005</v>
      </c>
      <c r="AS61" s="3">
        <v>0.69099999999999995</v>
      </c>
      <c r="AT61" s="3">
        <v>0.92900000000000005</v>
      </c>
      <c r="AU61" s="3">
        <v>0.69199999999999995</v>
      </c>
      <c r="AV61" s="3">
        <v>0.21199999999999999</v>
      </c>
      <c r="AW61" s="3">
        <v>0.69799999999999995</v>
      </c>
      <c r="AX61" s="3">
        <v>0.56299999999999994</v>
      </c>
      <c r="AY61" s="3">
        <v>0.64600000000000002</v>
      </c>
      <c r="AZ61" s="3">
        <v>0.13800000000000001</v>
      </c>
      <c r="BA61" s="3">
        <v>0.68</v>
      </c>
      <c r="BB61" s="3">
        <v>6.9000000000000006E-2</v>
      </c>
      <c r="BC61" s="3">
        <v>0.1265</v>
      </c>
      <c r="BD61" s="3">
        <v>7.4999999999999997E-2</v>
      </c>
      <c r="BE61" s="3">
        <v>0.22650000000000001</v>
      </c>
      <c r="BF61" s="3">
        <v>0.35399999999999998</v>
      </c>
      <c r="BG61" s="3">
        <v>0.33941666700000001</v>
      </c>
      <c r="BH61" s="3">
        <v>0.161</v>
      </c>
      <c r="BI61" s="3">
        <v>0.83199999999999996</v>
      </c>
      <c r="BJ61" s="3">
        <v>0.55233333299999998</v>
      </c>
      <c r="BK61" s="3">
        <v>0.70650000000000002</v>
      </c>
      <c r="BL61" s="3">
        <v>0.14933333300000001</v>
      </c>
      <c r="BM61" s="3">
        <v>0.01</v>
      </c>
      <c r="BN61" s="3">
        <v>0.182</v>
      </c>
      <c r="BO61" s="3">
        <v>3.9E-2</v>
      </c>
      <c r="BP61" s="48" t="s">
        <v>316</v>
      </c>
      <c r="BQ61" s="49" t="s">
        <v>339</v>
      </c>
      <c r="BR61" s="3">
        <v>9.9949999999999992</v>
      </c>
      <c r="BS61" s="3">
        <v>8.8719999999999999</v>
      </c>
      <c r="BT61" s="3">
        <v>7.827</v>
      </c>
      <c r="BU61" s="3">
        <v>4.0179999999999998</v>
      </c>
      <c r="BV61" s="3">
        <v>7.5860000000000003</v>
      </c>
      <c r="BW61" s="3">
        <v>7.1870000000000003</v>
      </c>
      <c r="BX61" s="3">
        <v>3.18</v>
      </c>
      <c r="BY61" s="3">
        <v>8.9459999999999997</v>
      </c>
      <c r="BZ61" s="3">
        <v>6.78</v>
      </c>
      <c r="CA61" s="3">
        <v>8.0519999999999996</v>
      </c>
      <c r="CB61" s="3">
        <v>6.1079999999999997</v>
      </c>
      <c r="CC61" s="3">
        <v>5.9020000000000001</v>
      </c>
      <c r="CD61" s="3">
        <v>4.1379999999999999</v>
      </c>
    </row>
    <row r="62" spans="1:82" x14ac:dyDescent="0.3">
      <c r="A62" s="48" t="s">
        <v>316</v>
      </c>
      <c r="B62" s="49" t="s">
        <v>340</v>
      </c>
      <c r="C62" s="3">
        <v>31.461375</v>
      </c>
      <c r="D62" s="3">
        <v>31.461375</v>
      </c>
      <c r="E62" s="3">
        <v>31.461375</v>
      </c>
      <c r="F62" s="3">
        <v>26.983011000000001</v>
      </c>
      <c r="G62" s="3">
        <v>26.983011000000001</v>
      </c>
      <c r="H62" s="3">
        <v>31.461375</v>
      </c>
      <c r="I62" s="48" t="s">
        <v>316</v>
      </c>
      <c r="J62" s="49" t="s">
        <v>340</v>
      </c>
      <c r="K62" s="3">
        <v>39429.5</v>
      </c>
      <c r="L62" s="48" t="s">
        <v>316</v>
      </c>
      <c r="M62" s="49" t="s">
        <v>340</v>
      </c>
      <c r="N62" s="3">
        <v>3401.8525239999999</v>
      </c>
      <c r="O62" s="3">
        <v>5881.9997919999996</v>
      </c>
      <c r="P62" s="3">
        <v>3551.2200769999999</v>
      </c>
      <c r="Q62" s="3">
        <v>3726.9958270000002</v>
      </c>
      <c r="R62" s="3">
        <v>4836.6576359999999</v>
      </c>
      <c r="S62" s="3">
        <v>6497.1610950000004</v>
      </c>
      <c r="T62" s="3">
        <v>4843.991524</v>
      </c>
      <c r="U62" s="3">
        <v>5049.47469</v>
      </c>
      <c r="V62" s="3">
        <v>4104.9164650000002</v>
      </c>
      <c r="W62" s="3">
        <v>2259.6634570000001</v>
      </c>
      <c r="X62" s="3">
        <v>4270.477022</v>
      </c>
      <c r="Y62" s="3">
        <v>418.27231649999999</v>
      </c>
      <c r="Z62" s="3">
        <v>1537.813042</v>
      </c>
      <c r="AA62" s="48" t="s">
        <v>316</v>
      </c>
      <c r="AB62" s="49" t="s">
        <v>340</v>
      </c>
      <c r="AC62" s="3">
        <v>0.73199999999999998</v>
      </c>
      <c r="AD62" s="3">
        <v>0.90300000000000002</v>
      </c>
      <c r="AE62" s="3">
        <v>0.57099999999999995</v>
      </c>
      <c r="AF62" s="3">
        <v>0.73599999999999999</v>
      </c>
      <c r="AG62" s="3">
        <v>0.53200000000000003</v>
      </c>
      <c r="AH62" s="3">
        <v>0.628</v>
      </c>
      <c r="AI62" s="3">
        <v>0.57999999999999996</v>
      </c>
      <c r="AJ62" s="3">
        <v>0.876</v>
      </c>
      <c r="AK62" s="3">
        <v>0.73099999999999998</v>
      </c>
      <c r="AL62" s="3">
        <v>0.91</v>
      </c>
      <c r="AM62" s="3">
        <v>0.67700000000000005</v>
      </c>
      <c r="AN62" s="3">
        <v>0.84699999999999998</v>
      </c>
      <c r="AO62" s="3">
        <v>0.19700000000000001</v>
      </c>
      <c r="AP62" s="3">
        <v>0.84699999999999998</v>
      </c>
      <c r="AQ62" s="3">
        <v>0.621</v>
      </c>
      <c r="AR62" s="3">
        <v>0.91900000000000004</v>
      </c>
      <c r="AS62" s="3">
        <v>0.75800000000000001</v>
      </c>
      <c r="AT62" s="3">
        <v>0.89</v>
      </c>
      <c r="AU62" s="3">
        <v>0.75800000000000001</v>
      </c>
      <c r="AV62" s="3">
        <v>0.19400000000000001</v>
      </c>
      <c r="AW62" s="3">
        <v>0.75700000000000001</v>
      </c>
      <c r="AX62" s="3">
        <v>0.443</v>
      </c>
      <c r="AY62" s="3">
        <v>0.64700000000000002</v>
      </c>
      <c r="AZ62" s="3">
        <v>0.17</v>
      </c>
      <c r="BA62" s="3">
        <v>0.74199999999999999</v>
      </c>
      <c r="BB62" s="3">
        <v>5.1999999999999998E-2</v>
      </c>
      <c r="BC62" s="3">
        <v>0.1245</v>
      </c>
      <c r="BD62" s="3">
        <v>8.1500000000000003E-2</v>
      </c>
      <c r="BE62" s="3">
        <v>0.28399999999999997</v>
      </c>
      <c r="BF62" s="3">
        <v>0.38300000000000001</v>
      </c>
      <c r="BG62" s="3">
        <v>0.29558333399999998</v>
      </c>
      <c r="BH62" s="3">
        <v>0.16700000000000001</v>
      </c>
      <c r="BI62" s="3">
        <v>0.84950000000000003</v>
      </c>
      <c r="BJ62" s="3">
        <v>0.46666666699999998</v>
      </c>
      <c r="BK62" s="3">
        <v>0.66049999999999998</v>
      </c>
      <c r="BL62" s="3">
        <v>0.12166666700000001</v>
      </c>
      <c r="BM62" s="3">
        <v>0.01</v>
      </c>
      <c r="BN62" s="3">
        <v>0.17100000000000001</v>
      </c>
      <c r="BO62" s="3">
        <v>2.5000000000000001E-2</v>
      </c>
      <c r="BP62" s="48" t="s">
        <v>316</v>
      </c>
      <c r="BQ62" s="49" t="s">
        <v>340</v>
      </c>
      <c r="BR62" s="3">
        <v>10.359</v>
      </c>
      <c r="BS62" s="3">
        <v>9.2550000000000008</v>
      </c>
      <c r="BT62" s="3">
        <v>8.3680000000000003</v>
      </c>
      <c r="BU62" s="3">
        <v>4.9459999999999997</v>
      </c>
      <c r="BV62" s="3">
        <v>6.9560000000000004</v>
      </c>
      <c r="BW62" s="3">
        <v>7.2220000000000004</v>
      </c>
      <c r="BX62" s="3">
        <v>3.8330000000000002</v>
      </c>
      <c r="BY62" s="3">
        <v>8.9890000000000008</v>
      </c>
      <c r="BZ62" s="3">
        <v>6.6449999999999996</v>
      </c>
      <c r="CA62" s="3">
        <v>8.6199999999999992</v>
      </c>
      <c r="CB62" s="3">
        <v>6.4390000000000001</v>
      </c>
      <c r="CC62" s="3">
        <v>6.4509999999999996</v>
      </c>
      <c r="CD62" s="3">
        <v>4.5019999999999998</v>
      </c>
    </row>
    <row r="63" spans="1:82" x14ac:dyDescent="0.3">
      <c r="A63" s="48" t="s">
        <v>316</v>
      </c>
      <c r="B63" s="49" t="s">
        <v>341</v>
      </c>
      <c r="C63" s="3">
        <v>28.406366999999999</v>
      </c>
      <c r="D63" s="3">
        <v>31.201004999999999</v>
      </c>
      <c r="E63" s="3">
        <v>31.201004999999999</v>
      </c>
      <c r="F63" s="3">
        <v>26.766036</v>
      </c>
      <c r="G63" s="3">
        <v>26.766036</v>
      </c>
      <c r="H63" s="3">
        <v>31.201004999999999</v>
      </c>
      <c r="I63" s="48" t="s">
        <v>316</v>
      </c>
      <c r="J63" s="49" t="s">
        <v>341</v>
      </c>
      <c r="K63" s="3">
        <v>39094.5</v>
      </c>
      <c r="L63" s="48" t="s">
        <v>316</v>
      </c>
      <c r="M63" s="49" t="s">
        <v>341</v>
      </c>
      <c r="N63" s="3">
        <v>3616.467259</v>
      </c>
      <c r="O63" s="3">
        <v>5710.2311980000004</v>
      </c>
      <c r="P63" s="3">
        <v>3670.2151239999998</v>
      </c>
      <c r="Q63" s="3">
        <v>3603.98405</v>
      </c>
      <c r="R63" s="3">
        <v>4977.0831799999996</v>
      </c>
      <c r="S63" s="3">
        <v>6306.0082730000004</v>
      </c>
      <c r="T63" s="3">
        <v>4651.3207259999999</v>
      </c>
      <c r="U63" s="3">
        <v>5102.528851</v>
      </c>
      <c r="V63" s="3">
        <v>3767.014572</v>
      </c>
      <c r="W63" s="3">
        <v>2209.959973</v>
      </c>
      <c r="X63" s="3">
        <v>4143.085333</v>
      </c>
      <c r="Y63" s="3">
        <v>422.6210724</v>
      </c>
      <c r="Z63" s="3">
        <v>1416.9239009999999</v>
      </c>
      <c r="AA63" s="48" t="s">
        <v>316</v>
      </c>
      <c r="AB63" s="49" t="s">
        <v>341</v>
      </c>
      <c r="AC63" s="3">
        <v>0.70899999999999996</v>
      </c>
      <c r="AD63" s="3">
        <v>0.90900000000000003</v>
      </c>
      <c r="AE63" s="3">
        <v>0.53500000000000003</v>
      </c>
      <c r="AF63" s="3">
        <v>0.76500000000000001</v>
      </c>
      <c r="AG63" s="3">
        <v>0.57999999999999996</v>
      </c>
      <c r="AH63" s="3">
        <v>0.67400000000000004</v>
      </c>
      <c r="AI63" s="3">
        <v>0.55100000000000005</v>
      </c>
      <c r="AJ63" s="3">
        <v>0.81899999999999995</v>
      </c>
      <c r="AK63" s="3">
        <v>0.74399999999999999</v>
      </c>
      <c r="AL63" s="3">
        <v>0.91400000000000003</v>
      </c>
      <c r="AM63" s="3">
        <v>0.69699999999999995</v>
      </c>
      <c r="AN63" s="3">
        <v>0.89100000000000001</v>
      </c>
      <c r="AO63" s="3">
        <v>0.23300000000000001</v>
      </c>
      <c r="AP63" s="3">
        <v>0.89100000000000001</v>
      </c>
      <c r="AQ63" s="3">
        <v>0.69199999999999995</v>
      </c>
      <c r="AR63" s="3">
        <v>0.90100000000000002</v>
      </c>
      <c r="AS63" s="3">
        <v>0.76100000000000001</v>
      </c>
      <c r="AT63" s="3">
        <v>0.79900000000000004</v>
      </c>
      <c r="AU63" s="3">
        <v>0.76100000000000001</v>
      </c>
      <c r="AV63" s="3">
        <v>0.192</v>
      </c>
      <c r="AW63" s="3">
        <v>0.76200000000000001</v>
      </c>
      <c r="AX63" s="3">
        <v>0.30399999999999999</v>
      </c>
      <c r="AY63" s="3">
        <v>0.61299999999999999</v>
      </c>
      <c r="AZ63" s="3">
        <v>0.19700000000000001</v>
      </c>
      <c r="BA63" s="3">
        <v>0.73699999999999999</v>
      </c>
      <c r="BB63" s="3">
        <v>3.4000000000000002E-2</v>
      </c>
      <c r="BC63" s="3">
        <v>0.1225</v>
      </c>
      <c r="BD63" s="3">
        <v>8.0500000000000002E-2</v>
      </c>
      <c r="BE63" s="3">
        <v>0.33650000000000002</v>
      </c>
      <c r="BF63" s="3">
        <v>0.41399999999999998</v>
      </c>
      <c r="BG63" s="3">
        <v>0.26141666699999999</v>
      </c>
      <c r="BH63" s="3">
        <v>0.17399999999999999</v>
      </c>
      <c r="BI63" s="3">
        <v>0.84850000000000003</v>
      </c>
      <c r="BJ63" s="3">
        <v>0.40033333300000001</v>
      </c>
      <c r="BK63" s="3">
        <v>0.59150000000000003</v>
      </c>
      <c r="BL63" s="3">
        <v>0.112666667</v>
      </c>
      <c r="BM63" s="3">
        <v>0.01</v>
      </c>
      <c r="BN63" s="3">
        <v>0.16466666699999999</v>
      </c>
      <c r="BO63" s="3">
        <v>1.7000000000000001E-2</v>
      </c>
      <c r="BP63" s="48" t="s">
        <v>316</v>
      </c>
      <c r="BQ63" s="49" t="s">
        <v>341</v>
      </c>
      <c r="BR63" s="3">
        <v>10.156000000000001</v>
      </c>
      <c r="BS63" s="3">
        <v>8.9920000000000009</v>
      </c>
      <c r="BT63" s="3">
        <v>8.5079999999999991</v>
      </c>
      <c r="BU63" s="3">
        <v>5.5389999999999997</v>
      </c>
      <c r="BV63" s="3">
        <v>6.7759999999999998</v>
      </c>
      <c r="BW63" s="3">
        <v>7.2910000000000004</v>
      </c>
      <c r="BX63" s="3">
        <v>4.2709999999999999</v>
      </c>
      <c r="BY63" s="3">
        <v>8.9350000000000005</v>
      </c>
      <c r="BZ63" s="3">
        <v>6.7869999999999999</v>
      </c>
      <c r="CA63" s="3">
        <v>8.843</v>
      </c>
      <c r="CB63" s="3">
        <v>6.96</v>
      </c>
      <c r="CC63" s="3">
        <v>6.6840000000000002</v>
      </c>
      <c r="CD63" s="3">
        <v>4.8810000000000002</v>
      </c>
    </row>
    <row r="64" spans="1:82" x14ac:dyDescent="0.3">
      <c r="A64" s="48" t="s">
        <v>316</v>
      </c>
      <c r="B64" s="49" t="s">
        <v>342</v>
      </c>
      <c r="C64" s="3">
        <v>28.111281000000002</v>
      </c>
      <c r="D64" s="3">
        <v>30.393858000000002</v>
      </c>
      <c r="E64" s="3">
        <v>30.393858000000002</v>
      </c>
      <c r="F64" s="3">
        <v>26.557739999999999</v>
      </c>
      <c r="G64" s="3">
        <v>26.557739999999999</v>
      </c>
      <c r="H64" s="3">
        <v>30.393858000000002</v>
      </c>
      <c r="I64" s="48" t="s">
        <v>316</v>
      </c>
      <c r="J64" s="49" t="s">
        <v>342</v>
      </c>
      <c r="K64" s="3">
        <v>38394.5</v>
      </c>
      <c r="L64" s="48" t="s">
        <v>316</v>
      </c>
      <c r="M64" s="49" t="s">
        <v>342</v>
      </c>
      <c r="N64" s="3">
        <v>4371.402204</v>
      </c>
      <c r="O64" s="3">
        <v>6078.7175969999998</v>
      </c>
      <c r="P64" s="3">
        <v>3897.9949550000001</v>
      </c>
      <c r="Q64" s="3">
        <v>3456.6289339999998</v>
      </c>
      <c r="R64" s="3">
        <v>5079.6413579999999</v>
      </c>
      <c r="S64" s="3">
        <v>6620.8125829999999</v>
      </c>
      <c r="T64" s="3">
        <v>4737.35592</v>
      </c>
      <c r="U64" s="3">
        <v>5273.7862930000001</v>
      </c>
      <c r="V64" s="3">
        <v>3525.6984120000002</v>
      </c>
      <c r="W64" s="3">
        <v>2295.422638</v>
      </c>
      <c r="X64" s="3">
        <v>4316.5623020000003</v>
      </c>
      <c r="Y64" s="3">
        <v>402.20735250000001</v>
      </c>
      <c r="Z64" s="3">
        <v>1486.8193229999999</v>
      </c>
      <c r="AA64" s="48" t="s">
        <v>316</v>
      </c>
      <c r="AB64" s="49" t="s">
        <v>342</v>
      </c>
      <c r="AC64" s="3">
        <v>0.56899999999999995</v>
      </c>
      <c r="AD64" s="3">
        <v>0.89300000000000002</v>
      </c>
      <c r="AE64" s="3">
        <v>0.47299999999999998</v>
      </c>
      <c r="AF64" s="3">
        <v>0.752</v>
      </c>
      <c r="AG64" s="3">
        <v>0.59499999999999997</v>
      </c>
      <c r="AH64" s="3">
        <v>0.70399999999999996</v>
      </c>
      <c r="AI64" s="3">
        <v>0.5</v>
      </c>
      <c r="AJ64" s="3">
        <v>0.68300000000000005</v>
      </c>
      <c r="AK64" s="3">
        <v>0.68899999999999995</v>
      </c>
      <c r="AL64" s="3">
        <v>0.92</v>
      </c>
      <c r="AM64" s="3">
        <v>0.66700000000000004</v>
      </c>
      <c r="AN64" s="3">
        <v>0.90300000000000002</v>
      </c>
      <c r="AO64" s="3">
        <v>0.219</v>
      </c>
      <c r="AP64" s="3">
        <v>0.90300000000000002</v>
      </c>
      <c r="AQ64" s="3">
        <v>0.66500000000000004</v>
      </c>
      <c r="AR64" s="3">
        <v>0.85</v>
      </c>
      <c r="AS64" s="3">
        <v>0.70899999999999996</v>
      </c>
      <c r="AT64" s="3">
        <v>0.621</v>
      </c>
      <c r="AU64" s="3">
        <v>0.70899999999999996</v>
      </c>
      <c r="AV64" s="3">
        <v>0.17599999999999999</v>
      </c>
      <c r="AW64" s="3">
        <v>0.70799999999999996</v>
      </c>
      <c r="AX64" s="3">
        <v>0.22700000000000001</v>
      </c>
      <c r="AY64" s="3">
        <v>0.55400000000000005</v>
      </c>
      <c r="AZ64" s="3">
        <v>0.215</v>
      </c>
      <c r="BA64" s="3">
        <v>0.68400000000000005</v>
      </c>
      <c r="BB64" s="3">
        <v>3.6999999999999998E-2</v>
      </c>
      <c r="BC64" s="3">
        <v>0.11899999999999999</v>
      </c>
      <c r="BD64" s="3">
        <v>7.3999999999999996E-2</v>
      </c>
      <c r="BE64" s="3">
        <v>0.36799999999999999</v>
      </c>
      <c r="BF64" s="3">
        <v>0.44166666700000001</v>
      </c>
      <c r="BG64" s="3">
        <v>0.233333334</v>
      </c>
      <c r="BH64" s="3">
        <v>0.183</v>
      </c>
      <c r="BI64" s="3">
        <v>0.83599999999999997</v>
      </c>
      <c r="BJ64" s="3">
        <v>0.34766666699999998</v>
      </c>
      <c r="BK64" s="3">
        <v>0.53100000000000003</v>
      </c>
      <c r="BL64" s="3">
        <v>0.109</v>
      </c>
      <c r="BM64" s="3">
        <v>0.01</v>
      </c>
      <c r="BN64" s="3">
        <v>0.15766666700000001</v>
      </c>
      <c r="BO64" s="3">
        <v>1.0999999999999999E-2</v>
      </c>
      <c r="BP64" s="48" t="s">
        <v>316</v>
      </c>
      <c r="BQ64" s="49" t="s">
        <v>342</v>
      </c>
      <c r="BR64" s="3">
        <v>9.4260000000000002</v>
      </c>
      <c r="BS64" s="3">
        <v>8.2840000000000007</v>
      </c>
      <c r="BT64" s="3">
        <v>8.3330000000000002</v>
      </c>
      <c r="BU64" s="3">
        <v>5.7619999999999996</v>
      </c>
      <c r="BV64" s="3">
        <v>6.9029999999999996</v>
      </c>
      <c r="BW64" s="3">
        <v>7.4020000000000001</v>
      </c>
      <c r="BX64" s="3">
        <v>4.383</v>
      </c>
      <c r="BY64" s="3">
        <v>8.7149999999999999</v>
      </c>
      <c r="BZ64" s="3">
        <v>7.133</v>
      </c>
      <c r="CA64" s="3">
        <v>8.8490000000000002</v>
      </c>
      <c r="CB64" s="3">
        <v>7.5060000000000002</v>
      </c>
      <c r="CC64" s="3">
        <v>6.6989999999999998</v>
      </c>
      <c r="CD64" s="3">
        <v>5.1769999999999996</v>
      </c>
    </row>
    <row r="65" spans="1:82" x14ac:dyDescent="0.3">
      <c r="A65" s="48" t="s">
        <v>316</v>
      </c>
      <c r="B65" s="49" t="s">
        <v>343</v>
      </c>
      <c r="C65" s="3">
        <v>27.7728</v>
      </c>
      <c r="D65" s="3">
        <v>31.548165000000001</v>
      </c>
      <c r="E65" s="3">
        <v>31.548165000000001</v>
      </c>
      <c r="F65" s="3">
        <v>26.64453</v>
      </c>
      <c r="G65" s="3">
        <v>26.64453</v>
      </c>
      <c r="H65" s="3">
        <v>31.548165000000001</v>
      </c>
      <c r="I65" s="48" t="s">
        <v>316</v>
      </c>
      <c r="J65" s="49" t="s">
        <v>343</v>
      </c>
      <c r="K65" s="3">
        <v>37813.5</v>
      </c>
      <c r="L65" s="48" t="s">
        <v>316</v>
      </c>
      <c r="M65" s="49" t="s">
        <v>343</v>
      </c>
      <c r="N65" s="3">
        <v>4091.7070709999998</v>
      </c>
      <c r="O65" s="3">
        <v>6423.874452</v>
      </c>
      <c r="P65" s="3">
        <v>4024.5069060000001</v>
      </c>
      <c r="Q65" s="3">
        <v>3421.2769050000002</v>
      </c>
      <c r="R65" s="3">
        <v>4764.0417710000002</v>
      </c>
      <c r="S65" s="3">
        <v>6596.594263</v>
      </c>
      <c r="T65" s="3">
        <v>4751.1621510000004</v>
      </c>
      <c r="U65" s="3">
        <v>4710.2906759999996</v>
      </c>
      <c r="V65" s="3">
        <v>2971.4042519999998</v>
      </c>
      <c r="W65" s="3">
        <v>1924.5460849999999</v>
      </c>
      <c r="X65" s="3">
        <v>4310.2716300000002</v>
      </c>
      <c r="Y65" s="3">
        <v>399.65792349999998</v>
      </c>
      <c r="Z65" s="3">
        <v>1511.5167859999999</v>
      </c>
      <c r="AA65" s="48" t="s">
        <v>316</v>
      </c>
      <c r="AB65" s="49" t="s">
        <v>343</v>
      </c>
      <c r="AC65" s="3">
        <v>0.39500000000000002</v>
      </c>
      <c r="AD65" s="3">
        <v>0.83499999999999996</v>
      </c>
      <c r="AE65" s="3">
        <v>0.38900000000000001</v>
      </c>
      <c r="AF65" s="3">
        <v>0.68</v>
      </c>
      <c r="AG65" s="3">
        <v>0.46600000000000003</v>
      </c>
      <c r="AH65" s="3">
        <v>0.69399999999999995</v>
      </c>
      <c r="AI65" s="3">
        <v>0.34699999999999998</v>
      </c>
      <c r="AJ65" s="3">
        <v>0.505</v>
      </c>
      <c r="AK65" s="3">
        <v>0.56299999999999994</v>
      </c>
      <c r="AL65" s="3">
        <v>0.91800000000000004</v>
      </c>
      <c r="AM65" s="3">
        <v>0.56599999999999995</v>
      </c>
      <c r="AN65" s="3">
        <v>0.91300000000000003</v>
      </c>
      <c r="AO65" s="3">
        <v>0.157</v>
      </c>
      <c r="AP65" s="3">
        <v>0.91300000000000003</v>
      </c>
      <c r="AQ65" s="3">
        <v>0.56999999999999995</v>
      </c>
      <c r="AR65" s="3">
        <v>0.73</v>
      </c>
      <c r="AS65" s="3">
        <v>0.60199999999999998</v>
      </c>
      <c r="AT65" s="3">
        <v>0.442</v>
      </c>
      <c r="AU65" s="3">
        <v>0.60199999999999998</v>
      </c>
      <c r="AV65" s="3">
        <v>0.14199999999999999</v>
      </c>
      <c r="AW65" s="3">
        <v>0.60399999999999998</v>
      </c>
      <c r="AX65" s="3">
        <v>0.19900000000000001</v>
      </c>
      <c r="AY65" s="3">
        <v>0.46500000000000002</v>
      </c>
      <c r="AZ65" s="3">
        <v>0.22700000000000001</v>
      </c>
      <c r="BA65" s="3">
        <v>0.58499999999999996</v>
      </c>
      <c r="BB65" s="3">
        <v>6.2E-2</v>
      </c>
      <c r="BC65" s="3">
        <v>0.1205</v>
      </c>
      <c r="BD65" s="3">
        <v>6.9500000000000006E-2</v>
      </c>
      <c r="BE65" s="3">
        <v>0.38400000000000001</v>
      </c>
      <c r="BF65" s="3">
        <v>0.46100000000000002</v>
      </c>
      <c r="BG65" s="3">
        <v>0.20408333400000001</v>
      </c>
      <c r="BH65" s="3">
        <v>0.191</v>
      </c>
      <c r="BI65" s="3">
        <v>0.86250000000000004</v>
      </c>
      <c r="BJ65" s="3">
        <v>0.28766666699999999</v>
      </c>
      <c r="BK65" s="3">
        <v>0.48099999999999998</v>
      </c>
      <c r="BL65" s="3">
        <v>9.7666666999999999E-2</v>
      </c>
      <c r="BM65" s="3">
        <v>0.01</v>
      </c>
      <c r="BN65" s="3">
        <v>0.16</v>
      </c>
      <c r="BO65" s="3">
        <v>6.0000000000000001E-3</v>
      </c>
      <c r="BP65" s="48" t="s">
        <v>316</v>
      </c>
      <c r="BQ65" s="49" t="s">
        <v>343</v>
      </c>
      <c r="BR65" s="3">
        <v>8.6189999999999998</v>
      </c>
      <c r="BS65" s="3">
        <v>7.4340000000000002</v>
      </c>
      <c r="BT65" s="3">
        <v>7.7919999999999998</v>
      </c>
      <c r="BU65" s="3">
        <v>5.6849999999999996</v>
      </c>
      <c r="BV65" s="3">
        <v>7.218</v>
      </c>
      <c r="BW65" s="3">
        <v>7.5339999999999998</v>
      </c>
      <c r="BX65" s="3">
        <v>4.3730000000000002</v>
      </c>
      <c r="BY65" s="3">
        <v>8.359</v>
      </c>
      <c r="BZ65" s="3">
        <v>7.53</v>
      </c>
      <c r="CA65" s="3">
        <v>8.8019999999999996</v>
      </c>
      <c r="CB65" s="3">
        <v>7.7549999999999999</v>
      </c>
      <c r="CC65" s="3">
        <v>6.6230000000000002</v>
      </c>
      <c r="CD65" s="3">
        <v>5.3129999999999997</v>
      </c>
    </row>
    <row r="66" spans="1:82" x14ac:dyDescent="0.3">
      <c r="A66" s="48" t="s">
        <v>316</v>
      </c>
      <c r="B66" s="49" t="s">
        <v>344</v>
      </c>
      <c r="C66" s="3">
        <v>27.929022</v>
      </c>
      <c r="D66" s="3">
        <v>32.025509999999997</v>
      </c>
      <c r="E66" s="3">
        <v>32.025509999999997</v>
      </c>
      <c r="F66" s="3">
        <v>26.818110000000001</v>
      </c>
      <c r="G66" s="3">
        <v>26.818110000000001</v>
      </c>
      <c r="H66" s="3">
        <v>32.025509999999997</v>
      </c>
      <c r="I66" s="48" t="s">
        <v>316</v>
      </c>
      <c r="J66" s="49" t="s">
        <v>344</v>
      </c>
      <c r="K66" s="3">
        <v>37871</v>
      </c>
      <c r="L66" s="48" t="s">
        <v>316</v>
      </c>
      <c r="M66" s="49" t="s">
        <v>344</v>
      </c>
      <c r="N66" s="3">
        <v>3815.1471099999999</v>
      </c>
      <c r="O66" s="3">
        <v>6397.725657</v>
      </c>
      <c r="P66" s="3">
        <v>4195.9698580000004</v>
      </c>
      <c r="Q66" s="3">
        <v>3685.7514510000001</v>
      </c>
      <c r="R66" s="3">
        <v>4314.9828619999998</v>
      </c>
      <c r="S66" s="3">
        <v>6646.9821590000001</v>
      </c>
      <c r="T66" s="3">
        <v>5044.3327920000002</v>
      </c>
      <c r="U66" s="3">
        <v>4567.3901889999997</v>
      </c>
      <c r="V66" s="3">
        <v>2791.0322120000001</v>
      </c>
      <c r="W66" s="3">
        <v>2028.0584180000001</v>
      </c>
      <c r="X66" s="3">
        <v>4310.239834</v>
      </c>
      <c r="Y66" s="3">
        <v>424.11896380000002</v>
      </c>
      <c r="Z66" s="3">
        <v>1527.6630809999999</v>
      </c>
      <c r="AA66" s="48" t="s">
        <v>316</v>
      </c>
      <c r="AB66" s="49" t="s">
        <v>344</v>
      </c>
      <c r="AC66" s="3">
        <v>0.24</v>
      </c>
      <c r="AD66" s="3">
        <v>0.69499999999999995</v>
      </c>
      <c r="AE66" s="3">
        <v>0.27300000000000002</v>
      </c>
      <c r="AF66" s="3">
        <v>0.56499999999999995</v>
      </c>
      <c r="AG66" s="3">
        <v>0.309</v>
      </c>
      <c r="AH66" s="3">
        <v>0.66300000000000003</v>
      </c>
      <c r="AI66" s="3">
        <v>0.20300000000000001</v>
      </c>
      <c r="AJ66" s="3">
        <v>0.374</v>
      </c>
      <c r="AK66" s="3">
        <v>0.36799999999999999</v>
      </c>
      <c r="AL66" s="3">
        <v>0.90300000000000002</v>
      </c>
      <c r="AM66" s="3">
        <v>0.376</v>
      </c>
      <c r="AN66" s="3">
        <v>0.91</v>
      </c>
      <c r="AO66" s="3">
        <v>0.109</v>
      </c>
      <c r="AP66" s="3">
        <v>0.91</v>
      </c>
      <c r="AQ66" s="3">
        <v>0.42599999999999999</v>
      </c>
      <c r="AR66" s="3">
        <v>0.54600000000000004</v>
      </c>
      <c r="AS66" s="3">
        <v>0.437</v>
      </c>
      <c r="AT66" s="3">
        <v>0.32</v>
      </c>
      <c r="AU66" s="3">
        <v>0.437</v>
      </c>
      <c r="AV66" s="3">
        <v>9.6000000000000002E-2</v>
      </c>
      <c r="AW66" s="3">
        <v>0.45</v>
      </c>
      <c r="AX66" s="3">
        <v>0.186</v>
      </c>
      <c r="AY66" s="3">
        <v>0.34200000000000003</v>
      </c>
      <c r="AZ66" s="3">
        <v>0.221</v>
      </c>
      <c r="BA66" s="3">
        <v>0.44</v>
      </c>
      <c r="BB66" s="3">
        <v>9.6000000000000002E-2</v>
      </c>
      <c r="BC66" s="3">
        <v>0.127</v>
      </c>
      <c r="BD66" s="3">
        <v>7.1499999999999994E-2</v>
      </c>
      <c r="BE66" s="3">
        <v>0.3785</v>
      </c>
      <c r="BF66" s="3">
        <v>0.46466666699999998</v>
      </c>
      <c r="BG66" s="3">
        <v>0.18433333399999999</v>
      </c>
      <c r="BH66" s="3">
        <v>0.189</v>
      </c>
      <c r="BI66" s="3">
        <v>0.85199999999999998</v>
      </c>
      <c r="BJ66" s="3">
        <v>0.241666667</v>
      </c>
      <c r="BK66" s="3">
        <v>0.42799999999999999</v>
      </c>
      <c r="BL66" s="3">
        <v>8.8666667000000005E-2</v>
      </c>
      <c r="BM66" s="3">
        <v>0.01</v>
      </c>
      <c r="BN66" s="3">
        <v>0.174666667</v>
      </c>
      <c r="BO66" s="3">
        <v>4.0000000000000001E-3</v>
      </c>
      <c r="BP66" s="48" t="s">
        <v>316</v>
      </c>
      <c r="BQ66" s="49" t="s">
        <v>344</v>
      </c>
      <c r="BR66" s="3">
        <v>7.9249999999999998</v>
      </c>
      <c r="BS66" s="3">
        <v>6.9359999999999999</v>
      </c>
      <c r="BT66" s="3">
        <v>6.9820000000000002</v>
      </c>
      <c r="BU66" s="3">
        <v>5.4279999999999999</v>
      </c>
      <c r="BV66" s="3">
        <v>7.4859999999999998</v>
      </c>
      <c r="BW66" s="3">
        <v>7.6710000000000003</v>
      </c>
      <c r="BX66" s="3">
        <v>4.2149999999999999</v>
      </c>
      <c r="BY66" s="3">
        <v>7.9790000000000001</v>
      </c>
      <c r="BZ66" s="3">
        <v>7.851</v>
      </c>
      <c r="CA66" s="3">
        <v>8.7899999999999991</v>
      </c>
      <c r="CB66" s="3">
        <v>7.673</v>
      </c>
      <c r="CC66" s="3">
        <v>6.4530000000000003</v>
      </c>
      <c r="CD66" s="3">
        <v>5.2110000000000003</v>
      </c>
    </row>
    <row r="67" spans="1:82" x14ac:dyDescent="0.3">
      <c r="A67" s="48" t="s">
        <v>316</v>
      </c>
      <c r="B67" s="49" t="s">
        <v>345</v>
      </c>
      <c r="C67" s="3">
        <v>28.076564999999999</v>
      </c>
      <c r="D67" s="3">
        <v>34.368839999999999</v>
      </c>
      <c r="E67" s="3">
        <v>34.368839999999999</v>
      </c>
      <c r="F67" s="3">
        <v>27.130554</v>
      </c>
      <c r="G67" s="3">
        <v>34.368839999999999</v>
      </c>
      <c r="H67" s="3">
        <v>34.368839999999999</v>
      </c>
      <c r="I67" s="48" t="s">
        <v>316</v>
      </c>
      <c r="J67" s="49" t="s">
        <v>345</v>
      </c>
      <c r="K67" s="3">
        <v>39902.5</v>
      </c>
      <c r="L67" s="48" t="s">
        <v>316</v>
      </c>
      <c r="M67" s="49" t="s">
        <v>345</v>
      </c>
      <c r="N67" s="3">
        <v>4721.4599520000002</v>
      </c>
      <c r="O67" s="3">
        <v>7547.613335</v>
      </c>
      <c r="P67" s="3">
        <v>5162.1430060000002</v>
      </c>
      <c r="Q67" s="3">
        <v>4573.7391779999998</v>
      </c>
      <c r="R67" s="3">
        <v>5338.416287</v>
      </c>
      <c r="S67" s="3">
        <v>8152.9274530000002</v>
      </c>
      <c r="T67" s="3">
        <v>6314.3267320000004</v>
      </c>
      <c r="U67" s="3">
        <v>5670.0333540000001</v>
      </c>
      <c r="V67" s="3">
        <v>3464.2188420000002</v>
      </c>
      <c r="W67" s="3">
        <v>2550.4894509999999</v>
      </c>
      <c r="X67" s="3">
        <v>5695.1029390000003</v>
      </c>
      <c r="Y67" s="3">
        <v>601.742751</v>
      </c>
      <c r="Z67" s="3">
        <v>1773.3865020000001</v>
      </c>
      <c r="AA67" s="48" t="s">
        <v>316</v>
      </c>
      <c r="AB67" s="49" t="s">
        <v>345</v>
      </c>
      <c r="AC67" s="3">
        <v>0.112</v>
      </c>
      <c r="AD67" s="3">
        <v>0.53100000000000003</v>
      </c>
      <c r="AE67" s="3">
        <v>0.15</v>
      </c>
      <c r="AF67" s="3">
        <v>0.45400000000000001</v>
      </c>
      <c r="AG67" s="3">
        <v>0.17699999999999999</v>
      </c>
      <c r="AH67" s="3">
        <v>0.65400000000000003</v>
      </c>
      <c r="AI67" s="3">
        <v>0.11</v>
      </c>
      <c r="AJ67" s="3">
        <v>0.23200000000000001</v>
      </c>
      <c r="AK67" s="3">
        <v>0.17499999999999999</v>
      </c>
      <c r="AL67" s="3">
        <v>0.88</v>
      </c>
      <c r="AM67" s="3">
        <v>0.219</v>
      </c>
      <c r="AN67" s="3">
        <v>0.90400000000000003</v>
      </c>
      <c r="AO67" s="3">
        <v>4.8000000000000001E-2</v>
      </c>
      <c r="AP67" s="3">
        <v>0.90400000000000003</v>
      </c>
      <c r="AQ67" s="3">
        <v>0.221</v>
      </c>
      <c r="AR67" s="3">
        <v>0.32300000000000001</v>
      </c>
      <c r="AS67" s="3">
        <v>0.22600000000000001</v>
      </c>
      <c r="AT67" s="3">
        <v>0.192</v>
      </c>
      <c r="AU67" s="3">
        <v>0.22600000000000001</v>
      </c>
      <c r="AV67" s="3">
        <v>5.3999999999999999E-2</v>
      </c>
      <c r="AW67" s="3">
        <v>0.252</v>
      </c>
      <c r="AX67" s="3">
        <v>0.153</v>
      </c>
      <c r="AY67" s="3">
        <v>0.19</v>
      </c>
      <c r="AZ67" s="3">
        <v>0.185</v>
      </c>
      <c r="BA67" s="3">
        <v>0.25800000000000001</v>
      </c>
      <c r="BB67" s="3">
        <v>0.112</v>
      </c>
      <c r="BC67" s="3">
        <v>0.14349999999999999</v>
      </c>
      <c r="BD67" s="3">
        <v>8.6999999999999994E-2</v>
      </c>
      <c r="BE67" s="3">
        <v>0.39550000000000002</v>
      </c>
      <c r="BF67" s="3">
        <v>0.47133333300000002</v>
      </c>
      <c r="BG67" s="3">
        <v>0.17908333400000001</v>
      </c>
      <c r="BH67" s="3">
        <v>0.19</v>
      </c>
      <c r="BI67" s="3">
        <v>0.84399999999999997</v>
      </c>
      <c r="BJ67" s="3">
        <v>0.21466666700000001</v>
      </c>
      <c r="BK67" s="3">
        <v>0.3775</v>
      </c>
      <c r="BL67" s="3">
        <v>8.4333332999999996E-2</v>
      </c>
      <c r="BM67" s="3">
        <v>0.01</v>
      </c>
      <c r="BN67" s="3">
        <v>0.20733333300000001</v>
      </c>
      <c r="BO67" s="3">
        <v>6.0000000000000001E-3</v>
      </c>
      <c r="BP67" s="48" t="s">
        <v>316</v>
      </c>
      <c r="BQ67" s="49" t="s">
        <v>345</v>
      </c>
      <c r="BR67" s="3">
        <v>7.3929999999999998</v>
      </c>
      <c r="BS67" s="3">
        <v>6.7939999999999996</v>
      </c>
      <c r="BT67" s="3">
        <v>6.2489999999999997</v>
      </c>
      <c r="BU67" s="3">
        <v>5.15</v>
      </c>
      <c r="BV67" s="3">
        <v>7.4219999999999997</v>
      </c>
      <c r="BW67" s="3">
        <v>7.7850000000000001</v>
      </c>
      <c r="BX67" s="3">
        <v>3.9180000000000001</v>
      </c>
      <c r="BY67" s="3">
        <v>7.7069999999999999</v>
      </c>
      <c r="BZ67" s="3">
        <v>7.835</v>
      </c>
      <c r="CA67" s="3">
        <v>8.5640000000000001</v>
      </c>
      <c r="CB67" s="3">
        <v>7.1989999999999998</v>
      </c>
      <c r="CC67" s="3">
        <v>6.2320000000000002</v>
      </c>
      <c r="CD67" s="3">
        <v>4.8159999999999998</v>
      </c>
    </row>
    <row r="68" spans="1:82" x14ac:dyDescent="0.3">
      <c r="A68" s="48" t="s">
        <v>316</v>
      </c>
      <c r="B68" s="49" t="s">
        <v>346</v>
      </c>
      <c r="C68" s="3">
        <v>38.248353000000002</v>
      </c>
      <c r="D68" s="3">
        <v>36.798960000000001</v>
      </c>
      <c r="E68" s="3">
        <v>36.798960000000001</v>
      </c>
      <c r="F68" s="3">
        <v>27.989775000000002</v>
      </c>
      <c r="G68" s="3">
        <v>36.798960000000001</v>
      </c>
      <c r="H68" s="3">
        <v>36.798960000000001</v>
      </c>
      <c r="I68" s="48" t="s">
        <v>316</v>
      </c>
      <c r="J68" s="49" t="s">
        <v>346</v>
      </c>
      <c r="K68" s="3">
        <v>41881</v>
      </c>
      <c r="L68" s="48" t="s">
        <v>316</v>
      </c>
      <c r="M68" s="49" t="s">
        <v>346</v>
      </c>
      <c r="N68" s="3">
        <v>6453.4191410000003</v>
      </c>
      <c r="O68" s="3">
        <v>9598.6755059999996</v>
      </c>
      <c r="P68" s="3">
        <v>6449.377219</v>
      </c>
      <c r="Q68" s="3">
        <v>5519.5999510000001</v>
      </c>
      <c r="R68" s="3">
        <v>6640.8036389999997</v>
      </c>
      <c r="S68" s="3">
        <v>10643.04917</v>
      </c>
      <c r="T68" s="3">
        <v>7975.5288529999998</v>
      </c>
      <c r="U68" s="3">
        <v>7882.2081760000001</v>
      </c>
      <c r="V68" s="3">
        <v>5353.567438</v>
      </c>
      <c r="W68" s="3">
        <v>4012.8908179999999</v>
      </c>
      <c r="X68" s="3">
        <v>7654.4485139999997</v>
      </c>
      <c r="Y68" s="3">
        <v>922.10897950000003</v>
      </c>
      <c r="Z68" s="3">
        <v>2227.8274470000001</v>
      </c>
      <c r="AA68" s="48" t="s">
        <v>316</v>
      </c>
      <c r="AB68" s="49" t="s">
        <v>346</v>
      </c>
      <c r="AC68" s="3">
        <v>0.02</v>
      </c>
      <c r="AD68" s="3">
        <v>0.43</v>
      </c>
      <c r="AE68" s="3">
        <v>3.5000000000000003E-2</v>
      </c>
      <c r="AF68" s="3">
        <v>0.42899999999999999</v>
      </c>
      <c r="AG68" s="3">
        <v>3.7999999999999999E-2</v>
      </c>
      <c r="AH68" s="3">
        <v>0.624</v>
      </c>
      <c r="AI68" s="3">
        <v>2.8000000000000001E-2</v>
      </c>
      <c r="AJ68" s="3">
        <v>0.183</v>
      </c>
      <c r="AK68" s="3">
        <v>3.4000000000000002E-2</v>
      </c>
      <c r="AL68" s="3">
        <v>0.86399999999999999</v>
      </c>
      <c r="AM68" s="3">
        <v>5.5E-2</v>
      </c>
      <c r="AN68" s="3">
        <v>0.91500000000000004</v>
      </c>
      <c r="AO68" s="3">
        <v>8.0000000000000002E-3</v>
      </c>
      <c r="AP68" s="3">
        <v>0.91500000000000004</v>
      </c>
      <c r="AQ68" s="3">
        <v>4.1000000000000002E-2</v>
      </c>
      <c r="AR68" s="3">
        <v>0.21099999999999999</v>
      </c>
      <c r="AS68" s="3">
        <v>4.9000000000000002E-2</v>
      </c>
      <c r="AT68" s="3">
        <v>0.14699999999999999</v>
      </c>
      <c r="AU68" s="3">
        <v>4.9000000000000002E-2</v>
      </c>
      <c r="AV68" s="3">
        <v>2.8000000000000001E-2</v>
      </c>
      <c r="AW68" s="3">
        <v>6.5000000000000002E-2</v>
      </c>
      <c r="AX68" s="3">
        <v>0.14099999999999999</v>
      </c>
      <c r="AY68" s="3">
        <v>4.8000000000000001E-2</v>
      </c>
      <c r="AZ68" s="3">
        <v>0.14000000000000001</v>
      </c>
      <c r="BA68" s="3">
        <v>7.3999999999999996E-2</v>
      </c>
      <c r="BB68" s="3">
        <v>9.8000000000000004E-2</v>
      </c>
      <c r="BC68" s="3">
        <v>0.2</v>
      </c>
      <c r="BD68" s="3">
        <v>0.16200000000000001</v>
      </c>
      <c r="BE68" s="3">
        <v>0.50600000000000001</v>
      </c>
      <c r="BF68" s="3">
        <v>0.505</v>
      </c>
      <c r="BG68" s="3">
        <v>0.204166667</v>
      </c>
      <c r="BH68" s="3">
        <v>0.20799999999999999</v>
      </c>
      <c r="BI68" s="3">
        <v>0.85499999999999998</v>
      </c>
      <c r="BJ68" s="3">
        <v>0.20833333300000001</v>
      </c>
      <c r="BK68" s="3">
        <v>0.3705</v>
      </c>
      <c r="BL68" s="3">
        <v>7.7333333000000004E-2</v>
      </c>
      <c r="BM68" s="3">
        <v>0.01</v>
      </c>
      <c r="BN68" s="3">
        <v>0.26566666700000002</v>
      </c>
      <c r="BO68" s="3">
        <v>2.5999999999999999E-2</v>
      </c>
      <c r="BP68" s="48" t="s">
        <v>316</v>
      </c>
      <c r="BQ68" s="49" t="s">
        <v>346</v>
      </c>
      <c r="BR68" s="3">
        <v>6.8970000000000002</v>
      </c>
      <c r="BS68" s="3">
        <v>6.5659999999999998</v>
      </c>
      <c r="BT68" s="3">
        <v>5.9</v>
      </c>
      <c r="BU68" s="3">
        <v>4.8010000000000002</v>
      </c>
      <c r="BV68" s="3">
        <v>6.6310000000000002</v>
      </c>
      <c r="BW68" s="3">
        <v>7.8879999999999999</v>
      </c>
      <c r="BX68" s="3">
        <v>3.347</v>
      </c>
      <c r="BY68" s="3">
        <v>7.335</v>
      </c>
      <c r="BZ68" s="3">
        <v>7.2640000000000002</v>
      </c>
      <c r="CA68" s="3">
        <v>7.43</v>
      </c>
      <c r="CB68" s="3">
        <v>5.8760000000000003</v>
      </c>
      <c r="CC68" s="3">
        <v>5.7089999999999996</v>
      </c>
      <c r="CD68" s="3">
        <v>4.1719999999999997</v>
      </c>
    </row>
    <row r="69" spans="1:82" x14ac:dyDescent="0.3">
      <c r="A69" s="48" t="s">
        <v>316</v>
      </c>
      <c r="B69" s="49" t="s">
        <v>347</v>
      </c>
      <c r="C69" s="3">
        <v>51.935136</v>
      </c>
      <c r="D69" s="3">
        <v>42.023718000000002</v>
      </c>
      <c r="E69" s="3">
        <v>39.055500000000002</v>
      </c>
      <c r="F69" s="3">
        <v>27.746763000000001</v>
      </c>
      <c r="G69" s="3">
        <v>29.543316000000001</v>
      </c>
      <c r="H69" s="3">
        <v>40.826016000000003</v>
      </c>
      <c r="I69" s="48" t="s">
        <v>316</v>
      </c>
      <c r="J69" s="49" t="s">
        <v>347</v>
      </c>
      <c r="K69" s="3">
        <v>44046.5</v>
      </c>
      <c r="L69" s="48" t="s">
        <v>316</v>
      </c>
      <c r="M69" s="49" t="s">
        <v>347</v>
      </c>
      <c r="N69" s="3">
        <v>7604.0823149999997</v>
      </c>
      <c r="O69" s="3">
        <v>10671.748089999999</v>
      </c>
      <c r="P69" s="3">
        <v>6930.284353</v>
      </c>
      <c r="Q69" s="3">
        <v>6047.7308409999996</v>
      </c>
      <c r="R69" s="3">
        <v>8057.216813</v>
      </c>
      <c r="S69" s="3">
        <v>12209.376109999999</v>
      </c>
      <c r="T69" s="3">
        <v>9171.7848740000009</v>
      </c>
      <c r="U69" s="3">
        <v>9533.5716620000003</v>
      </c>
      <c r="V69" s="3">
        <v>6505.5822619999999</v>
      </c>
      <c r="W69" s="3">
        <v>5139.6230939999996</v>
      </c>
      <c r="X69" s="3">
        <v>8254.6024400000006</v>
      </c>
      <c r="Y69" s="3">
        <v>1117.3615709999999</v>
      </c>
      <c r="Z69" s="3">
        <v>2954.8923169999998</v>
      </c>
      <c r="AA69" s="48" t="s">
        <v>316</v>
      </c>
      <c r="AB69" s="49" t="s">
        <v>347</v>
      </c>
      <c r="AC69" s="3">
        <v>0</v>
      </c>
      <c r="AD69" s="3">
        <v>0.35299999999999998</v>
      </c>
      <c r="AE69" s="3">
        <v>0</v>
      </c>
      <c r="AF69" s="3">
        <v>0.43</v>
      </c>
      <c r="AG69" s="3">
        <v>0</v>
      </c>
      <c r="AH69" s="3">
        <v>0.61199999999999999</v>
      </c>
      <c r="AI69" s="3">
        <v>0</v>
      </c>
      <c r="AJ69" s="3">
        <v>0.17399999999999999</v>
      </c>
      <c r="AK69" s="3">
        <v>0</v>
      </c>
      <c r="AL69" s="3">
        <v>0.86299999999999999</v>
      </c>
      <c r="AM69" s="3">
        <v>0</v>
      </c>
      <c r="AN69" s="3">
        <v>0.92300000000000004</v>
      </c>
      <c r="AO69" s="3">
        <v>0</v>
      </c>
      <c r="AP69" s="3">
        <v>0.92300000000000004</v>
      </c>
      <c r="AQ69" s="3">
        <v>0</v>
      </c>
      <c r="AR69" s="3">
        <v>0.16900000000000001</v>
      </c>
      <c r="AS69" s="3">
        <v>0</v>
      </c>
      <c r="AT69" s="3">
        <v>0.126</v>
      </c>
      <c r="AU69" s="3">
        <v>0</v>
      </c>
      <c r="AV69" s="3">
        <v>1.2E-2</v>
      </c>
      <c r="AW69" s="3">
        <v>0</v>
      </c>
      <c r="AX69" s="3">
        <v>0.13800000000000001</v>
      </c>
      <c r="AY69" s="3">
        <v>0</v>
      </c>
      <c r="AZ69" s="3">
        <v>0.11700000000000001</v>
      </c>
      <c r="BA69" s="3">
        <v>0</v>
      </c>
      <c r="BB69" s="3">
        <v>0.111</v>
      </c>
      <c r="BC69" s="3">
        <v>0.30199999999999999</v>
      </c>
      <c r="BD69" s="3">
        <v>0.311</v>
      </c>
      <c r="BE69" s="3">
        <v>0.64049999999999996</v>
      </c>
      <c r="BF69" s="3">
        <v>0.58099999999999996</v>
      </c>
      <c r="BG69" s="3">
        <v>0.2515</v>
      </c>
      <c r="BH69" s="3">
        <v>0.27700000000000002</v>
      </c>
      <c r="BI69" s="3">
        <v>0.86950000000000005</v>
      </c>
      <c r="BJ69" s="3">
        <v>0.20100000000000001</v>
      </c>
      <c r="BK69" s="3">
        <v>0.377</v>
      </c>
      <c r="BL69" s="3">
        <v>6.3E-2</v>
      </c>
      <c r="BM69" s="3">
        <v>0.01</v>
      </c>
      <c r="BN69" s="3">
        <v>0.34166666699999998</v>
      </c>
      <c r="BO69" s="3">
        <v>4.7E-2</v>
      </c>
      <c r="BP69" s="48" t="s">
        <v>316</v>
      </c>
      <c r="BQ69" s="49" t="s">
        <v>347</v>
      </c>
      <c r="BR69" s="3">
        <v>6.3330000000000002</v>
      </c>
      <c r="BS69" s="3">
        <v>6.0579999999999998</v>
      </c>
      <c r="BT69" s="3">
        <v>5.8869999999999996</v>
      </c>
      <c r="BU69" s="3">
        <v>4.49</v>
      </c>
      <c r="BV69" s="3">
        <v>5.5860000000000003</v>
      </c>
      <c r="BW69" s="3">
        <v>7.9660000000000002</v>
      </c>
      <c r="BX69" s="3">
        <v>2.8570000000000002</v>
      </c>
      <c r="BY69" s="3">
        <v>6.9219999999999997</v>
      </c>
      <c r="BZ69" s="3">
        <v>6.72</v>
      </c>
      <c r="CA69" s="3">
        <v>6.6639999999999997</v>
      </c>
      <c r="CB69" s="3">
        <v>3.89</v>
      </c>
      <c r="CC69" s="3">
        <v>4.7060000000000004</v>
      </c>
      <c r="CD69" s="3">
        <v>3.1429999999999998</v>
      </c>
    </row>
    <row r="70" spans="1:82" x14ac:dyDescent="0.3">
      <c r="A70" s="48" t="s">
        <v>316</v>
      </c>
      <c r="B70" s="49" t="s">
        <v>348</v>
      </c>
      <c r="C70" s="3">
        <v>60.579419999999999</v>
      </c>
      <c r="D70" s="3">
        <v>42.067112999999999</v>
      </c>
      <c r="E70" s="3">
        <v>33.830742000000001</v>
      </c>
      <c r="F70" s="3">
        <v>27.121874999999999</v>
      </c>
      <c r="G70" s="3">
        <v>27.121874999999999</v>
      </c>
      <c r="H70" s="3">
        <v>37.258946999999999</v>
      </c>
      <c r="I70" s="48" t="s">
        <v>316</v>
      </c>
      <c r="J70" s="49" t="s">
        <v>348</v>
      </c>
      <c r="K70" s="3">
        <v>44284</v>
      </c>
      <c r="L70" s="48" t="s">
        <v>316</v>
      </c>
      <c r="M70" s="49" t="s">
        <v>348</v>
      </c>
      <c r="N70" s="3">
        <v>8260.7562180000004</v>
      </c>
      <c r="O70" s="3">
        <v>11067.89927</v>
      </c>
      <c r="P70" s="3">
        <v>7004.0133949999999</v>
      </c>
      <c r="Q70" s="3">
        <v>6128.2739240000001</v>
      </c>
      <c r="R70" s="3">
        <v>9528.1575479999992</v>
      </c>
      <c r="S70" s="3">
        <v>12935.34036</v>
      </c>
      <c r="T70" s="3">
        <v>9643.8701920000003</v>
      </c>
      <c r="U70" s="3">
        <v>10764.33252</v>
      </c>
      <c r="V70" s="3">
        <v>7244.8874679999999</v>
      </c>
      <c r="W70" s="3">
        <v>6176.5397750000002</v>
      </c>
      <c r="X70" s="3">
        <v>9146.0594939999992</v>
      </c>
      <c r="Y70" s="3">
        <v>1182.921497</v>
      </c>
      <c r="Z70" s="3">
        <v>3906.0317879999998</v>
      </c>
      <c r="AA70" s="48" t="s">
        <v>316</v>
      </c>
      <c r="AB70" s="49" t="s">
        <v>348</v>
      </c>
      <c r="AC70" s="3">
        <v>0</v>
      </c>
      <c r="AD70" s="3">
        <v>0.29899999999999999</v>
      </c>
      <c r="AE70" s="3">
        <v>0</v>
      </c>
      <c r="AF70" s="3">
        <v>0.372</v>
      </c>
      <c r="AG70" s="3">
        <v>0</v>
      </c>
      <c r="AH70" s="3">
        <v>0.58399999999999996</v>
      </c>
      <c r="AI70" s="3">
        <v>0</v>
      </c>
      <c r="AJ70" s="3">
        <v>0.151</v>
      </c>
      <c r="AK70" s="3">
        <v>0</v>
      </c>
      <c r="AL70" s="3">
        <v>0.89800000000000002</v>
      </c>
      <c r="AM70" s="3">
        <v>0</v>
      </c>
      <c r="AN70" s="3">
        <v>0.92100000000000004</v>
      </c>
      <c r="AO70" s="3">
        <v>0</v>
      </c>
      <c r="AP70" s="3">
        <v>0.92100000000000004</v>
      </c>
      <c r="AQ70" s="3">
        <v>0</v>
      </c>
      <c r="AR70" s="3">
        <v>0.13600000000000001</v>
      </c>
      <c r="AS70" s="3">
        <v>0</v>
      </c>
      <c r="AT70" s="3">
        <v>0.10199999999999999</v>
      </c>
      <c r="AU70" s="3">
        <v>0</v>
      </c>
      <c r="AV70" s="3">
        <v>5.0000000000000001E-3</v>
      </c>
      <c r="AW70" s="3">
        <v>0</v>
      </c>
      <c r="AX70" s="3">
        <v>0.113</v>
      </c>
      <c r="AY70" s="3">
        <v>0</v>
      </c>
      <c r="AZ70" s="3">
        <v>8.5999999999999993E-2</v>
      </c>
      <c r="BA70" s="3">
        <v>0</v>
      </c>
      <c r="BB70" s="3">
        <v>0.123</v>
      </c>
      <c r="BC70" s="3">
        <v>0.42849999999999999</v>
      </c>
      <c r="BD70" s="3">
        <v>0.47949999999999998</v>
      </c>
      <c r="BE70" s="3">
        <v>0.69650000000000001</v>
      </c>
      <c r="BF70" s="3">
        <v>0.64233333299999995</v>
      </c>
      <c r="BG70" s="3">
        <v>0.29658333399999998</v>
      </c>
      <c r="BH70" s="3">
        <v>0.39200000000000002</v>
      </c>
      <c r="BI70" s="3">
        <v>0.88449999999999995</v>
      </c>
      <c r="BJ70" s="3">
        <v>0.16466666699999999</v>
      </c>
      <c r="BK70" s="3">
        <v>0.34449999999999997</v>
      </c>
      <c r="BL70" s="3">
        <v>4.5333333000000003E-2</v>
      </c>
      <c r="BM70" s="3">
        <v>0.01</v>
      </c>
      <c r="BN70" s="3">
        <v>0.41699999999999998</v>
      </c>
      <c r="BO70" s="3">
        <v>7.3999999999999996E-2</v>
      </c>
      <c r="BP70" s="48" t="s">
        <v>316</v>
      </c>
      <c r="BQ70" s="49" t="s">
        <v>348</v>
      </c>
      <c r="BR70" s="3">
        <v>6.0529999999999999</v>
      </c>
      <c r="BS70" s="3">
        <v>5.617</v>
      </c>
      <c r="BT70" s="3">
        <v>5.94</v>
      </c>
      <c r="BU70" s="3">
        <v>4.2910000000000004</v>
      </c>
      <c r="BV70" s="3">
        <v>5.24</v>
      </c>
      <c r="BW70" s="3">
        <v>8.1129999999999995</v>
      </c>
      <c r="BX70" s="3">
        <v>2.6629999999999998</v>
      </c>
      <c r="BY70" s="3">
        <v>6.7969999999999997</v>
      </c>
      <c r="BZ70" s="3">
        <v>6.649</v>
      </c>
      <c r="CA70" s="3">
        <v>6.6920000000000002</v>
      </c>
      <c r="CB70" s="3">
        <v>3.073</v>
      </c>
      <c r="CC70" s="3">
        <v>4.4889999999999999</v>
      </c>
      <c r="CD70" s="3">
        <v>2.863</v>
      </c>
    </row>
    <row r="71" spans="1:82" x14ac:dyDescent="0.3">
      <c r="A71" s="48" t="s">
        <v>316</v>
      </c>
      <c r="B71" s="49" t="s">
        <v>349</v>
      </c>
      <c r="C71" s="3">
        <v>50.937050999999997</v>
      </c>
      <c r="D71" s="3">
        <v>38.725698000000001</v>
      </c>
      <c r="E71" s="3">
        <v>27.929022</v>
      </c>
      <c r="F71" s="3">
        <v>26.974332</v>
      </c>
      <c r="G71" s="3">
        <v>26.974332</v>
      </c>
      <c r="H71" s="3">
        <v>32.450780999999999</v>
      </c>
      <c r="I71" s="48" t="s">
        <v>316</v>
      </c>
      <c r="J71" s="49" t="s">
        <v>349</v>
      </c>
      <c r="K71" s="3">
        <v>41787.5</v>
      </c>
      <c r="L71" s="48" t="s">
        <v>316</v>
      </c>
      <c r="M71" s="49" t="s">
        <v>349</v>
      </c>
      <c r="N71" s="3">
        <v>7682.4446109999999</v>
      </c>
      <c r="O71" s="3">
        <v>10408.7318</v>
      </c>
      <c r="P71" s="3">
        <v>6431.3785740000003</v>
      </c>
      <c r="Q71" s="3">
        <v>5697.7652040000003</v>
      </c>
      <c r="R71" s="3">
        <v>9349.2500889999992</v>
      </c>
      <c r="S71" s="3">
        <v>12146.96249</v>
      </c>
      <c r="T71" s="3">
        <v>9257.9696509999994</v>
      </c>
      <c r="U71" s="3">
        <v>10135.45506</v>
      </c>
      <c r="V71" s="3">
        <v>6810.2336690000002</v>
      </c>
      <c r="W71" s="3">
        <v>6001.9085439999999</v>
      </c>
      <c r="X71" s="3">
        <v>8681.8657879999992</v>
      </c>
      <c r="Y71" s="3">
        <v>1102.499</v>
      </c>
      <c r="Z71" s="3">
        <v>3960.2971160000002</v>
      </c>
      <c r="AA71" s="48" t="s">
        <v>316</v>
      </c>
      <c r="AB71" s="49" t="s">
        <v>349</v>
      </c>
      <c r="AC71" s="3">
        <v>0</v>
      </c>
      <c r="AD71" s="3">
        <v>0.25700000000000001</v>
      </c>
      <c r="AE71" s="3">
        <v>0</v>
      </c>
      <c r="AF71" s="3">
        <v>0.30199999999999999</v>
      </c>
      <c r="AG71" s="3">
        <v>0</v>
      </c>
      <c r="AH71" s="3">
        <v>0.52600000000000002</v>
      </c>
      <c r="AI71" s="3">
        <v>0</v>
      </c>
      <c r="AJ71" s="3">
        <v>0.123</v>
      </c>
      <c r="AK71" s="3">
        <v>0</v>
      </c>
      <c r="AL71" s="3">
        <v>0.89800000000000002</v>
      </c>
      <c r="AM71" s="3">
        <v>0</v>
      </c>
      <c r="AN71" s="3">
        <v>0.92200000000000004</v>
      </c>
      <c r="AO71" s="3">
        <v>0</v>
      </c>
      <c r="AP71" s="3">
        <v>0.92200000000000004</v>
      </c>
      <c r="AQ71" s="3">
        <v>0</v>
      </c>
      <c r="AR71" s="3">
        <v>0.11799999999999999</v>
      </c>
      <c r="AS71" s="3">
        <v>0</v>
      </c>
      <c r="AT71" s="3">
        <v>9.0999999999999998E-2</v>
      </c>
      <c r="AU71" s="3">
        <v>0</v>
      </c>
      <c r="AV71" s="3">
        <v>0.01</v>
      </c>
      <c r="AW71" s="3">
        <v>0</v>
      </c>
      <c r="AX71" s="3">
        <v>8.1000000000000003E-2</v>
      </c>
      <c r="AY71" s="3">
        <v>0</v>
      </c>
      <c r="AZ71" s="3">
        <v>5.5E-2</v>
      </c>
      <c r="BA71" s="3">
        <v>0</v>
      </c>
      <c r="BB71" s="3">
        <v>0.109</v>
      </c>
      <c r="BC71" s="3">
        <v>0.54249999999999998</v>
      </c>
      <c r="BD71" s="3">
        <v>0.61899999999999999</v>
      </c>
      <c r="BE71" s="3">
        <v>0.70150000000000001</v>
      </c>
      <c r="BF71" s="3">
        <v>0.67933333299999998</v>
      </c>
      <c r="BG71" s="3">
        <v>0.33308333400000001</v>
      </c>
      <c r="BH71" s="3">
        <v>0.501</v>
      </c>
      <c r="BI71" s="3">
        <v>0.91200000000000003</v>
      </c>
      <c r="BJ71" s="3">
        <v>0.12366666699999999</v>
      </c>
      <c r="BK71" s="3">
        <v>0.27700000000000002</v>
      </c>
      <c r="BL71" s="3">
        <v>3.5333333000000001E-2</v>
      </c>
      <c r="BM71" s="3">
        <v>0.01</v>
      </c>
      <c r="BN71" s="3">
        <v>0.48599999999999999</v>
      </c>
      <c r="BO71" s="3">
        <v>0.11</v>
      </c>
      <c r="BP71" s="48" t="s">
        <v>316</v>
      </c>
      <c r="BQ71" s="49" t="s">
        <v>349</v>
      </c>
      <c r="BR71" s="3">
        <v>5.859</v>
      </c>
      <c r="BS71" s="3">
        <v>5.2030000000000003</v>
      </c>
      <c r="BT71" s="3">
        <v>5.8650000000000002</v>
      </c>
      <c r="BU71" s="3">
        <v>4.0999999999999996</v>
      </c>
      <c r="BV71" s="3">
        <v>5.01</v>
      </c>
      <c r="BW71" s="3">
        <v>8.1660000000000004</v>
      </c>
      <c r="BX71" s="3">
        <v>2.5939999999999999</v>
      </c>
      <c r="BY71" s="3">
        <v>6.7270000000000003</v>
      </c>
      <c r="BZ71" s="3">
        <v>6.5549999999999997</v>
      </c>
      <c r="CA71" s="3">
        <v>6.0389999999999997</v>
      </c>
      <c r="CB71" s="3">
        <v>2.6339999999999999</v>
      </c>
      <c r="CC71" s="3">
        <v>4.3819999999999997</v>
      </c>
      <c r="CD71" s="3">
        <v>2.5990000000000002</v>
      </c>
    </row>
    <row r="72" spans="1:82" x14ac:dyDescent="0.3">
      <c r="A72" s="48" t="s">
        <v>316</v>
      </c>
      <c r="B72" s="49" t="s">
        <v>350</v>
      </c>
      <c r="C72" s="3">
        <v>47.439413999999999</v>
      </c>
      <c r="D72" s="3">
        <v>38.986068000000003</v>
      </c>
      <c r="E72" s="3">
        <v>27.469035000000002</v>
      </c>
      <c r="F72" s="3">
        <v>26.583777000000001</v>
      </c>
      <c r="G72" s="3">
        <v>27.009048</v>
      </c>
      <c r="H72" s="3">
        <v>32.355311999999998</v>
      </c>
      <c r="I72" s="48" t="s">
        <v>316</v>
      </c>
      <c r="J72" s="49" t="s">
        <v>350</v>
      </c>
      <c r="K72" s="3">
        <v>37780.5</v>
      </c>
      <c r="L72" s="48" t="s">
        <v>316</v>
      </c>
      <c r="M72" s="49" t="s">
        <v>350</v>
      </c>
      <c r="N72" s="3">
        <v>6650.7734270000001</v>
      </c>
      <c r="O72" s="3">
        <v>8919.796542</v>
      </c>
      <c r="P72" s="3">
        <v>5554.68048</v>
      </c>
      <c r="Q72" s="3">
        <v>4868.629089</v>
      </c>
      <c r="R72" s="3">
        <v>8440.1964609999995</v>
      </c>
      <c r="S72" s="3">
        <v>10475.784460000001</v>
      </c>
      <c r="T72" s="3">
        <v>8381.426453</v>
      </c>
      <c r="U72" s="3">
        <v>8894.2062740000001</v>
      </c>
      <c r="V72" s="3">
        <v>5961.7832319999998</v>
      </c>
      <c r="W72" s="3">
        <v>5163.3220789999996</v>
      </c>
      <c r="X72" s="3">
        <v>7749.3277209999997</v>
      </c>
      <c r="Y72" s="3">
        <v>914.25268189999997</v>
      </c>
      <c r="Z72" s="3">
        <v>3266.6803770000001</v>
      </c>
      <c r="AA72" s="48" t="s">
        <v>316</v>
      </c>
      <c r="AB72" s="49" t="s">
        <v>350</v>
      </c>
      <c r="AC72" s="3">
        <v>0</v>
      </c>
      <c r="AD72" s="3">
        <v>0.23699999999999999</v>
      </c>
      <c r="AE72" s="3">
        <v>0</v>
      </c>
      <c r="AF72" s="3">
        <v>0.23200000000000001</v>
      </c>
      <c r="AG72" s="3">
        <v>0</v>
      </c>
      <c r="AH72" s="3">
        <v>0.44</v>
      </c>
      <c r="AI72" s="3">
        <v>0</v>
      </c>
      <c r="AJ72" s="3">
        <v>0.115</v>
      </c>
      <c r="AK72" s="3">
        <v>0</v>
      </c>
      <c r="AL72" s="3">
        <v>0.871</v>
      </c>
      <c r="AM72" s="3">
        <v>0</v>
      </c>
      <c r="AN72" s="3">
        <v>0.92500000000000004</v>
      </c>
      <c r="AO72" s="3">
        <v>0</v>
      </c>
      <c r="AP72" s="3">
        <v>0.92500000000000004</v>
      </c>
      <c r="AQ72" s="3">
        <v>0</v>
      </c>
      <c r="AR72" s="3">
        <v>0.11700000000000001</v>
      </c>
      <c r="AS72" s="3">
        <v>0</v>
      </c>
      <c r="AT72" s="3">
        <v>0.108</v>
      </c>
      <c r="AU72" s="3">
        <v>0</v>
      </c>
      <c r="AV72" s="3">
        <v>3.5000000000000003E-2</v>
      </c>
      <c r="AW72" s="3">
        <v>0</v>
      </c>
      <c r="AX72" s="3">
        <v>4.5999999999999999E-2</v>
      </c>
      <c r="AY72" s="3">
        <v>0</v>
      </c>
      <c r="AZ72" s="3">
        <v>0.03</v>
      </c>
      <c r="BA72" s="3">
        <v>0</v>
      </c>
      <c r="BB72" s="3">
        <v>8.5999999999999993E-2</v>
      </c>
      <c r="BC72" s="3">
        <v>0.63200000000000001</v>
      </c>
      <c r="BD72" s="3">
        <v>0.70950000000000002</v>
      </c>
      <c r="BE72" s="3">
        <v>0.70150000000000001</v>
      </c>
      <c r="BF72" s="3">
        <v>0.71033333300000001</v>
      </c>
      <c r="BG72" s="3">
        <v>0.370166667</v>
      </c>
      <c r="BH72" s="3">
        <v>0.59599999999999997</v>
      </c>
      <c r="BI72" s="3">
        <v>0.93400000000000005</v>
      </c>
      <c r="BJ72" s="3">
        <v>0.108333333</v>
      </c>
      <c r="BK72" s="3">
        <v>0.2165</v>
      </c>
      <c r="BL72" s="3">
        <v>4.7666667000000003E-2</v>
      </c>
      <c r="BM72" s="3">
        <v>0.01</v>
      </c>
      <c r="BN72" s="3">
        <v>0.55000000000000004</v>
      </c>
      <c r="BO72" s="3">
        <v>0.157</v>
      </c>
      <c r="BP72" s="48" t="s">
        <v>316</v>
      </c>
      <c r="BQ72" s="49" t="s">
        <v>350</v>
      </c>
      <c r="BR72" s="3">
        <v>5.7</v>
      </c>
      <c r="BS72" s="3">
        <v>4.931</v>
      </c>
      <c r="BT72" s="3">
        <v>5.7309999999999999</v>
      </c>
      <c r="BU72" s="3">
        <v>3.97</v>
      </c>
      <c r="BV72" s="3">
        <v>4.7110000000000003</v>
      </c>
      <c r="BW72" s="3">
        <v>8.0890000000000004</v>
      </c>
      <c r="BX72" s="3">
        <v>2.6360000000000001</v>
      </c>
      <c r="BY72" s="3">
        <v>6.7469999999999999</v>
      </c>
      <c r="BZ72" s="3">
        <v>6.2779999999999996</v>
      </c>
      <c r="CA72" s="3">
        <v>4.4470000000000001</v>
      </c>
      <c r="CB72" s="3">
        <v>2.5960000000000001</v>
      </c>
      <c r="CC72" s="3">
        <v>4.1589999999999998</v>
      </c>
      <c r="CD72" s="3">
        <v>2.5830000000000002</v>
      </c>
    </row>
    <row r="73" spans="1:82" x14ac:dyDescent="0.3">
      <c r="A73" s="48" t="s">
        <v>316</v>
      </c>
      <c r="B73" s="49" t="s">
        <v>351</v>
      </c>
      <c r="C73" s="3">
        <v>27.503751000000001</v>
      </c>
      <c r="D73" s="3">
        <v>36.069924</v>
      </c>
      <c r="E73" s="3">
        <v>25.316642999999999</v>
      </c>
      <c r="F73" s="3">
        <v>25.741914000000001</v>
      </c>
      <c r="G73" s="3">
        <v>25.316642999999999</v>
      </c>
      <c r="H73" s="3">
        <v>30.116129999999998</v>
      </c>
      <c r="I73" s="48" t="s">
        <v>316</v>
      </c>
      <c r="J73" s="49" t="s">
        <v>351</v>
      </c>
      <c r="K73" s="3">
        <v>33369</v>
      </c>
      <c r="L73" s="48" t="s">
        <v>316</v>
      </c>
      <c r="M73" s="49" t="s">
        <v>351</v>
      </c>
      <c r="N73" s="3">
        <v>5458.7690119999997</v>
      </c>
      <c r="O73" s="3">
        <v>7160.0037259999999</v>
      </c>
      <c r="P73" s="3">
        <v>4430.9222090000003</v>
      </c>
      <c r="Q73" s="3">
        <v>3772.649046</v>
      </c>
      <c r="R73" s="3">
        <v>7216.3136930000001</v>
      </c>
      <c r="S73" s="3">
        <v>8262.9545760000001</v>
      </c>
      <c r="T73" s="3">
        <v>7007.052968</v>
      </c>
      <c r="U73" s="3">
        <v>7238.481479</v>
      </c>
      <c r="V73" s="3">
        <v>4916.964927</v>
      </c>
      <c r="W73" s="3">
        <v>4199.5264580000003</v>
      </c>
      <c r="X73" s="3">
        <v>6282.948249</v>
      </c>
      <c r="Y73" s="3">
        <v>727.07757019999997</v>
      </c>
      <c r="Z73" s="3">
        <v>2629.4416639999999</v>
      </c>
      <c r="AA73" s="48" t="s">
        <v>316</v>
      </c>
      <c r="AB73" s="49" t="s">
        <v>351</v>
      </c>
      <c r="AC73" s="3">
        <v>0</v>
      </c>
      <c r="AD73" s="3">
        <v>0.224</v>
      </c>
      <c r="AE73" s="3">
        <v>0</v>
      </c>
      <c r="AF73" s="3">
        <v>0.17299999999999999</v>
      </c>
      <c r="AG73" s="3">
        <v>0</v>
      </c>
      <c r="AH73" s="3">
        <v>0.34799999999999998</v>
      </c>
      <c r="AI73" s="3">
        <v>0</v>
      </c>
      <c r="AJ73" s="3">
        <v>0.11799999999999999</v>
      </c>
      <c r="AK73" s="3">
        <v>0</v>
      </c>
      <c r="AL73" s="3">
        <v>0.83399999999999996</v>
      </c>
      <c r="AM73" s="3">
        <v>0</v>
      </c>
      <c r="AN73" s="3">
        <v>0.92700000000000005</v>
      </c>
      <c r="AO73" s="3">
        <v>0</v>
      </c>
      <c r="AP73" s="3">
        <v>0.92700000000000005</v>
      </c>
      <c r="AQ73" s="3">
        <v>0</v>
      </c>
      <c r="AR73" s="3">
        <v>0.127</v>
      </c>
      <c r="AS73" s="3">
        <v>0</v>
      </c>
      <c r="AT73" s="3">
        <v>0.12</v>
      </c>
      <c r="AU73" s="3">
        <v>0</v>
      </c>
      <c r="AV73" s="3">
        <v>8.7999999999999995E-2</v>
      </c>
      <c r="AW73" s="3">
        <v>0</v>
      </c>
      <c r="AX73" s="3">
        <v>1.7000000000000001E-2</v>
      </c>
      <c r="AY73" s="3">
        <v>0</v>
      </c>
      <c r="AZ73" s="3">
        <v>1.4999999999999999E-2</v>
      </c>
      <c r="BA73" s="3">
        <v>0</v>
      </c>
      <c r="BB73" s="3">
        <v>6.2E-2</v>
      </c>
      <c r="BC73" s="3">
        <v>0.69550000000000001</v>
      </c>
      <c r="BD73" s="3">
        <v>0.752</v>
      </c>
      <c r="BE73" s="3">
        <v>0.70050000000000001</v>
      </c>
      <c r="BF73" s="3">
        <v>0.73699999999999999</v>
      </c>
      <c r="BG73" s="3">
        <v>0.40725</v>
      </c>
      <c r="BH73" s="3">
        <v>0.67100000000000004</v>
      </c>
      <c r="BI73" s="3">
        <v>0.95150000000000001</v>
      </c>
      <c r="BJ73" s="3">
        <v>0.11899999999999999</v>
      </c>
      <c r="BK73" s="3">
        <v>0.16750000000000001</v>
      </c>
      <c r="BL73" s="3">
        <v>7.5666667000000007E-2</v>
      </c>
      <c r="BM73" s="3">
        <v>0.01</v>
      </c>
      <c r="BN73" s="3">
        <v>0.60699999999999998</v>
      </c>
      <c r="BO73" s="3">
        <v>0.218</v>
      </c>
      <c r="BP73" s="48" t="s">
        <v>316</v>
      </c>
      <c r="BQ73" s="49" t="s">
        <v>351</v>
      </c>
      <c r="BR73" s="3">
        <v>5.5730000000000004</v>
      </c>
      <c r="BS73" s="3">
        <v>4.827</v>
      </c>
      <c r="BT73" s="3">
        <v>5.5570000000000004</v>
      </c>
      <c r="BU73" s="3">
        <v>3.9860000000000002</v>
      </c>
      <c r="BV73" s="3">
        <v>4.4630000000000001</v>
      </c>
      <c r="BW73" s="3">
        <v>8.0050000000000008</v>
      </c>
      <c r="BX73" s="3">
        <v>2.7010000000000001</v>
      </c>
      <c r="BY73" s="3">
        <v>6.7329999999999997</v>
      </c>
      <c r="BZ73" s="3">
        <v>5.9989999999999997</v>
      </c>
      <c r="CA73" s="3">
        <v>2.9870000000000001</v>
      </c>
      <c r="CB73" s="3">
        <v>2.8380000000000001</v>
      </c>
      <c r="CC73" s="3">
        <v>3.8130000000000002</v>
      </c>
      <c r="CD73" s="3">
        <v>2.5209999999999999</v>
      </c>
    </row>
    <row r="74" spans="1:82" x14ac:dyDescent="0.3">
      <c r="A74" s="48" t="s">
        <v>316</v>
      </c>
      <c r="B74" s="49" t="s">
        <v>352</v>
      </c>
      <c r="C74" s="3">
        <v>32.589644999999997</v>
      </c>
      <c r="D74" s="3">
        <v>27.043763999999999</v>
      </c>
      <c r="E74" s="3">
        <v>25.559654999999999</v>
      </c>
      <c r="F74" s="3">
        <v>25.559654999999999</v>
      </c>
      <c r="G74" s="3">
        <v>25.559654999999999</v>
      </c>
      <c r="H74" s="3">
        <v>29.300304000000001</v>
      </c>
      <c r="I74" s="48" t="s">
        <v>316</v>
      </c>
      <c r="J74" s="49" t="s">
        <v>352</v>
      </c>
      <c r="K74" s="3">
        <v>29600</v>
      </c>
      <c r="L74" s="48" t="s">
        <v>316</v>
      </c>
      <c r="M74" s="49" t="s">
        <v>352</v>
      </c>
      <c r="N74" s="3">
        <v>3507.4257480000001</v>
      </c>
      <c r="O74" s="3">
        <v>4636.6822330000005</v>
      </c>
      <c r="P74" s="3">
        <v>2809.112239</v>
      </c>
      <c r="Q74" s="3">
        <v>2573.4775070000001</v>
      </c>
      <c r="R74" s="3">
        <v>4924.824044</v>
      </c>
      <c r="S74" s="3">
        <v>5247.2701319999996</v>
      </c>
      <c r="T74" s="3">
        <v>4854.2552459999997</v>
      </c>
      <c r="U74" s="3">
        <v>4500.9970780000003</v>
      </c>
      <c r="V74" s="3">
        <v>3181.3518279999998</v>
      </c>
      <c r="W74" s="3">
        <v>2602.1337640000002</v>
      </c>
      <c r="X74" s="3">
        <v>4134.3839479999997</v>
      </c>
      <c r="Y74" s="3">
        <v>448.90597780000002</v>
      </c>
      <c r="Z74" s="3">
        <v>1656.7690230000001</v>
      </c>
      <c r="AA74" s="48" t="s">
        <v>316</v>
      </c>
      <c r="AB74" s="49" t="s">
        <v>352</v>
      </c>
      <c r="AC74" s="3">
        <v>0</v>
      </c>
      <c r="AD74" s="3">
        <v>0.20699999999999999</v>
      </c>
      <c r="AE74" s="3">
        <v>0</v>
      </c>
      <c r="AF74" s="3">
        <v>0.124</v>
      </c>
      <c r="AG74" s="3">
        <v>0</v>
      </c>
      <c r="AH74" s="3">
        <v>0.27700000000000002</v>
      </c>
      <c r="AI74" s="3">
        <v>0</v>
      </c>
      <c r="AJ74" s="3">
        <v>0.109</v>
      </c>
      <c r="AK74" s="3">
        <v>0</v>
      </c>
      <c r="AL74" s="3">
        <v>0.79200000000000004</v>
      </c>
      <c r="AM74" s="3">
        <v>0</v>
      </c>
      <c r="AN74" s="3">
        <v>0.92900000000000005</v>
      </c>
      <c r="AO74" s="3">
        <v>0</v>
      </c>
      <c r="AP74" s="3">
        <v>0.92900000000000005</v>
      </c>
      <c r="AQ74" s="3">
        <v>0</v>
      </c>
      <c r="AR74" s="3">
        <v>0.161</v>
      </c>
      <c r="AS74" s="3">
        <v>0</v>
      </c>
      <c r="AT74" s="3">
        <v>0.111</v>
      </c>
      <c r="AU74" s="3">
        <v>0</v>
      </c>
      <c r="AV74" s="3">
        <v>0.17199999999999999</v>
      </c>
      <c r="AW74" s="3">
        <v>0</v>
      </c>
      <c r="AX74" s="3">
        <v>8.0000000000000002E-3</v>
      </c>
      <c r="AY74" s="3">
        <v>0</v>
      </c>
      <c r="AZ74" s="3">
        <v>1.4999999999999999E-2</v>
      </c>
      <c r="BA74" s="3">
        <v>0</v>
      </c>
      <c r="BB74" s="3">
        <v>4.4999999999999998E-2</v>
      </c>
      <c r="BC74" s="3">
        <v>0.72799999999999998</v>
      </c>
      <c r="BD74" s="3">
        <v>0.76500000000000001</v>
      </c>
      <c r="BE74" s="3">
        <v>0.71</v>
      </c>
      <c r="BF74" s="3">
        <v>0.75333333300000005</v>
      </c>
      <c r="BG74" s="3">
        <v>0.439</v>
      </c>
      <c r="BH74" s="3">
        <v>0.70599999999999996</v>
      </c>
      <c r="BI74" s="3">
        <v>0.96350000000000002</v>
      </c>
      <c r="BJ74" s="3">
        <v>0.15</v>
      </c>
      <c r="BK74" s="3">
        <v>0.13400000000000001</v>
      </c>
      <c r="BL74" s="3">
        <v>0.100333333</v>
      </c>
      <c r="BM74" s="3">
        <v>0.01</v>
      </c>
      <c r="BN74" s="3">
        <v>0.64866666699999997</v>
      </c>
      <c r="BO74" s="3">
        <v>0.30299999999999999</v>
      </c>
      <c r="BP74" s="48" t="s">
        <v>316</v>
      </c>
      <c r="BQ74" s="49" t="s">
        <v>352</v>
      </c>
      <c r="BR74" s="3">
        <v>5.4710000000000001</v>
      </c>
      <c r="BS74" s="3">
        <v>4.7930000000000001</v>
      </c>
      <c r="BT74" s="3">
        <v>5.3259999999999996</v>
      </c>
      <c r="BU74" s="3">
        <v>4.0380000000000003</v>
      </c>
      <c r="BV74" s="3">
        <v>4.3109999999999999</v>
      </c>
      <c r="BW74" s="3">
        <v>7.8849999999999998</v>
      </c>
      <c r="BX74" s="3">
        <v>2.7360000000000002</v>
      </c>
      <c r="BY74" s="3">
        <v>6.6689999999999996</v>
      </c>
      <c r="BZ74" s="3">
        <v>5.7539999999999996</v>
      </c>
      <c r="CA74" s="3">
        <v>1.83</v>
      </c>
      <c r="CB74" s="3">
        <v>2.6760000000000002</v>
      </c>
      <c r="CC74" s="3">
        <v>3.4940000000000002</v>
      </c>
      <c r="CD74" s="3">
        <v>2.5409999999999999</v>
      </c>
    </row>
    <row r="75" spans="1:82" x14ac:dyDescent="0.3">
      <c r="A75" s="48" t="s">
        <v>317</v>
      </c>
      <c r="B75" s="49" t="s">
        <v>329</v>
      </c>
      <c r="C75" s="3">
        <v>37.14036067</v>
      </c>
      <c r="D75" s="3">
        <v>27.899275670000002</v>
      </c>
      <c r="E75" s="3">
        <v>27.899275670000002</v>
      </c>
      <c r="F75" s="3">
        <v>26.526314469999999</v>
      </c>
      <c r="G75" s="3">
        <v>27.309606429999999</v>
      </c>
      <c r="H75" s="3">
        <v>27.899275670000002</v>
      </c>
      <c r="I75" s="48" t="s">
        <v>317</v>
      </c>
      <c r="J75" s="49" t="s">
        <v>329</v>
      </c>
      <c r="K75" s="3">
        <v>21203</v>
      </c>
      <c r="L75" s="48" t="s">
        <v>317</v>
      </c>
      <c r="M75" s="49" t="s">
        <v>329</v>
      </c>
      <c r="N75" s="3">
        <v>576.95615269999996</v>
      </c>
      <c r="O75" s="3">
        <v>913.11072530000001</v>
      </c>
      <c r="P75" s="3">
        <v>620.55319210000005</v>
      </c>
      <c r="Q75" s="3">
        <v>532.16220190000001</v>
      </c>
      <c r="R75" s="3">
        <v>1002.136831</v>
      </c>
      <c r="S75" s="3">
        <v>1044.971327</v>
      </c>
      <c r="T75" s="3">
        <v>917.88471870000001</v>
      </c>
      <c r="U75" s="3">
        <v>1092.859723</v>
      </c>
      <c r="V75" s="3">
        <v>607.72945770000001</v>
      </c>
      <c r="W75" s="3">
        <v>353.83635770000001</v>
      </c>
      <c r="X75" s="3">
        <v>317.9267279</v>
      </c>
      <c r="Y75" s="3">
        <v>114.76787299999999</v>
      </c>
      <c r="Z75" s="3">
        <v>207.82609619999999</v>
      </c>
      <c r="AA75" s="48" t="s">
        <v>317</v>
      </c>
      <c r="AB75" s="49" t="s">
        <v>329</v>
      </c>
      <c r="AC75" s="3">
        <v>0</v>
      </c>
      <c r="AD75" s="3">
        <v>0.39900000000000002</v>
      </c>
      <c r="AE75" s="3">
        <v>0</v>
      </c>
      <c r="AF75" s="3">
        <v>0.33800000000000002</v>
      </c>
      <c r="AG75" s="3">
        <v>0</v>
      </c>
      <c r="AH75" s="3">
        <v>0.41899999999999998</v>
      </c>
      <c r="AI75" s="3">
        <v>0</v>
      </c>
      <c r="AJ75" s="3">
        <v>0.39500000000000002</v>
      </c>
      <c r="AK75" s="3">
        <v>0</v>
      </c>
      <c r="AL75" s="3">
        <v>0.438</v>
      </c>
      <c r="AM75" s="3">
        <v>0</v>
      </c>
      <c r="AN75" s="3">
        <v>0.60199999999999998</v>
      </c>
      <c r="AO75" s="3">
        <v>0</v>
      </c>
      <c r="AP75" s="3">
        <v>0.60199999999999998</v>
      </c>
      <c r="AQ75" s="3">
        <v>0</v>
      </c>
      <c r="AR75" s="3">
        <v>0.38</v>
      </c>
      <c r="AS75" s="3">
        <v>0</v>
      </c>
      <c r="AT75" s="3">
        <v>0.436</v>
      </c>
      <c r="AU75" s="3">
        <v>0</v>
      </c>
      <c r="AV75" s="3">
        <v>0.52200000000000002</v>
      </c>
      <c r="AW75" s="3">
        <v>0</v>
      </c>
      <c r="AX75" s="3">
        <v>0.36599999999999999</v>
      </c>
      <c r="AY75" s="3">
        <v>0</v>
      </c>
      <c r="AZ75" s="3">
        <v>0.45400000000000001</v>
      </c>
      <c r="BA75" s="3">
        <v>0</v>
      </c>
      <c r="BB75" s="3">
        <v>0.38</v>
      </c>
      <c r="BC75" s="3">
        <v>0.79900000000000004</v>
      </c>
      <c r="BD75" s="3">
        <v>0.8175</v>
      </c>
      <c r="BE75" s="3">
        <v>0.63800000000000001</v>
      </c>
      <c r="BF75" s="3">
        <v>0.76866666699999997</v>
      </c>
      <c r="BG75" s="3">
        <v>0.81399999999999995</v>
      </c>
      <c r="BH75" s="3">
        <v>0.81799999999999995</v>
      </c>
      <c r="BI75" s="3">
        <v>0.52349999999999997</v>
      </c>
      <c r="BJ75" s="3">
        <v>0.82899999999999996</v>
      </c>
      <c r="BK75" s="3">
        <v>0.85799999999999998</v>
      </c>
      <c r="BL75" s="3">
        <v>0.92</v>
      </c>
      <c r="BM75" s="3">
        <v>0.01</v>
      </c>
      <c r="BN75" s="3">
        <v>0.78933333299999997</v>
      </c>
      <c r="BO75" s="3">
        <v>0.70099999999999996</v>
      </c>
      <c r="BP75" s="48" t="s">
        <v>317</v>
      </c>
      <c r="BQ75" s="49" t="s">
        <v>329</v>
      </c>
      <c r="BR75" s="3">
        <v>12.292999999999999</v>
      </c>
      <c r="BS75" s="3">
        <v>12.1</v>
      </c>
      <c r="BT75" s="3">
        <v>12.44</v>
      </c>
      <c r="BU75" s="3">
        <v>12.318</v>
      </c>
      <c r="BV75" s="3">
        <v>12.401999999999999</v>
      </c>
      <c r="BW75" s="3">
        <v>15.776</v>
      </c>
      <c r="BX75" s="3">
        <v>12.144</v>
      </c>
      <c r="BY75" s="3">
        <v>14.347</v>
      </c>
      <c r="BZ75" s="3">
        <v>13.89</v>
      </c>
      <c r="CA75" s="3">
        <v>12.143000000000001</v>
      </c>
      <c r="CB75" s="3">
        <v>10.568</v>
      </c>
      <c r="CC75" s="3">
        <v>11.708</v>
      </c>
      <c r="CD75" s="3">
        <v>10.523</v>
      </c>
    </row>
    <row r="76" spans="1:82" x14ac:dyDescent="0.3">
      <c r="A76" s="48" t="s">
        <v>317</v>
      </c>
      <c r="B76" s="49" t="s">
        <v>330</v>
      </c>
      <c r="C76" s="3">
        <v>36.735513130000001</v>
      </c>
      <c r="D76" s="3">
        <v>27.080779570000001</v>
      </c>
      <c r="E76" s="3">
        <v>27.080779570000001</v>
      </c>
      <c r="F76" s="3">
        <v>26.218278300000001</v>
      </c>
      <c r="G76" s="3">
        <v>27.080779570000001</v>
      </c>
      <c r="H76" s="3">
        <v>27.080779570000001</v>
      </c>
      <c r="I76" s="48" t="s">
        <v>317</v>
      </c>
      <c r="J76" s="49" t="s">
        <v>330</v>
      </c>
      <c r="K76" s="3">
        <v>20984</v>
      </c>
      <c r="L76" s="48" t="s">
        <v>317</v>
      </c>
      <c r="M76" s="49" t="s">
        <v>330</v>
      </c>
      <c r="N76" s="3">
        <v>393.67770259999998</v>
      </c>
      <c r="O76" s="3">
        <v>674.68783020000001</v>
      </c>
      <c r="P76" s="3">
        <v>543.90638579999995</v>
      </c>
      <c r="Q76" s="3">
        <v>471.82226059999999</v>
      </c>
      <c r="R76" s="3">
        <v>657.35838349999995</v>
      </c>
      <c r="S76" s="3">
        <v>782.9048583</v>
      </c>
      <c r="T76" s="3">
        <v>579.82234200000005</v>
      </c>
      <c r="U76" s="3">
        <v>726.88004590000003</v>
      </c>
      <c r="V76" s="3">
        <v>424.18480119999998</v>
      </c>
      <c r="W76" s="3">
        <v>295.17784039999998</v>
      </c>
      <c r="X76" s="3">
        <v>149.55802679999999</v>
      </c>
      <c r="Y76" s="3">
        <v>106.977327</v>
      </c>
      <c r="Z76" s="3">
        <v>126.1035002</v>
      </c>
      <c r="AA76" s="48" t="s">
        <v>317</v>
      </c>
      <c r="AB76" s="49" t="s">
        <v>330</v>
      </c>
      <c r="AC76" s="3">
        <v>0</v>
      </c>
      <c r="AD76" s="3">
        <v>0.41</v>
      </c>
      <c r="AE76" s="3">
        <v>0</v>
      </c>
      <c r="AF76" s="3">
        <v>0.307</v>
      </c>
      <c r="AG76" s="3">
        <v>0</v>
      </c>
      <c r="AH76" s="3">
        <v>0.374</v>
      </c>
      <c r="AI76" s="3">
        <v>0</v>
      </c>
      <c r="AJ76" s="3">
        <v>0.378</v>
      </c>
      <c r="AK76" s="3">
        <v>0</v>
      </c>
      <c r="AL76" s="3">
        <v>0.432</v>
      </c>
      <c r="AM76" s="3">
        <v>0</v>
      </c>
      <c r="AN76" s="3">
        <v>0.60899999999999999</v>
      </c>
      <c r="AO76" s="3">
        <v>0</v>
      </c>
      <c r="AP76" s="3">
        <v>0.60899999999999999</v>
      </c>
      <c r="AQ76" s="3">
        <v>0</v>
      </c>
      <c r="AR76" s="3">
        <v>0.37</v>
      </c>
      <c r="AS76" s="3">
        <v>0</v>
      </c>
      <c r="AT76" s="3">
        <v>0.42</v>
      </c>
      <c r="AU76" s="3">
        <v>0</v>
      </c>
      <c r="AV76" s="3">
        <v>0.52700000000000002</v>
      </c>
      <c r="AW76" s="3">
        <v>0</v>
      </c>
      <c r="AX76" s="3">
        <v>0.38600000000000001</v>
      </c>
      <c r="AY76" s="3">
        <v>0</v>
      </c>
      <c r="AZ76" s="3">
        <v>0.42899999999999999</v>
      </c>
      <c r="BA76" s="3">
        <v>0</v>
      </c>
      <c r="BB76" s="3">
        <v>0.36699999999999999</v>
      </c>
      <c r="BC76" s="3">
        <v>0.80200000000000005</v>
      </c>
      <c r="BD76" s="3">
        <v>0.8125</v>
      </c>
      <c r="BE76" s="3">
        <v>0.65600000000000003</v>
      </c>
      <c r="BF76" s="3">
        <v>0.78166666699999998</v>
      </c>
      <c r="BG76" s="3">
        <v>0.81933333399999997</v>
      </c>
      <c r="BH76" s="3">
        <v>0.81499999999999995</v>
      </c>
      <c r="BI76" s="3">
        <v>0.55449999999999999</v>
      </c>
      <c r="BJ76" s="3">
        <v>0.83666666700000003</v>
      </c>
      <c r="BK76" s="3">
        <v>0.86099999999999999</v>
      </c>
      <c r="BL76" s="3">
        <v>0.91033333299999997</v>
      </c>
      <c r="BM76" s="3">
        <v>0.01</v>
      </c>
      <c r="BN76" s="3">
        <v>0.79700000000000004</v>
      </c>
      <c r="BO76" s="3">
        <v>0.755</v>
      </c>
      <c r="BP76" s="48" t="s">
        <v>317</v>
      </c>
      <c r="BQ76" s="49" t="s">
        <v>330</v>
      </c>
      <c r="BR76" s="3">
        <v>12.343999999999999</v>
      </c>
      <c r="BS76" s="3">
        <v>11.849</v>
      </c>
      <c r="BT76" s="3">
        <v>12.121</v>
      </c>
      <c r="BU76" s="3">
        <v>12.026</v>
      </c>
      <c r="BV76" s="3">
        <v>12.034000000000001</v>
      </c>
      <c r="BW76" s="3">
        <v>15.741</v>
      </c>
      <c r="BX76" s="3">
        <v>11.627000000000001</v>
      </c>
      <c r="BY76" s="3">
        <v>14.016</v>
      </c>
      <c r="BZ76" s="3">
        <v>13.593999999999999</v>
      </c>
      <c r="CA76" s="3">
        <v>12.422000000000001</v>
      </c>
      <c r="CB76" s="3">
        <v>9.9179999999999993</v>
      </c>
      <c r="CC76" s="3">
        <v>12.051</v>
      </c>
      <c r="CD76" s="3">
        <v>10.351000000000001</v>
      </c>
    </row>
    <row r="77" spans="1:82" x14ac:dyDescent="0.3">
      <c r="A77" s="48" t="s">
        <v>317</v>
      </c>
      <c r="B77" s="49" t="s">
        <v>331</v>
      </c>
      <c r="C77" s="3">
        <v>37.342784430000002</v>
      </c>
      <c r="D77" s="3">
        <v>26.887156829999999</v>
      </c>
      <c r="E77" s="3">
        <v>26.887156829999999</v>
      </c>
      <c r="F77" s="3">
        <v>26.033456600000001</v>
      </c>
      <c r="G77" s="3">
        <v>26.887156829999999</v>
      </c>
      <c r="H77" s="3">
        <v>26.887156829999999</v>
      </c>
      <c r="I77" s="48" t="s">
        <v>317</v>
      </c>
      <c r="J77" s="49" t="s">
        <v>331</v>
      </c>
      <c r="K77" s="3">
        <v>20662</v>
      </c>
      <c r="L77" s="48" t="s">
        <v>317</v>
      </c>
      <c r="M77" s="49" t="s">
        <v>331</v>
      </c>
      <c r="N77" s="3">
        <v>369.33151140000001</v>
      </c>
      <c r="O77" s="3">
        <v>624.85917480000001</v>
      </c>
      <c r="P77" s="3">
        <v>529.59065280000004</v>
      </c>
      <c r="Q77" s="3">
        <v>487.12264340000002</v>
      </c>
      <c r="R77" s="3">
        <v>570.81448890000001</v>
      </c>
      <c r="S77" s="3">
        <v>672.56475950000004</v>
      </c>
      <c r="T77" s="3">
        <v>399.61123850000001</v>
      </c>
      <c r="U77" s="3">
        <v>609.45340539999995</v>
      </c>
      <c r="V77" s="3">
        <v>372.4308825</v>
      </c>
      <c r="W77" s="3">
        <v>277.03478510000002</v>
      </c>
      <c r="X77" s="3">
        <v>26.860132870000001</v>
      </c>
      <c r="Y77" s="3">
        <v>103.1444422</v>
      </c>
      <c r="Z77" s="3">
        <v>14.445500989999999</v>
      </c>
      <c r="AA77" s="48" t="s">
        <v>317</v>
      </c>
      <c r="AB77" s="49" t="s">
        <v>331</v>
      </c>
      <c r="AC77" s="3">
        <v>0</v>
      </c>
      <c r="AD77" s="3">
        <v>0.40600000000000003</v>
      </c>
      <c r="AE77" s="3">
        <v>0</v>
      </c>
      <c r="AF77" s="3">
        <v>0.311</v>
      </c>
      <c r="AG77" s="3">
        <v>0</v>
      </c>
      <c r="AH77" s="3">
        <v>0.36299999999999999</v>
      </c>
      <c r="AI77" s="3">
        <v>0</v>
      </c>
      <c r="AJ77" s="3">
        <v>0.39</v>
      </c>
      <c r="AK77" s="3">
        <v>0</v>
      </c>
      <c r="AL77" s="3">
        <v>0.44900000000000001</v>
      </c>
      <c r="AM77" s="3">
        <v>0</v>
      </c>
      <c r="AN77" s="3">
        <v>0.60699999999999998</v>
      </c>
      <c r="AO77" s="3">
        <v>0</v>
      </c>
      <c r="AP77" s="3">
        <v>0.60699999999999998</v>
      </c>
      <c r="AQ77" s="3">
        <v>0</v>
      </c>
      <c r="AR77" s="3">
        <v>0.35699999999999998</v>
      </c>
      <c r="AS77" s="3">
        <v>0</v>
      </c>
      <c r="AT77" s="3">
        <v>0.42499999999999999</v>
      </c>
      <c r="AU77" s="3">
        <v>0</v>
      </c>
      <c r="AV77" s="3">
        <v>0.51400000000000001</v>
      </c>
      <c r="AW77" s="3">
        <v>0</v>
      </c>
      <c r="AX77" s="3">
        <v>0.40300000000000002</v>
      </c>
      <c r="AY77" s="3">
        <v>0</v>
      </c>
      <c r="AZ77" s="3">
        <v>0.40100000000000002</v>
      </c>
      <c r="BA77" s="3">
        <v>0</v>
      </c>
      <c r="BB77" s="3">
        <v>0.35199999999999998</v>
      </c>
      <c r="BC77" s="3">
        <v>0.84599999999999997</v>
      </c>
      <c r="BD77" s="3">
        <v>0.82</v>
      </c>
      <c r="BE77" s="3">
        <v>0.65700000000000003</v>
      </c>
      <c r="BF77" s="3">
        <v>0.78200000000000003</v>
      </c>
      <c r="BG77" s="3">
        <v>0.84533333399999999</v>
      </c>
      <c r="BH77" s="3">
        <v>0.81</v>
      </c>
      <c r="BI77" s="3">
        <v>0.58099999999999996</v>
      </c>
      <c r="BJ77" s="3">
        <v>0.84466666700000004</v>
      </c>
      <c r="BK77" s="3">
        <v>0.875</v>
      </c>
      <c r="BL77" s="3">
        <v>0.89066666699999997</v>
      </c>
      <c r="BM77" s="3">
        <v>0.01</v>
      </c>
      <c r="BN77" s="3">
        <v>0.820333333</v>
      </c>
      <c r="BO77" s="3">
        <v>0.81599999999999995</v>
      </c>
      <c r="BP77" s="48" t="s">
        <v>317</v>
      </c>
      <c r="BQ77" s="49" t="s">
        <v>331</v>
      </c>
      <c r="BR77" s="3">
        <v>12.259</v>
      </c>
      <c r="BS77" s="3">
        <v>11.612</v>
      </c>
      <c r="BT77" s="3">
        <v>11.853</v>
      </c>
      <c r="BU77" s="3">
        <v>11.66</v>
      </c>
      <c r="BV77" s="3">
        <v>11.375</v>
      </c>
      <c r="BW77" s="3">
        <v>15.72</v>
      </c>
      <c r="BX77" s="3">
        <v>11.157</v>
      </c>
      <c r="BY77" s="3">
        <v>13.605</v>
      </c>
      <c r="BZ77" s="3">
        <v>13.114000000000001</v>
      </c>
      <c r="CA77" s="3">
        <v>12.973000000000001</v>
      </c>
      <c r="CB77" s="3">
        <v>9.4830000000000005</v>
      </c>
      <c r="CC77" s="3">
        <v>11.997999999999999</v>
      </c>
      <c r="CD77" s="3">
        <v>10.215</v>
      </c>
    </row>
    <row r="78" spans="1:82" x14ac:dyDescent="0.3">
      <c r="A78" s="48" t="s">
        <v>317</v>
      </c>
      <c r="B78" s="49" t="s">
        <v>332</v>
      </c>
      <c r="C78" s="3">
        <v>37.598014399999997</v>
      </c>
      <c r="D78" s="3">
        <v>27.336009529999998</v>
      </c>
      <c r="E78" s="3">
        <v>27.336009529999998</v>
      </c>
      <c r="F78" s="3">
        <v>26.464707229999998</v>
      </c>
      <c r="G78" s="3">
        <v>27.336009529999998</v>
      </c>
      <c r="H78" s="3">
        <v>27.336009529999998</v>
      </c>
      <c r="I78" s="48" t="s">
        <v>317</v>
      </c>
      <c r="J78" s="49" t="s">
        <v>332</v>
      </c>
      <c r="K78" s="3">
        <v>20259</v>
      </c>
      <c r="L78" s="48" t="s">
        <v>317</v>
      </c>
      <c r="M78" s="49" t="s">
        <v>332</v>
      </c>
      <c r="N78" s="3">
        <v>359.70413989999997</v>
      </c>
      <c r="O78" s="3">
        <v>598.35342649999996</v>
      </c>
      <c r="P78" s="3">
        <v>476.71687680000002</v>
      </c>
      <c r="Q78" s="3">
        <v>424.72097159999998</v>
      </c>
      <c r="R78" s="3">
        <v>536.29789840000001</v>
      </c>
      <c r="S78" s="3">
        <v>596.52993670000001</v>
      </c>
      <c r="T78" s="3">
        <v>265.14555460000003</v>
      </c>
      <c r="U78" s="3">
        <v>532.65442169999994</v>
      </c>
      <c r="V78" s="3">
        <v>365.36051909999998</v>
      </c>
      <c r="W78" s="3">
        <v>253.4182978</v>
      </c>
      <c r="X78" s="3">
        <v>13.46434504</v>
      </c>
      <c r="Y78" s="3">
        <v>93.815591089999998</v>
      </c>
      <c r="Z78" s="3">
        <v>33.616096749999997</v>
      </c>
      <c r="AA78" s="48" t="s">
        <v>317</v>
      </c>
      <c r="AB78" s="49" t="s">
        <v>332</v>
      </c>
      <c r="AC78" s="3">
        <v>0</v>
      </c>
      <c r="AD78" s="3">
        <v>0.41899999999999998</v>
      </c>
      <c r="AE78" s="3">
        <v>0</v>
      </c>
      <c r="AF78" s="3">
        <v>0.35499999999999998</v>
      </c>
      <c r="AG78" s="3">
        <v>0</v>
      </c>
      <c r="AH78" s="3">
        <v>0.39</v>
      </c>
      <c r="AI78" s="3">
        <v>0</v>
      </c>
      <c r="AJ78" s="3">
        <v>0.42299999999999999</v>
      </c>
      <c r="AK78" s="3">
        <v>0</v>
      </c>
      <c r="AL78" s="3">
        <v>0.47899999999999998</v>
      </c>
      <c r="AM78" s="3">
        <v>0</v>
      </c>
      <c r="AN78" s="3">
        <v>0.59299999999999997</v>
      </c>
      <c r="AO78" s="3">
        <v>0</v>
      </c>
      <c r="AP78" s="3">
        <v>0.59299999999999997</v>
      </c>
      <c r="AQ78" s="3">
        <v>0</v>
      </c>
      <c r="AR78" s="3">
        <v>0.35699999999999998</v>
      </c>
      <c r="AS78" s="3">
        <v>0</v>
      </c>
      <c r="AT78" s="3">
        <v>0.45</v>
      </c>
      <c r="AU78" s="3">
        <v>0</v>
      </c>
      <c r="AV78" s="3">
        <v>0.495</v>
      </c>
      <c r="AW78" s="3">
        <v>0</v>
      </c>
      <c r="AX78" s="3">
        <v>0.39800000000000002</v>
      </c>
      <c r="AY78" s="3">
        <v>0</v>
      </c>
      <c r="AZ78" s="3">
        <v>0.39500000000000002</v>
      </c>
      <c r="BA78" s="3">
        <v>0</v>
      </c>
      <c r="BB78" s="3">
        <v>0.34599999999999997</v>
      </c>
      <c r="BC78" s="3">
        <v>0.85299999999999998</v>
      </c>
      <c r="BD78" s="3">
        <v>0.79100000000000004</v>
      </c>
      <c r="BE78" s="3">
        <v>0.66800000000000004</v>
      </c>
      <c r="BF78" s="3">
        <v>0.79533333299999998</v>
      </c>
      <c r="BG78" s="3">
        <v>0.84866666700000004</v>
      </c>
      <c r="BH78" s="3">
        <v>0.82899999999999996</v>
      </c>
      <c r="BI78" s="3">
        <v>0.59</v>
      </c>
      <c r="BJ78" s="3">
        <v>0.84433333300000002</v>
      </c>
      <c r="BK78" s="3">
        <v>0.88849999999999996</v>
      </c>
      <c r="BL78" s="3">
        <v>0.86566666699999995</v>
      </c>
      <c r="BM78" s="3">
        <v>0.01</v>
      </c>
      <c r="BN78" s="3">
        <v>0.823333333</v>
      </c>
      <c r="BO78" s="3">
        <v>0.85399999999999998</v>
      </c>
      <c r="BP78" s="48" t="s">
        <v>317</v>
      </c>
      <c r="BQ78" s="49" t="s">
        <v>332</v>
      </c>
      <c r="BR78" s="3">
        <v>12.098000000000001</v>
      </c>
      <c r="BS78" s="3">
        <v>11.169</v>
      </c>
      <c r="BT78" s="3">
        <v>11.555999999999999</v>
      </c>
      <c r="BU78" s="3">
        <v>11.143000000000001</v>
      </c>
      <c r="BV78" s="3">
        <v>10.664</v>
      </c>
      <c r="BW78" s="3">
        <v>15.689</v>
      </c>
      <c r="BX78" s="3">
        <v>10.787000000000001</v>
      </c>
      <c r="BY78" s="3">
        <v>13.211</v>
      </c>
      <c r="BZ78" s="3">
        <v>12.505000000000001</v>
      </c>
      <c r="CA78" s="3">
        <v>12.590999999999999</v>
      </c>
      <c r="CB78" s="3">
        <v>9.2200000000000006</v>
      </c>
      <c r="CC78" s="3">
        <v>11.728999999999999</v>
      </c>
      <c r="CD78" s="3">
        <v>9.93</v>
      </c>
    </row>
    <row r="79" spans="1:82" x14ac:dyDescent="0.3">
      <c r="A79" s="48" t="s">
        <v>317</v>
      </c>
      <c r="B79" s="49" t="s">
        <v>333</v>
      </c>
      <c r="C79" s="3">
        <v>37.166763770000003</v>
      </c>
      <c r="D79" s="3">
        <v>28.00488807</v>
      </c>
      <c r="E79" s="3">
        <v>28.00488807</v>
      </c>
      <c r="F79" s="3">
        <v>26.455906200000001</v>
      </c>
      <c r="G79" s="3">
        <v>28.00488807</v>
      </c>
      <c r="H79" s="3">
        <v>28.00488807</v>
      </c>
      <c r="I79" s="48" t="s">
        <v>317</v>
      </c>
      <c r="J79" s="49" t="s">
        <v>333</v>
      </c>
      <c r="K79" s="3">
        <v>20318</v>
      </c>
      <c r="L79" s="48" t="s">
        <v>317</v>
      </c>
      <c r="M79" s="49" t="s">
        <v>333</v>
      </c>
      <c r="N79" s="3">
        <v>286.06991799999997</v>
      </c>
      <c r="O79" s="3">
        <v>592.38651700000003</v>
      </c>
      <c r="P79" s="3">
        <v>520.90241909999997</v>
      </c>
      <c r="Q79" s="3">
        <v>419.32972180000002</v>
      </c>
      <c r="R79" s="3">
        <v>408.97615289999999</v>
      </c>
      <c r="S79" s="3">
        <v>488.31211969999998</v>
      </c>
      <c r="T79" s="3">
        <v>123.6770661</v>
      </c>
      <c r="U79" s="3">
        <v>410.17434589999999</v>
      </c>
      <c r="V79" s="3">
        <v>340.82748579999998</v>
      </c>
      <c r="W79" s="3">
        <v>212.4751431</v>
      </c>
      <c r="X79" s="3">
        <v>121.55537409999999</v>
      </c>
      <c r="Y79" s="3">
        <v>44.263620840000002</v>
      </c>
      <c r="Z79" s="3">
        <v>130.64412780000001</v>
      </c>
      <c r="AA79" s="48" t="s">
        <v>317</v>
      </c>
      <c r="AB79" s="49" t="s">
        <v>333</v>
      </c>
      <c r="AC79" s="3">
        <v>0</v>
      </c>
      <c r="AD79" s="3">
        <v>0.44900000000000001</v>
      </c>
      <c r="AE79" s="3">
        <v>0</v>
      </c>
      <c r="AF79" s="3">
        <v>0.41399999999999998</v>
      </c>
      <c r="AG79" s="3">
        <v>0</v>
      </c>
      <c r="AH79" s="3">
        <v>0.435</v>
      </c>
      <c r="AI79" s="3">
        <v>0</v>
      </c>
      <c r="AJ79" s="3">
        <v>0.45</v>
      </c>
      <c r="AK79" s="3">
        <v>0</v>
      </c>
      <c r="AL79" s="3">
        <v>0.50700000000000001</v>
      </c>
      <c r="AM79" s="3">
        <v>0</v>
      </c>
      <c r="AN79" s="3">
        <v>0.58299999999999996</v>
      </c>
      <c r="AO79" s="3">
        <v>0</v>
      </c>
      <c r="AP79" s="3">
        <v>0.58299999999999996</v>
      </c>
      <c r="AQ79" s="3">
        <v>0</v>
      </c>
      <c r="AR79" s="3">
        <v>0.372</v>
      </c>
      <c r="AS79" s="3">
        <v>0</v>
      </c>
      <c r="AT79" s="3">
        <v>0.46600000000000003</v>
      </c>
      <c r="AU79" s="3">
        <v>0</v>
      </c>
      <c r="AV79" s="3">
        <v>0.48299999999999998</v>
      </c>
      <c r="AW79" s="3">
        <v>0</v>
      </c>
      <c r="AX79" s="3">
        <v>0.39</v>
      </c>
      <c r="AY79" s="3">
        <v>0</v>
      </c>
      <c r="AZ79" s="3">
        <v>0.40300000000000002</v>
      </c>
      <c r="BA79" s="3">
        <v>0</v>
      </c>
      <c r="BB79" s="3">
        <v>0.33300000000000002</v>
      </c>
      <c r="BC79" s="3">
        <v>0.83399999999999996</v>
      </c>
      <c r="BD79" s="3">
        <v>0.75849999999999995</v>
      </c>
      <c r="BE79" s="3">
        <v>0.68799999999999994</v>
      </c>
      <c r="BF79" s="3">
        <v>0.81699999999999995</v>
      </c>
      <c r="BG79" s="3">
        <v>0.84016666699999998</v>
      </c>
      <c r="BH79" s="3">
        <v>0.84399999999999997</v>
      </c>
      <c r="BI79" s="3">
        <v>0.59799999999999998</v>
      </c>
      <c r="BJ79" s="3">
        <v>0.84633333300000002</v>
      </c>
      <c r="BK79" s="3">
        <v>0.90400000000000003</v>
      </c>
      <c r="BL79" s="3">
        <v>0.85799999999999998</v>
      </c>
      <c r="BM79" s="3">
        <v>0.01</v>
      </c>
      <c r="BN79" s="3">
        <v>0.80700000000000005</v>
      </c>
      <c r="BO79" s="3">
        <v>0.86599999999999999</v>
      </c>
      <c r="BP79" s="48" t="s">
        <v>317</v>
      </c>
      <c r="BQ79" s="49" t="s">
        <v>333</v>
      </c>
      <c r="BR79" s="3">
        <v>11.887</v>
      </c>
      <c r="BS79" s="3">
        <v>10.683999999999999</v>
      </c>
      <c r="BT79" s="3">
        <v>11.125</v>
      </c>
      <c r="BU79" s="3">
        <v>10.647</v>
      </c>
      <c r="BV79" s="3">
        <v>10.141</v>
      </c>
      <c r="BW79" s="3">
        <v>15.694000000000001</v>
      </c>
      <c r="BX79" s="3">
        <v>10.503</v>
      </c>
      <c r="BY79" s="3">
        <v>12.82</v>
      </c>
      <c r="BZ79" s="3">
        <v>12.257</v>
      </c>
      <c r="CA79" s="3">
        <v>12.356</v>
      </c>
      <c r="CB79" s="3">
        <v>8.9529999999999994</v>
      </c>
      <c r="CC79" s="3">
        <v>11.853999999999999</v>
      </c>
      <c r="CD79" s="3">
        <v>9.7100000000000009</v>
      </c>
    </row>
    <row r="80" spans="1:82" x14ac:dyDescent="0.3">
      <c r="A80" s="48" t="s">
        <v>317</v>
      </c>
      <c r="B80" s="49" t="s">
        <v>334</v>
      </c>
      <c r="C80" s="3">
        <v>32.783849170000003</v>
      </c>
      <c r="D80" s="3">
        <v>28.242515969999999</v>
      </c>
      <c r="E80" s="3">
        <v>28.242515969999999</v>
      </c>
      <c r="F80" s="3">
        <v>26.47350827</v>
      </c>
      <c r="G80" s="3">
        <v>28.242515969999999</v>
      </c>
      <c r="H80" s="3">
        <v>28.242515969999999</v>
      </c>
      <c r="I80" s="48" t="s">
        <v>317</v>
      </c>
      <c r="J80" s="49" t="s">
        <v>334</v>
      </c>
      <c r="K80" s="3">
        <v>21147.5</v>
      </c>
      <c r="L80" s="48" t="s">
        <v>317</v>
      </c>
      <c r="M80" s="49" t="s">
        <v>334</v>
      </c>
      <c r="N80" s="3">
        <v>403.32624129999999</v>
      </c>
      <c r="O80" s="3">
        <v>716.36162999999999</v>
      </c>
      <c r="P80" s="3">
        <v>688.24384180000004</v>
      </c>
      <c r="Q80" s="3">
        <v>665.43514089999996</v>
      </c>
      <c r="R80" s="3">
        <v>528.97384079999995</v>
      </c>
      <c r="S80" s="3">
        <v>577.92483860000004</v>
      </c>
      <c r="T80" s="3">
        <v>58.474034830000001</v>
      </c>
      <c r="U80" s="3">
        <v>466.33222549999999</v>
      </c>
      <c r="V80" s="3">
        <v>407.29466170000001</v>
      </c>
      <c r="W80" s="3">
        <v>415.59322159999999</v>
      </c>
      <c r="X80" s="3">
        <v>20.44282385</v>
      </c>
      <c r="Y80" s="3">
        <v>57.279460790000002</v>
      </c>
      <c r="Z80" s="3">
        <v>44.903277750000001</v>
      </c>
      <c r="AA80" s="48" t="s">
        <v>317</v>
      </c>
      <c r="AB80" s="49" t="s">
        <v>334</v>
      </c>
      <c r="AC80" s="3">
        <v>0</v>
      </c>
      <c r="AD80" s="3">
        <v>0.47299999999999998</v>
      </c>
      <c r="AE80" s="3">
        <v>0</v>
      </c>
      <c r="AF80" s="3">
        <v>0.45600000000000002</v>
      </c>
      <c r="AG80" s="3">
        <v>0</v>
      </c>
      <c r="AH80" s="3">
        <v>0.47799999999999998</v>
      </c>
      <c r="AI80" s="3">
        <v>0</v>
      </c>
      <c r="AJ80" s="3">
        <v>0.47299999999999998</v>
      </c>
      <c r="AK80" s="3">
        <v>0</v>
      </c>
      <c r="AL80" s="3">
        <v>0.52300000000000002</v>
      </c>
      <c r="AM80" s="3">
        <v>0</v>
      </c>
      <c r="AN80" s="3">
        <v>0.56299999999999994</v>
      </c>
      <c r="AO80" s="3">
        <v>0</v>
      </c>
      <c r="AP80" s="3">
        <v>0.56299999999999994</v>
      </c>
      <c r="AQ80" s="3">
        <v>0</v>
      </c>
      <c r="AR80" s="3">
        <v>0.38700000000000001</v>
      </c>
      <c r="AS80" s="3">
        <v>0</v>
      </c>
      <c r="AT80" s="3">
        <v>0.47599999999999998</v>
      </c>
      <c r="AU80" s="3">
        <v>0</v>
      </c>
      <c r="AV80" s="3">
        <v>0.45300000000000001</v>
      </c>
      <c r="AW80" s="3">
        <v>0</v>
      </c>
      <c r="AX80" s="3">
        <v>0.38500000000000001</v>
      </c>
      <c r="AY80" s="3">
        <v>0</v>
      </c>
      <c r="AZ80" s="3">
        <v>0.38500000000000001</v>
      </c>
      <c r="BA80" s="3">
        <v>0</v>
      </c>
      <c r="BB80" s="3">
        <v>0.30299999999999999</v>
      </c>
      <c r="BC80" s="3">
        <v>0.79549999999999998</v>
      </c>
      <c r="BD80" s="3">
        <v>0.72299999999999998</v>
      </c>
      <c r="BE80" s="3">
        <v>0.72550000000000003</v>
      </c>
      <c r="BF80" s="3">
        <v>0.83266666700000003</v>
      </c>
      <c r="BG80" s="3">
        <v>0.83125000000000004</v>
      </c>
      <c r="BH80" s="3">
        <v>0.84699999999999998</v>
      </c>
      <c r="BI80" s="3">
        <v>0.60350000000000004</v>
      </c>
      <c r="BJ80" s="3">
        <v>0.86699999999999999</v>
      </c>
      <c r="BK80" s="3">
        <v>0.91549999999999998</v>
      </c>
      <c r="BL80" s="3">
        <v>0.85</v>
      </c>
      <c r="BM80" s="3">
        <v>0.01</v>
      </c>
      <c r="BN80" s="3">
        <v>0.78200000000000003</v>
      </c>
      <c r="BO80" s="3">
        <v>0.85899999999999999</v>
      </c>
      <c r="BP80" s="48" t="s">
        <v>317</v>
      </c>
      <c r="BQ80" s="49" t="s">
        <v>334</v>
      </c>
      <c r="BR80" s="3">
        <v>11.329000000000001</v>
      </c>
      <c r="BS80" s="3">
        <v>10.448</v>
      </c>
      <c r="BT80" s="3">
        <v>10.731</v>
      </c>
      <c r="BU80" s="3">
        <v>10.337</v>
      </c>
      <c r="BV80" s="3">
        <v>9.8989999999999991</v>
      </c>
      <c r="BW80" s="3">
        <v>15.688000000000001</v>
      </c>
      <c r="BX80" s="3">
        <v>10.318</v>
      </c>
      <c r="BY80" s="3">
        <v>12.461</v>
      </c>
      <c r="BZ80" s="3">
        <v>12.148999999999999</v>
      </c>
      <c r="CA80" s="3">
        <v>12.67</v>
      </c>
      <c r="CB80" s="3">
        <v>8.7840000000000007</v>
      </c>
      <c r="CC80" s="3">
        <v>12.125</v>
      </c>
      <c r="CD80" s="3">
        <v>9.5890000000000004</v>
      </c>
    </row>
    <row r="81" spans="1:82" x14ac:dyDescent="0.3">
      <c r="A81" s="48" t="s">
        <v>317</v>
      </c>
      <c r="B81" s="49" t="s">
        <v>335</v>
      </c>
      <c r="C81" s="3">
        <v>30.662800130000001</v>
      </c>
      <c r="D81" s="3">
        <v>30.71560633</v>
      </c>
      <c r="E81" s="3">
        <v>30.71560633</v>
      </c>
      <c r="F81" s="3">
        <v>26.605523770000001</v>
      </c>
      <c r="G81" s="3">
        <v>30.71560633</v>
      </c>
      <c r="H81" s="3">
        <v>30.71560633</v>
      </c>
      <c r="I81" s="48" t="s">
        <v>317</v>
      </c>
      <c r="J81" s="49" t="s">
        <v>335</v>
      </c>
      <c r="K81" s="3">
        <v>22585</v>
      </c>
      <c r="L81" s="48" t="s">
        <v>317</v>
      </c>
      <c r="M81" s="49" t="s">
        <v>335</v>
      </c>
      <c r="N81" s="3">
        <v>749.29046419999997</v>
      </c>
      <c r="O81" s="3">
        <v>983.00198569999998</v>
      </c>
      <c r="P81" s="3">
        <v>1287.2377690000001</v>
      </c>
      <c r="Q81" s="3">
        <v>1090.8394149999999</v>
      </c>
      <c r="R81" s="3">
        <v>731.71431310000003</v>
      </c>
      <c r="S81" s="3">
        <v>821.77046770000004</v>
      </c>
      <c r="T81" s="3">
        <v>115.6202665</v>
      </c>
      <c r="U81" s="3">
        <v>791.68978240000001</v>
      </c>
      <c r="V81" s="3">
        <v>627.53215379999995</v>
      </c>
      <c r="W81" s="3">
        <v>944.77977229999999</v>
      </c>
      <c r="X81" s="3">
        <v>183.4541778</v>
      </c>
      <c r="Y81" s="3">
        <v>125.4635055</v>
      </c>
      <c r="Z81" s="3">
        <v>276.05459580000002</v>
      </c>
      <c r="AA81" s="48" t="s">
        <v>317</v>
      </c>
      <c r="AB81" s="49" t="s">
        <v>335</v>
      </c>
      <c r="AC81" s="3">
        <v>1.2999999999999999E-2</v>
      </c>
      <c r="AD81" s="3">
        <v>0.46700000000000003</v>
      </c>
      <c r="AE81" s="3">
        <v>2.9000000000000001E-2</v>
      </c>
      <c r="AF81" s="3">
        <v>0.44900000000000001</v>
      </c>
      <c r="AG81" s="3">
        <v>2.3E-2</v>
      </c>
      <c r="AH81" s="3">
        <v>0.48</v>
      </c>
      <c r="AI81" s="3">
        <v>8.0000000000000002E-3</v>
      </c>
      <c r="AJ81" s="3">
        <v>0.45400000000000001</v>
      </c>
      <c r="AK81" s="3">
        <v>8.9999999999999993E-3</v>
      </c>
      <c r="AL81" s="3">
        <v>0.53900000000000003</v>
      </c>
      <c r="AM81" s="3">
        <v>0.01</v>
      </c>
      <c r="AN81" s="3">
        <v>0.54200000000000004</v>
      </c>
      <c r="AO81" s="3">
        <v>2E-3</v>
      </c>
      <c r="AP81" s="3">
        <v>0.54200000000000004</v>
      </c>
      <c r="AQ81" s="3">
        <v>1.0999999999999999E-2</v>
      </c>
      <c r="AR81" s="3">
        <v>0.38400000000000001</v>
      </c>
      <c r="AS81" s="3">
        <v>1.0999999999999999E-2</v>
      </c>
      <c r="AT81" s="3">
        <v>0.46600000000000003</v>
      </c>
      <c r="AU81" s="3">
        <v>1.0999999999999999E-2</v>
      </c>
      <c r="AV81" s="3">
        <v>0.41299999999999998</v>
      </c>
      <c r="AW81" s="3">
        <v>6.0000000000000001E-3</v>
      </c>
      <c r="AX81" s="3">
        <v>0.35899999999999999</v>
      </c>
      <c r="AY81" s="3">
        <v>2.3E-2</v>
      </c>
      <c r="AZ81" s="3">
        <v>0.34499999999999997</v>
      </c>
      <c r="BA81" s="3">
        <v>8.9999999999999993E-3</v>
      </c>
      <c r="BB81" s="3">
        <v>0.27</v>
      </c>
      <c r="BC81" s="3">
        <v>0.76700000000000002</v>
      </c>
      <c r="BD81" s="3">
        <v>0.69899999999999995</v>
      </c>
      <c r="BE81" s="3">
        <v>0.73750000000000004</v>
      </c>
      <c r="BF81" s="3">
        <v>0.83733333300000001</v>
      </c>
      <c r="BG81" s="3">
        <v>0.83183333400000004</v>
      </c>
      <c r="BH81" s="3">
        <v>0.84599999999999997</v>
      </c>
      <c r="BI81" s="3">
        <v>0.60299999999999998</v>
      </c>
      <c r="BJ81" s="3">
        <v>0.89666666699999997</v>
      </c>
      <c r="BK81" s="3">
        <v>0.92149999999999999</v>
      </c>
      <c r="BL81" s="3">
        <v>0.83066666700000003</v>
      </c>
      <c r="BM81" s="3">
        <v>0.01</v>
      </c>
      <c r="BN81" s="3">
        <v>0.75700000000000001</v>
      </c>
      <c r="BO81" s="3">
        <v>0.84299999999999997</v>
      </c>
      <c r="BP81" s="48" t="s">
        <v>317</v>
      </c>
      <c r="BQ81" s="49" t="s">
        <v>335</v>
      </c>
      <c r="BR81" s="3">
        <v>11.721</v>
      </c>
      <c r="BS81" s="3">
        <v>10.983000000000001</v>
      </c>
      <c r="BT81" s="3">
        <v>11.138</v>
      </c>
      <c r="BU81" s="3">
        <v>10.279</v>
      </c>
      <c r="BV81" s="3">
        <v>10.763999999999999</v>
      </c>
      <c r="BW81" s="3">
        <v>15.694000000000001</v>
      </c>
      <c r="BX81" s="3">
        <v>10.337999999999999</v>
      </c>
      <c r="BY81" s="3">
        <v>12.81</v>
      </c>
      <c r="BZ81" s="3">
        <v>12.813000000000001</v>
      </c>
      <c r="CA81" s="3">
        <v>13.33</v>
      </c>
      <c r="CB81" s="3">
        <v>9.1300000000000008</v>
      </c>
      <c r="CC81" s="3">
        <v>12.433</v>
      </c>
      <c r="CD81" s="3">
        <v>9.6460000000000008</v>
      </c>
    </row>
    <row r="82" spans="1:82" x14ac:dyDescent="0.3">
      <c r="A82" s="48" t="s">
        <v>317</v>
      </c>
      <c r="B82" s="49" t="s">
        <v>336</v>
      </c>
      <c r="C82" s="3">
        <v>32.3966037</v>
      </c>
      <c r="D82" s="3">
        <v>31.305275569999999</v>
      </c>
      <c r="E82" s="3">
        <v>31.305275569999999</v>
      </c>
      <c r="F82" s="3">
        <v>26.860753729999999</v>
      </c>
      <c r="G82" s="3">
        <v>31.305275569999999</v>
      </c>
      <c r="H82" s="3">
        <v>31.305275569999999</v>
      </c>
      <c r="I82" s="48" t="s">
        <v>317</v>
      </c>
      <c r="J82" s="49" t="s">
        <v>336</v>
      </c>
      <c r="K82" s="3">
        <v>24871.5</v>
      </c>
      <c r="L82" s="48" t="s">
        <v>317</v>
      </c>
      <c r="M82" s="49" t="s">
        <v>336</v>
      </c>
      <c r="N82" s="3">
        <v>2032.190396</v>
      </c>
      <c r="O82" s="3">
        <v>2300.211237</v>
      </c>
      <c r="P82" s="3">
        <v>1835.48397</v>
      </c>
      <c r="Q82" s="3">
        <v>1499.080524</v>
      </c>
      <c r="R82" s="3">
        <v>2087.2300460000001</v>
      </c>
      <c r="S82" s="3">
        <v>2070.4076180000002</v>
      </c>
      <c r="T82" s="3">
        <v>1347.6595850000001</v>
      </c>
      <c r="U82" s="3">
        <v>2389.0813520000002</v>
      </c>
      <c r="V82" s="3">
        <v>1751.541935</v>
      </c>
      <c r="W82" s="3">
        <v>1397.864433</v>
      </c>
      <c r="X82" s="3">
        <v>1201.520219</v>
      </c>
      <c r="Y82" s="3">
        <v>259.65921479999997</v>
      </c>
      <c r="Z82" s="3">
        <v>463.83145940000003</v>
      </c>
      <c r="AA82" s="48" t="s">
        <v>317</v>
      </c>
      <c r="AB82" s="49" t="s">
        <v>336</v>
      </c>
      <c r="AC82" s="3">
        <v>0.10199999999999999</v>
      </c>
      <c r="AD82" s="3">
        <v>0.34100000000000003</v>
      </c>
      <c r="AE82" s="3">
        <v>0.189</v>
      </c>
      <c r="AF82" s="3">
        <v>0.31900000000000001</v>
      </c>
      <c r="AG82" s="3">
        <v>0.13300000000000001</v>
      </c>
      <c r="AH82" s="3">
        <v>0.38100000000000001</v>
      </c>
      <c r="AI82" s="3">
        <v>7.0999999999999994E-2</v>
      </c>
      <c r="AJ82" s="3">
        <v>0.28899999999999998</v>
      </c>
      <c r="AK82" s="3">
        <v>9.5000000000000001E-2</v>
      </c>
      <c r="AL82" s="3">
        <v>0.55900000000000005</v>
      </c>
      <c r="AM82" s="3">
        <v>0.10100000000000001</v>
      </c>
      <c r="AN82" s="3">
        <v>0.46700000000000003</v>
      </c>
      <c r="AO82" s="3">
        <v>5.0999999999999997E-2</v>
      </c>
      <c r="AP82" s="3">
        <v>0.46700000000000003</v>
      </c>
      <c r="AQ82" s="3">
        <v>7.9000000000000001E-2</v>
      </c>
      <c r="AR82" s="3">
        <v>0.30299999999999999</v>
      </c>
      <c r="AS82" s="3">
        <v>8.2000000000000003E-2</v>
      </c>
      <c r="AT82" s="3">
        <v>0.34799999999999998</v>
      </c>
      <c r="AU82" s="3">
        <v>8.1000000000000003E-2</v>
      </c>
      <c r="AV82" s="3">
        <v>0.30199999999999999</v>
      </c>
      <c r="AW82" s="3">
        <v>6.7000000000000004E-2</v>
      </c>
      <c r="AX82" s="3">
        <v>0.26400000000000001</v>
      </c>
      <c r="AY82" s="3">
        <v>0.182</v>
      </c>
      <c r="AZ82" s="3">
        <v>0.26800000000000002</v>
      </c>
      <c r="BA82" s="3">
        <v>0.123</v>
      </c>
      <c r="BB82" s="3">
        <v>0.23400000000000001</v>
      </c>
      <c r="BC82" s="3">
        <v>0.72850000000000004</v>
      </c>
      <c r="BD82" s="3">
        <v>0.63</v>
      </c>
      <c r="BE82" s="3">
        <v>0.72150000000000003</v>
      </c>
      <c r="BF82" s="3">
        <v>0.83233333300000001</v>
      </c>
      <c r="BG82" s="3">
        <v>0.81141666700000004</v>
      </c>
      <c r="BH82" s="3">
        <v>0.83899999999999997</v>
      </c>
      <c r="BI82" s="3">
        <v>0.56999999999999995</v>
      </c>
      <c r="BJ82" s="3">
        <v>0.89433333299999995</v>
      </c>
      <c r="BK82" s="3">
        <v>0.89</v>
      </c>
      <c r="BL82" s="3">
        <v>0.79466666699999999</v>
      </c>
      <c r="BM82" s="3">
        <v>0.01</v>
      </c>
      <c r="BN82" s="3">
        <v>0.72</v>
      </c>
      <c r="BO82" s="3">
        <v>0.80700000000000005</v>
      </c>
      <c r="BP82" s="48" t="s">
        <v>317</v>
      </c>
      <c r="BQ82" s="49" t="s">
        <v>336</v>
      </c>
      <c r="BR82" s="3">
        <v>13.859</v>
      </c>
      <c r="BS82" s="3">
        <v>12.516</v>
      </c>
      <c r="BT82" s="3">
        <v>12.506</v>
      </c>
      <c r="BU82" s="3">
        <v>11.087999999999999</v>
      </c>
      <c r="BV82" s="3">
        <v>12.911</v>
      </c>
      <c r="BW82" s="3">
        <v>15.705</v>
      </c>
      <c r="BX82" s="3">
        <v>10.978999999999999</v>
      </c>
      <c r="BY82" s="3">
        <v>14.021000000000001</v>
      </c>
      <c r="BZ82" s="3">
        <v>14.518000000000001</v>
      </c>
      <c r="CA82" s="3">
        <v>15.101000000000001</v>
      </c>
      <c r="CB82" s="3">
        <v>10.83</v>
      </c>
      <c r="CC82" s="3">
        <v>13.573</v>
      </c>
      <c r="CD82" s="3">
        <v>10.208</v>
      </c>
    </row>
    <row r="83" spans="1:82" x14ac:dyDescent="0.3">
      <c r="A83" s="48" t="s">
        <v>317</v>
      </c>
      <c r="B83" s="49" t="s">
        <v>337</v>
      </c>
      <c r="C83" s="3">
        <v>32.238185100000003</v>
      </c>
      <c r="D83" s="3">
        <v>31.023642500000001</v>
      </c>
      <c r="E83" s="3">
        <v>31.023642500000001</v>
      </c>
      <c r="F83" s="3">
        <v>26.904758900000001</v>
      </c>
      <c r="G83" s="3">
        <v>31.023642500000001</v>
      </c>
      <c r="H83" s="3">
        <v>31.023642500000001</v>
      </c>
      <c r="I83" s="48" t="s">
        <v>317</v>
      </c>
      <c r="J83" s="49" t="s">
        <v>337</v>
      </c>
      <c r="K83" s="3">
        <v>26491</v>
      </c>
      <c r="L83" s="48" t="s">
        <v>317</v>
      </c>
      <c r="M83" s="49" t="s">
        <v>337</v>
      </c>
      <c r="N83" s="3">
        <v>2557.3173379999998</v>
      </c>
      <c r="O83" s="3">
        <v>3220.8748110000001</v>
      </c>
      <c r="P83" s="3">
        <v>1792.517464</v>
      </c>
      <c r="Q83" s="3">
        <v>1562.4668670000001</v>
      </c>
      <c r="R83" s="3">
        <v>2745.1385089999999</v>
      </c>
      <c r="S83" s="3">
        <v>3094.0911150000002</v>
      </c>
      <c r="T83" s="3">
        <v>2207.7398320000002</v>
      </c>
      <c r="U83" s="3">
        <v>3127.0259489999999</v>
      </c>
      <c r="V83" s="3">
        <v>2313.769018</v>
      </c>
      <c r="W83" s="3">
        <v>1345.815161</v>
      </c>
      <c r="X83" s="3">
        <v>2098.163133</v>
      </c>
      <c r="Y83" s="3">
        <v>262.47599000000002</v>
      </c>
      <c r="Z83" s="3">
        <v>667.08691859999999</v>
      </c>
      <c r="AA83" s="48" t="s">
        <v>317</v>
      </c>
      <c r="AB83" s="49" t="s">
        <v>337</v>
      </c>
      <c r="AC83" s="3">
        <v>0.32900000000000001</v>
      </c>
      <c r="AD83" s="3">
        <v>0.34899999999999998</v>
      </c>
      <c r="AE83" s="3">
        <v>0.38</v>
      </c>
      <c r="AF83" s="3">
        <v>0.27300000000000002</v>
      </c>
      <c r="AG83" s="3">
        <v>0.28100000000000003</v>
      </c>
      <c r="AH83" s="3">
        <v>0.34799999999999998</v>
      </c>
      <c r="AI83" s="3">
        <v>0.14599999999999999</v>
      </c>
      <c r="AJ83" s="3">
        <v>0.26400000000000001</v>
      </c>
      <c r="AK83" s="3">
        <v>0.248</v>
      </c>
      <c r="AL83" s="3">
        <v>0.58599999999999997</v>
      </c>
      <c r="AM83" s="3">
        <v>0.252</v>
      </c>
      <c r="AN83" s="3">
        <v>0.38800000000000001</v>
      </c>
      <c r="AO83" s="3">
        <v>0.124</v>
      </c>
      <c r="AP83" s="3">
        <v>0.38800000000000001</v>
      </c>
      <c r="AQ83" s="3">
        <v>0.17</v>
      </c>
      <c r="AR83" s="3">
        <v>0.251</v>
      </c>
      <c r="AS83" s="3">
        <v>0.189</v>
      </c>
      <c r="AT83" s="3">
        <v>0.3</v>
      </c>
      <c r="AU83" s="3">
        <v>0.19</v>
      </c>
      <c r="AV83" s="3">
        <v>0.218</v>
      </c>
      <c r="AW83" s="3">
        <v>0.20300000000000001</v>
      </c>
      <c r="AX83" s="3">
        <v>0.22900000000000001</v>
      </c>
      <c r="AY83" s="3">
        <v>0.37</v>
      </c>
      <c r="AZ83" s="3">
        <v>0.21</v>
      </c>
      <c r="BA83" s="3">
        <v>0.33</v>
      </c>
      <c r="BB83" s="3">
        <v>0.222</v>
      </c>
      <c r="BC83" s="3">
        <v>0.75549999999999995</v>
      </c>
      <c r="BD83" s="3">
        <v>0.71099999999999997</v>
      </c>
      <c r="BE83" s="3">
        <v>0.78500000000000003</v>
      </c>
      <c r="BF83" s="3">
        <v>0.86033333300000003</v>
      </c>
      <c r="BG83" s="3">
        <v>0.81825000000000003</v>
      </c>
      <c r="BH83" s="3">
        <v>0.84699999999999998</v>
      </c>
      <c r="BI83" s="3">
        <v>0.56850000000000001</v>
      </c>
      <c r="BJ83" s="3">
        <v>0.88100000000000001</v>
      </c>
      <c r="BK83" s="3">
        <v>0.88200000000000001</v>
      </c>
      <c r="BL83" s="3">
        <v>0.76200000000000001</v>
      </c>
      <c r="BM83" s="3">
        <v>0.01</v>
      </c>
      <c r="BN83" s="3">
        <v>0.72399999999999998</v>
      </c>
      <c r="BO83" s="3">
        <v>0.80900000000000005</v>
      </c>
      <c r="BP83" s="48" t="s">
        <v>317</v>
      </c>
      <c r="BQ83" s="49" t="s">
        <v>337</v>
      </c>
      <c r="BR83" s="3">
        <v>15.691000000000001</v>
      </c>
      <c r="BS83" s="3">
        <v>14.198</v>
      </c>
      <c r="BT83" s="3">
        <v>13.984999999999999</v>
      </c>
      <c r="BU83" s="3">
        <v>12.449</v>
      </c>
      <c r="BV83" s="3">
        <v>15.21</v>
      </c>
      <c r="BW83" s="3">
        <v>15.736000000000001</v>
      </c>
      <c r="BX83" s="3">
        <v>11.977</v>
      </c>
      <c r="BY83" s="3">
        <v>14.993</v>
      </c>
      <c r="BZ83" s="3">
        <v>15.88</v>
      </c>
      <c r="CA83" s="3">
        <v>16.044</v>
      </c>
      <c r="CB83" s="3">
        <v>12.907</v>
      </c>
      <c r="CC83" s="3">
        <v>14.343999999999999</v>
      </c>
      <c r="CD83" s="3">
        <v>11.106</v>
      </c>
    </row>
    <row r="84" spans="1:82" x14ac:dyDescent="0.3">
      <c r="A84" s="48" t="s">
        <v>317</v>
      </c>
      <c r="B84" s="49" t="s">
        <v>338</v>
      </c>
      <c r="C84" s="3">
        <v>42.077740370000001</v>
      </c>
      <c r="D84" s="3">
        <v>31.340479699999999</v>
      </c>
      <c r="E84" s="3">
        <v>31.340479699999999</v>
      </c>
      <c r="F84" s="3">
        <v>26.913559930000002</v>
      </c>
      <c r="G84" s="3">
        <v>31.340479699999999</v>
      </c>
      <c r="H84" s="3">
        <v>31.340479699999999</v>
      </c>
      <c r="I84" s="48" t="s">
        <v>317</v>
      </c>
      <c r="J84" s="49" t="s">
        <v>338</v>
      </c>
      <c r="K84" s="3">
        <v>26893</v>
      </c>
      <c r="L84" s="48" t="s">
        <v>317</v>
      </c>
      <c r="M84" s="49" t="s">
        <v>338</v>
      </c>
      <c r="N84" s="3">
        <v>2237.6542279999999</v>
      </c>
      <c r="O84" s="3">
        <v>2913.6689110000002</v>
      </c>
      <c r="P84" s="3">
        <v>1587.8396729999999</v>
      </c>
      <c r="Q84" s="3">
        <v>1428.342823</v>
      </c>
      <c r="R84" s="3">
        <v>2772.9005010000001</v>
      </c>
      <c r="S84" s="3">
        <v>3293.585924</v>
      </c>
      <c r="T84" s="3">
        <v>2390.9858789999998</v>
      </c>
      <c r="U84" s="3">
        <v>2828.4336680000001</v>
      </c>
      <c r="V84" s="3">
        <v>1953.3221169999999</v>
      </c>
      <c r="W84" s="3">
        <v>1213.913515</v>
      </c>
      <c r="X84" s="3">
        <v>2083.2705380000002</v>
      </c>
      <c r="Y84" s="3">
        <v>239.17975709999999</v>
      </c>
      <c r="Z84" s="3">
        <v>619.75740840000003</v>
      </c>
      <c r="AA84" s="48" t="s">
        <v>317</v>
      </c>
      <c r="AB84" s="49" t="s">
        <v>338</v>
      </c>
      <c r="AC84" s="3">
        <v>0.51200000000000001</v>
      </c>
      <c r="AD84" s="3">
        <v>0.40300000000000002</v>
      </c>
      <c r="AE84" s="3">
        <v>0.52300000000000002</v>
      </c>
      <c r="AF84" s="3">
        <v>0.39400000000000002</v>
      </c>
      <c r="AG84" s="3">
        <v>0.38900000000000001</v>
      </c>
      <c r="AH84" s="3">
        <v>0.46300000000000002</v>
      </c>
      <c r="AI84" s="3">
        <v>0.25700000000000001</v>
      </c>
      <c r="AJ84" s="3">
        <v>0.34</v>
      </c>
      <c r="AK84" s="3">
        <v>0.443</v>
      </c>
      <c r="AL84" s="3">
        <v>0.60899999999999999</v>
      </c>
      <c r="AM84" s="3">
        <v>0.42799999999999999</v>
      </c>
      <c r="AN84" s="3">
        <v>0.439</v>
      </c>
      <c r="AO84" s="3">
        <v>0.248</v>
      </c>
      <c r="AP84" s="3">
        <v>0.439</v>
      </c>
      <c r="AQ84" s="3">
        <v>0.26</v>
      </c>
      <c r="AR84" s="3">
        <v>0.25600000000000001</v>
      </c>
      <c r="AS84" s="3">
        <v>0.38300000000000001</v>
      </c>
      <c r="AT84" s="3">
        <v>0.33500000000000002</v>
      </c>
      <c r="AU84" s="3">
        <v>0.38600000000000001</v>
      </c>
      <c r="AV84" s="3">
        <v>0.20100000000000001</v>
      </c>
      <c r="AW84" s="3">
        <v>0.48</v>
      </c>
      <c r="AX84" s="3">
        <v>0.29499999999999998</v>
      </c>
      <c r="AY84" s="3">
        <v>0.52</v>
      </c>
      <c r="AZ84" s="3">
        <v>0.19700000000000001</v>
      </c>
      <c r="BA84" s="3">
        <v>0.495</v>
      </c>
      <c r="BB84" s="3">
        <v>0.23499999999999999</v>
      </c>
      <c r="BC84" s="3">
        <v>0.80700000000000005</v>
      </c>
      <c r="BD84" s="3">
        <v>0.79600000000000004</v>
      </c>
      <c r="BE84" s="3">
        <v>0.8175</v>
      </c>
      <c r="BF84" s="3">
        <v>0.87433333300000005</v>
      </c>
      <c r="BG84" s="3">
        <v>0.83050000000000002</v>
      </c>
      <c r="BH84" s="3">
        <v>0.86499999999999999</v>
      </c>
      <c r="BI84" s="3">
        <v>0.65049999999999997</v>
      </c>
      <c r="BJ84" s="3">
        <v>0.85399999999999998</v>
      </c>
      <c r="BK84" s="3">
        <v>0.82199999999999995</v>
      </c>
      <c r="BL84" s="3">
        <v>0.75666666699999996</v>
      </c>
      <c r="BM84" s="3">
        <v>0.01</v>
      </c>
      <c r="BN84" s="3">
        <v>0.746</v>
      </c>
      <c r="BO84" s="3">
        <v>0.80800000000000005</v>
      </c>
      <c r="BP84" s="48" t="s">
        <v>317</v>
      </c>
      <c r="BQ84" s="49" t="s">
        <v>338</v>
      </c>
      <c r="BR84" s="3">
        <v>17.262</v>
      </c>
      <c r="BS84" s="3">
        <v>16.244</v>
      </c>
      <c r="BT84" s="3">
        <v>15.589</v>
      </c>
      <c r="BU84" s="3">
        <v>14.170999999999999</v>
      </c>
      <c r="BV84" s="3">
        <v>17.766999999999999</v>
      </c>
      <c r="BW84" s="3">
        <v>15.775</v>
      </c>
      <c r="BX84" s="3">
        <v>13.238</v>
      </c>
      <c r="BY84" s="3">
        <v>16.190000000000001</v>
      </c>
      <c r="BZ84" s="3">
        <v>17.454999999999998</v>
      </c>
      <c r="CA84" s="3">
        <v>16.611999999999998</v>
      </c>
      <c r="CB84" s="3">
        <v>15.209</v>
      </c>
      <c r="CC84" s="3">
        <v>14.972</v>
      </c>
      <c r="CD84" s="3">
        <v>12.14</v>
      </c>
    </row>
    <row r="85" spans="1:82" x14ac:dyDescent="0.3">
      <c r="A85" s="48" t="s">
        <v>317</v>
      </c>
      <c r="B85" s="49" t="s">
        <v>339</v>
      </c>
      <c r="C85" s="3">
        <v>43.890753230000001</v>
      </c>
      <c r="D85" s="3">
        <v>30.988438370000001</v>
      </c>
      <c r="E85" s="3">
        <v>30.988438370000001</v>
      </c>
      <c r="F85" s="3">
        <v>26.904758900000001</v>
      </c>
      <c r="G85" s="3">
        <v>30.988438370000001</v>
      </c>
      <c r="H85" s="3">
        <v>30.988438370000001</v>
      </c>
      <c r="I85" s="48" t="s">
        <v>317</v>
      </c>
      <c r="J85" s="49" t="s">
        <v>339</v>
      </c>
      <c r="K85" s="3">
        <v>26715</v>
      </c>
      <c r="L85" s="48" t="s">
        <v>317</v>
      </c>
      <c r="M85" s="49" t="s">
        <v>339</v>
      </c>
      <c r="N85" s="3">
        <v>1704.071524</v>
      </c>
      <c r="O85" s="3">
        <v>2318.3036929999998</v>
      </c>
      <c r="P85" s="3">
        <v>1320.598999</v>
      </c>
      <c r="Q85" s="3">
        <v>1286.5976230000001</v>
      </c>
      <c r="R85" s="3">
        <v>2408.4991599999998</v>
      </c>
      <c r="S85" s="3">
        <v>3034.5835120000002</v>
      </c>
      <c r="T85" s="3">
        <v>2171.713088</v>
      </c>
      <c r="U85" s="3">
        <v>2322.1280320000001</v>
      </c>
      <c r="V85" s="3">
        <v>1549.5886330000001</v>
      </c>
      <c r="W85" s="3">
        <v>1094.5839779999999</v>
      </c>
      <c r="X85" s="3">
        <v>1697.8657439999999</v>
      </c>
      <c r="Y85" s="3">
        <v>191.22237899999999</v>
      </c>
      <c r="Z85" s="3">
        <v>719.6862711</v>
      </c>
      <c r="AA85" s="48" t="s">
        <v>317</v>
      </c>
      <c r="AB85" s="49" t="s">
        <v>339</v>
      </c>
      <c r="AC85" s="3">
        <v>0.62</v>
      </c>
      <c r="AD85" s="3">
        <v>0.41</v>
      </c>
      <c r="AE85" s="3">
        <v>0.60699999999999998</v>
      </c>
      <c r="AF85" s="3">
        <v>0.44500000000000001</v>
      </c>
      <c r="AG85" s="3">
        <v>0.51200000000000001</v>
      </c>
      <c r="AH85" s="3">
        <v>0.52400000000000002</v>
      </c>
      <c r="AI85" s="3">
        <v>0.51800000000000002</v>
      </c>
      <c r="AJ85" s="3">
        <v>0.36799999999999999</v>
      </c>
      <c r="AK85" s="3">
        <v>0.61499999999999999</v>
      </c>
      <c r="AL85" s="3">
        <v>0.61699999999999999</v>
      </c>
      <c r="AM85" s="3">
        <v>0.59499999999999997</v>
      </c>
      <c r="AN85" s="3">
        <v>0.437</v>
      </c>
      <c r="AO85" s="3">
        <v>0.36099999999999999</v>
      </c>
      <c r="AP85" s="3">
        <v>0.437</v>
      </c>
      <c r="AQ85" s="3">
        <v>0.40200000000000002</v>
      </c>
      <c r="AR85" s="3">
        <v>0.27100000000000002</v>
      </c>
      <c r="AS85" s="3">
        <v>0.60699999999999998</v>
      </c>
      <c r="AT85" s="3">
        <v>0.36699999999999999</v>
      </c>
      <c r="AU85" s="3">
        <v>0.60799999999999998</v>
      </c>
      <c r="AV85" s="3">
        <v>0.19800000000000001</v>
      </c>
      <c r="AW85" s="3">
        <v>0.52100000000000002</v>
      </c>
      <c r="AX85" s="3">
        <v>0.34499999999999997</v>
      </c>
      <c r="AY85" s="3">
        <v>0.60599999999999998</v>
      </c>
      <c r="AZ85" s="3">
        <v>0.20300000000000001</v>
      </c>
      <c r="BA85" s="3">
        <v>0.58899999999999997</v>
      </c>
      <c r="BB85" s="3">
        <v>0.26300000000000001</v>
      </c>
      <c r="BC85" s="3">
        <v>0.82950000000000002</v>
      </c>
      <c r="BD85" s="3">
        <v>0.79649999999999999</v>
      </c>
      <c r="BE85" s="3">
        <v>0.8145</v>
      </c>
      <c r="BF85" s="3">
        <v>0.87966666699999996</v>
      </c>
      <c r="BG85" s="3">
        <v>0.82158333400000005</v>
      </c>
      <c r="BH85" s="3">
        <v>0.86899999999999999</v>
      </c>
      <c r="BI85" s="3">
        <v>0.70199999999999996</v>
      </c>
      <c r="BJ85" s="3">
        <v>0.81366666700000001</v>
      </c>
      <c r="BK85" s="3">
        <v>0.746</v>
      </c>
      <c r="BL85" s="3">
        <v>0.76300000000000001</v>
      </c>
      <c r="BM85" s="3">
        <v>0.01</v>
      </c>
      <c r="BN85" s="3">
        <v>0.76133333299999995</v>
      </c>
      <c r="BO85" s="3">
        <v>0.80400000000000005</v>
      </c>
      <c r="BP85" s="48" t="s">
        <v>317</v>
      </c>
      <c r="BQ85" s="49" t="s">
        <v>339</v>
      </c>
      <c r="BR85" s="3">
        <v>18.343</v>
      </c>
      <c r="BS85" s="3">
        <v>17.742999999999999</v>
      </c>
      <c r="BT85" s="3">
        <v>16.882999999999999</v>
      </c>
      <c r="BU85" s="3">
        <v>15.709</v>
      </c>
      <c r="BV85" s="3">
        <v>19.402000000000001</v>
      </c>
      <c r="BW85" s="3">
        <v>15.776999999999999</v>
      </c>
      <c r="BX85" s="3">
        <v>14.331</v>
      </c>
      <c r="BY85" s="3">
        <v>17.312999999999999</v>
      </c>
      <c r="BZ85" s="3">
        <v>18.591000000000001</v>
      </c>
      <c r="CA85" s="3">
        <v>17.245000000000001</v>
      </c>
      <c r="CB85" s="3">
        <v>16.957000000000001</v>
      </c>
      <c r="CC85" s="3">
        <v>15.586</v>
      </c>
      <c r="CD85" s="3">
        <v>13.183999999999999</v>
      </c>
    </row>
    <row r="86" spans="1:82" x14ac:dyDescent="0.3">
      <c r="A86" s="48" t="s">
        <v>317</v>
      </c>
      <c r="B86" s="49" t="s">
        <v>340</v>
      </c>
      <c r="C86" s="3">
        <v>42.808226130000001</v>
      </c>
      <c r="D86" s="3">
        <v>28.788180029999999</v>
      </c>
      <c r="E86" s="3">
        <v>28.788180029999999</v>
      </c>
      <c r="F86" s="3">
        <v>26.89595787</v>
      </c>
      <c r="G86" s="3">
        <v>28.788180029999999</v>
      </c>
      <c r="H86" s="3">
        <v>28.788180029999999</v>
      </c>
      <c r="I86" s="48" t="s">
        <v>317</v>
      </c>
      <c r="J86" s="49" t="s">
        <v>340</v>
      </c>
      <c r="K86" s="3">
        <v>26983</v>
      </c>
      <c r="L86" s="48" t="s">
        <v>317</v>
      </c>
      <c r="M86" s="49" t="s">
        <v>340</v>
      </c>
      <c r="N86" s="3">
        <v>1329.6861570000001</v>
      </c>
      <c r="O86" s="3">
        <v>1944.5240020000001</v>
      </c>
      <c r="P86" s="3">
        <v>1142.136923</v>
      </c>
      <c r="Q86" s="3">
        <v>1209.922513</v>
      </c>
      <c r="R86" s="3">
        <v>2023.2062120000001</v>
      </c>
      <c r="S86" s="3">
        <v>2683.7130560000001</v>
      </c>
      <c r="T86" s="3">
        <v>1967.3442379999999</v>
      </c>
      <c r="U86" s="3">
        <v>1850.1625650000001</v>
      </c>
      <c r="V86" s="3">
        <v>1270.111584</v>
      </c>
      <c r="W86" s="3">
        <v>939.10581820000004</v>
      </c>
      <c r="X86" s="3">
        <v>1261.624229</v>
      </c>
      <c r="Y86" s="3">
        <v>221.7191224</v>
      </c>
      <c r="Z86" s="3">
        <v>513.08551490000002</v>
      </c>
      <c r="AA86" s="48" t="s">
        <v>317</v>
      </c>
      <c r="AB86" s="49" t="s">
        <v>340</v>
      </c>
      <c r="AC86" s="3">
        <v>0.65100000000000002</v>
      </c>
      <c r="AD86" s="3">
        <v>0.42299999999999999</v>
      </c>
      <c r="AE86" s="3">
        <v>0.63500000000000001</v>
      </c>
      <c r="AF86" s="3">
        <v>0.45900000000000002</v>
      </c>
      <c r="AG86" s="3">
        <v>0.61699999999999999</v>
      </c>
      <c r="AH86" s="3">
        <v>0.55700000000000005</v>
      </c>
      <c r="AI86" s="3">
        <v>0.63800000000000001</v>
      </c>
      <c r="AJ86" s="3">
        <v>0.38700000000000001</v>
      </c>
      <c r="AK86" s="3">
        <v>0.65600000000000003</v>
      </c>
      <c r="AL86" s="3">
        <v>0.61299999999999999</v>
      </c>
      <c r="AM86" s="3">
        <v>0.66</v>
      </c>
      <c r="AN86" s="3">
        <v>0.44900000000000001</v>
      </c>
      <c r="AO86" s="3">
        <v>0.26100000000000001</v>
      </c>
      <c r="AP86" s="3">
        <v>0.44900000000000001</v>
      </c>
      <c r="AQ86" s="3">
        <v>0.61199999999999999</v>
      </c>
      <c r="AR86" s="3">
        <v>0.30199999999999999</v>
      </c>
      <c r="AS86" s="3">
        <v>0.66200000000000003</v>
      </c>
      <c r="AT86" s="3">
        <v>0.4</v>
      </c>
      <c r="AU86" s="3">
        <v>0.66100000000000003</v>
      </c>
      <c r="AV86" s="3">
        <v>0.215</v>
      </c>
      <c r="AW86" s="3">
        <v>0.60899999999999999</v>
      </c>
      <c r="AX86" s="3">
        <v>0.37</v>
      </c>
      <c r="AY86" s="3">
        <v>0.64700000000000002</v>
      </c>
      <c r="AZ86" s="3">
        <v>0.20499999999999999</v>
      </c>
      <c r="BA86" s="3">
        <v>0.63700000000000001</v>
      </c>
      <c r="BB86" s="3">
        <v>0.19600000000000001</v>
      </c>
      <c r="BC86" s="3">
        <v>0.82950000000000002</v>
      </c>
      <c r="BD86" s="3">
        <v>0.78200000000000003</v>
      </c>
      <c r="BE86" s="3">
        <v>0.80600000000000005</v>
      </c>
      <c r="BF86" s="3">
        <v>0.89366666699999997</v>
      </c>
      <c r="BG86" s="3">
        <v>0.80358333400000004</v>
      </c>
      <c r="BH86" s="3">
        <v>0.879</v>
      </c>
      <c r="BI86" s="3">
        <v>0.747</v>
      </c>
      <c r="BJ86" s="3">
        <v>0.77766666699999998</v>
      </c>
      <c r="BK86" s="3">
        <v>0.73299999999999998</v>
      </c>
      <c r="BL86" s="3">
        <v>0.77900000000000003</v>
      </c>
      <c r="BM86" s="3">
        <v>0.01</v>
      </c>
      <c r="BN86" s="3">
        <v>0.76666666699999997</v>
      </c>
      <c r="BO86" s="3">
        <v>0.81599999999999995</v>
      </c>
      <c r="BP86" s="48" t="s">
        <v>317</v>
      </c>
      <c r="BQ86" s="49" t="s">
        <v>340</v>
      </c>
      <c r="BR86" s="3">
        <v>19.003</v>
      </c>
      <c r="BS86" s="3">
        <v>18.638999999999999</v>
      </c>
      <c r="BT86" s="3">
        <v>17.632000000000001</v>
      </c>
      <c r="BU86" s="3">
        <v>16.771000000000001</v>
      </c>
      <c r="BV86" s="3">
        <v>20.331</v>
      </c>
      <c r="BW86" s="3">
        <v>15.771000000000001</v>
      </c>
      <c r="BX86" s="3">
        <v>15.06</v>
      </c>
      <c r="BY86" s="3">
        <v>18.106000000000002</v>
      </c>
      <c r="BZ86" s="3">
        <v>19.21</v>
      </c>
      <c r="CA86" s="3">
        <v>17.794</v>
      </c>
      <c r="CB86" s="3">
        <v>17.776</v>
      </c>
      <c r="CC86" s="3">
        <v>16.122</v>
      </c>
      <c r="CD86" s="3">
        <v>14.051</v>
      </c>
    </row>
    <row r="87" spans="1:82" x14ac:dyDescent="0.3">
      <c r="A87" s="48" t="s">
        <v>317</v>
      </c>
      <c r="B87" s="49" t="s">
        <v>341</v>
      </c>
      <c r="C87" s="3">
        <v>41.347254599999999</v>
      </c>
      <c r="D87" s="3">
        <v>27.740857070000001</v>
      </c>
      <c r="E87" s="3">
        <v>27.740857070000001</v>
      </c>
      <c r="F87" s="3">
        <v>26.851952699999998</v>
      </c>
      <c r="G87" s="3">
        <v>27.740857070000001</v>
      </c>
      <c r="H87" s="3">
        <v>27.740857070000001</v>
      </c>
      <c r="I87" s="48" t="s">
        <v>317</v>
      </c>
      <c r="J87" s="49" t="s">
        <v>341</v>
      </c>
      <c r="K87" s="3">
        <v>26671</v>
      </c>
      <c r="L87" s="48" t="s">
        <v>317</v>
      </c>
      <c r="M87" s="49" t="s">
        <v>341</v>
      </c>
      <c r="N87" s="3">
        <v>1086.3570609999999</v>
      </c>
      <c r="O87" s="3">
        <v>1624.080845</v>
      </c>
      <c r="P87" s="3">
        <v>1082.3268419999999</v>
      </c>
      <c r="Q87" s="3">
        <v>1113.83017</v>
      </c>
      <c r="R87" s="3">
        <v>1846.4806779999999</v>
      </c>
      <c r="S87" s="3">
        <v>2337.15915</v>
      </c>
      <c r="T87" s="3">
        <v>2073.8197009999999</v>
      </c>
      <c r="U87" s="3">
        <v>1628.6015130000001</v>
      </c>
      <c r="V87" s="3">
        <v>1064.56367</v>
      </c>
      <c r="W87" s="3">
        <v>919.33157540000002</v>
      </c>
      <c r="X87" s="3">
        <v>1118.965794</v>
      </c>
      <c r="Y87" s="3">
        <v>225.90330040000001</v>
      </c>
      <c r="Z87" s="3">
        <v>353.97337690000001</v>
      </c>
      <c r="AA87" s="48" t="s">
        <v>317</v>
      </c>
      <c r="AB87" s="49" t="s">
        <v>341</v>
      </c>
      <c r="AC87" s="3">
        <v>0.64400000000000002</v>
      </c>
      <c r="AD87" s="3">
        <v>0.436</v>
      </c>
      <c r="AE87" s="3">
        <v>0.63100000000000001</v>
      </c>
      <c r="AF87" s="3">
        <v>0.45600000000000002</v>
      </c>
      <c r="AG87" s="3">
        <v>0.65100000000000002</v>
      </c>
      <c r="AH87" s="3">
        <v>0.56899999999999995</v>
      </c>
      <c r="AI87" s="3">
        <v>0.64100000000000001</v>
      </c>
      <c r="AJ87" s="3">
        <v>0.39500000000000002</v>
      </c>
      <c r="AK87" s="3">
        <v>0.65100000000000002</v>
      </c>
      <c r="AL87" s="3">
        <v>0.59699999999999998</v>
      </c>
      <c r="AM87" s="3">
        <v>0.65400000000000003</v>
      </c>
      <c r="AN87" s="3">
        <v>0.39200000000000002</v>
      </c>
      <c r="AO87" s="3">
        <v>0.14199999999999999</v>
      </c>
      <c r="AP87" s="3">
        <v>0.39200000000000002</v>
      </c>
      <c r="AQ87" s="3">
        <v>0.65500000000000003</v>
      </c>
      <c r="AR87" s="3">
        <v>0.32200000000000001</v>
      </c>
      <c r="AS87" s="3">
        <v>0.65500000000000003</v>
      </c>
      <c r="AT87" s="3">
        <v>0.42099999999999999</v>
      </c>
      <c r="AU87" s="3">
        <v>0.65400000000000003</v>
      </c>
      <c r="AV87" s="3">
        <v>0.24199999999999999</v>
      </c>
      <c r="AW87" s="3">
        <v>0.55900000000000005</v>
      </c>
      <c r="AX87" s="3">
        <v>0.35399999999999998</v>
      </c>
      <c r="AY87" s="3">
        <v>0.626</v>
      </c>
      <c r="AZ87" s="3">
        <v>0.20899999999999999</v>
      </c>
      <c r="BA87" s="3">
        <v>0.61499999999999999</v>
      </c>
      <c r="BB87" s="3">
        <v>0.182</v>
      </c>
      <c r="BC87" s="3">
        <v>0.82450000000000001</v>
      </c>
      <c r="BD87" s="3">
        <v>0.77800000000000002</v>
      </c>
      <c r="BE87" s="3">
        <v>0.80900000000000005</v>
      </c>
      <c r="BF87" s="3">
        <v>0.90933333299999997</v>
      </c>
      <c r="BG87" s="3">
        <v>0.78408333399999997</v>
      </c>
      <c r="BH87" s="3">
        <v>0.89</v>
      </c>
      <c r="BI87" s="3">
        <v>0.77049999999999996</v>
      </c>
      <c r="BJ87" s="3">
        <v>0.74366666699999995</v>
      </c>
      <c r="BK87" s="3">
        <v>0.76649999999999996</v>
      </c>
      <c r="BL87" s="3">
        <v>0.79900000000000004</v>
      </c>
      <c r="BM87" s="3">
        <v>0.01</v>
      </c>
      <c r="BN87" s="3">
        <v>0.77133333299999995</v>
      </c>
      <c r="BO87" s="3">
        <v>0.83399999999999996</v>
      </c>
      <c r="BP87" s="48" t="s">
        <v>317</v>
      </c>
      <c r="BQ87" s="49" t="s">
        <v>341</v>
      </c>
      <c r="BR87" s="3">
        <v>19.364999999999998</v>
      </c>
      <c r="BS87" s="3">
        <v>19.170000000000002</v>
      </c>
      <c r="BT87" s="3">
        <v>17.957999999999998</v>
      </c>
      <c r="BU87" s="3">
        <v>17.155000000000001</v>
      </c>
      <c r="BV87" s="3">
        <v>20.763999999999999</v>
      </c>
      <c r="BW87" s="3">
        <v>15.782</v>
      </c>
      <c r="BX87" s="3">
        <v>15.125</v>
      </c>
      <c r="BY87" s="3">
        <v>18.550999999999998</v>
      </c>
      <c r="BZ87" s="3">
        <v>19.521000000000001</v>
      </c>
      <c r="CA87" s="3">
        <v>18.143999999999998</v>
      </c>
      <c r="CB87" s="3">
        <v>18.152000000000001</v>
      </c>
      <c r="CC87" s="3">
        <v>16.576000000000001</v>
      </c>
      <c r="CD87" s="3">
        <v>14.811999999999999</v>
      </c>
    </row>
    <row r="88" spans="1:82" x14ac:dyDescent="0.3">
      <c r="A88" s="48" t="s">
        <v>317</v>
      </c>
      <c r="B88" s="49" t="s">
        <v>342</v>
      </c>
      <c r="C88" s="3">
        <v>40.599166769999997</v>
      </c>
      <c r="D88" s="3">
        <v>27.608841569999999</v>
      </c>
      <c r="E88" s="3">
        <v>27.608841569999999</v>
      </c>
      <c r="F88" s="3">
        <v>26.7199372</v>
      </c>
      <c r="G88" s="3">
        <v>27.608841569999999</v>
      </c>
      <c r="H88" s="3">
        <v>27.608841569999999</v>
      </c>
      <c r="I88" s="48" t="s">
        <v>317</v>
      </c>
      <c r="J88" s="49" t="s">
        <v>342</v>
      </c>
      <c r="K88" s="3">
        <v>26914</v>
      </c>
      <c r="L88" s="48" t="s">
        <v>317</v>
      </c>
      <c r="M88" s="49" t="s">
        <v>342</v>
      </c>
      <c r="N88" s="3">
        <v>1162.9110920000001</v>
      </c>
      <c r="O88" s="3">
        <v>1565.500072</v>
      </c>
      <c r="P88" s="3">
        <v>1029.3803720000001</v>
      </c>
      <c r="Q88" s="3">
        <v>976.37229930000001</v>
      </c>
      <c r="R88" s="3">
        <v>1905.0700899999999</v>
      </c>
      <c r="S88" s="3">
        <v>2292.8582889999998</v>
      </c>
      <c r="T88" s="3">
        <v>2054.6507689999999</v>
      </c>
      <c r="U88" s="3">
        <v>1628.153399</v>
      </c>
      <c r="V88" s="3">
        <v>1109.7658899999999</v>
      </c>
      <c r="W88" s="3">
        <v>771.78296409999996</v>
      </c>
      <c r="X88" s="3">
        <v>1117.882515</v>
      </c>
      <c r="Y88" s="3">
        <v>133.20070240000001</v>
      </c>
      <c r="Z88" s="3">
        <v>523.12223900000004</v>
      </c>
      <c r="AA88" s="48" t="s">
        <v>317</v>
      </c>
      <c r="AB88" s="49" t="s">
        <v>342</v>
      </c>
      <c r="AC88" s="3">
        <v>0.55200000000000005</v>
      </c>
      <c r="AD88" s="3">
        <v>0.439</v>
      </c>
      <c r="AE88" s="3">
        <v>0.58299999999999996</v>
      </c>
      <c r="AF88" s="3">
        <v>0.442</v>
      </c>
      <c r="AG88" s="3">
        <v>0.60699999999999998</v>
      </c>
      <c r="AH88" s="3">
        <v>0.56599999999999995</v>
      </c>
      <c r="AI88" s="3">
        <v>0.59099999999999997</v>
      </c>
      <c r="AJ88" s="3">
        <v>0.39300000000000002</v>
      </c>
      <c r="AK88" s="3">
        <v>0.51</v>
      </c>
      <c r="AL88" s="3">
        <v>0.59399999999999997</v>
      </c>
      <c r="AM88" s="3">
        <v>0.59599999999999997</v>
      </c>
      <c r="AN88" s="3">
        <v>0.30199999999999999</v>
      </c>
      <c r="AO88" s="3">
        <v>0.127</v>
      </c>
      <c r="AP88" s="3">
        <v>0.30199999999999999</v>
      </c>
      <c r="AQ88" s="3">
        <v>0.58899999999999997</v>
      </c>
      <c r="AR88" s="3">
        <v>0.31900000000000001</v>
      </c>
      <c r="AS88" s="3">
        <v>0.48799999999999999</v>
      </c>
      <c r="AT88" s="3">
        <v>0.40899999999999997</v>
      </c>
      <c r="AU88" s="3">
        <v>0.48499999999999999</v>
      </c>
      <c r="AV88" s="3">
        <v>0.25</v>
      </c>
      <c r="AW88" s="3">
        <v>0.36699999999999999</v>
      </c>
      <c r="AX88" s="3">
        <v>0.32100000000000001</v>
      </c>
      <c r="AY88" s="3">
        <v>0.55600000000000005</v>
      </c>
      <c r="AZ88" s="3">
        <v>0.20200000000000001</v>
      </c>
      <c r="BA88" s="3">
        <v>0.50600000000000001</v>
      </c>
      <c r="BB88" s="3">
        <v>0.20699999999999999</v>
      </c>
      <c r="BC88" s="3">
        <v>0.82950000000000002</v>
      </c>
      <c r="BD88" s="3">
        <v>0.78549999999999998</v>
      </c>
      <c r="BE88" s="3">
        <v>0.82599999999999996</v>
      </c>
      <c r="BF88" s="3">
        <v>0.92600000000000005</v>
      </c>
      <c r="BG88" s="3">
        <v>0.77875000000000005</v>
      </c>
      <c r="BH88" s="3">
        <v>0.90600000000000003</v>
      </c>
      <c r="BI88" s="3">
        <v>0.79900000000000004</v>
      </c>
      <c r="BJ88" s="3">
        <v>0.72799999999999998</v>
      </c>
      <c r="BK88" s="3">
        <v>0.80549999999999999</v>
      </c>
      <c r="BL88" s="3">
        <v>0.81666666700000001</v>
      </c>
      <c r="BM88" s="3">
        <v>0.01</v>
      </c>
      <c r="BN88" s="3">
        <v>0.77333333299999996</v>
      </c>
      <c r="BO88" s="3">
        <v>0.85299999999999998</v>
      </c>
      <c r="BP88" s="48" t="s">
        <v>317</v>
      </c>
      <c r="BQ88" s="49" t="s">
        <v>342</v>
      </c>
      <c r="BR88" s="3">
        <v>19.411000000000001</v>
      </c>
      <c r="BS88" s="3">
        <v>19.279</v>
      </c>
      <c r="BT88" s="3">
        <v>17.88</v>
      </c>
      <c r="BU88" s="3">
        <v>16.856000000000002</v>
      </c>
      <c r="BV88" s="3">
        <v>20.763000000000002</v>
      </c>
      <c r="BW88" s="3">
        <v>15.817</v>
      </c>
      <c r="BX88" s="3">
        <v>14.936999999999999</v>
      </c>
      <c r="BY88" s="3">
        <v>18.777000000000001</v>
      </c>
      <c r="BZ88" s="3">
        <v>19.516999999999999</v>
      </c>
      <c r="CA88" s="3">
        <v>18.344999999999999</v>
      </c>
      <c r="CB88" s="3">
        <v>18.388000000000002</v>
      </c>
      <c r="CC88" s="3">
        <v>16.986999999999998</v>
      </c>
      <c r="CD88" s="3">
        <v>15.327</v>
      </c>
    </row>
    <row r="89" spans="1:82" x14ac:dyDescent="0.3">
      <c r="A89" s="48" t="s">
        <v>317</v>
      </c>
      <c r="B89" s="49" t="s">
        <v>343</v>
      </c>
      <c r="C89" s="3">
        <v>40.159115100000001</v>
      </c>
      <c r="D89" s="3">
        <v>27.8288674</v>
      </c>
      <c r="E89" s="3">
        <v>27.8288674</v>
      </c>
      <c r="F89" s="3">
        <v>26.878355800000001</v>
      </c>
      <c r="G89" s="3">
        <v>27.8288674</v>
      </c>
      <c r="H89" s="3">
        <v>27.8288674</v>
      </c>
      <c r="I89" s="48" t="s">
        <v>317</v>
      </c>
      <c r="J89" s="49" t="s">
        <v>343</v>
      </c>
      <c r="K89" s="3">
        <v>28023</v>
      </c>
      <c r="L89" s="48" t="s">
        <v>317</v>
      </c>
      <c r="M89" s="49" t="s">
        <v>343</v>
      </c>
      <c r="N89" s="3">
        <v>975.66311640000004</v>
      </c>
      <c r="O89" s="3">
        <v>1424.137395</v>
      </c>
      <c r="P89" s="3">
        <v>1008.687274</v>
      </c>
      <c r="Q89" s="3">
        <v>1051.6311639999999</v>
      </c>
      <c r="R89" s="3">
        <v>1750.5987680000001</v>
      </c>
      <c r="S89" s="3">
        <v>2031.6769589999999</v>
      </c>
      <c r="T89" s="3">
        <v>1873.0891899999999</v>
      </c>
      <c r="U89" s="3">
        <v>1404.2168200000001</v>
      </c>
      <c r="V89" s="3">
        <v>935.06743170000004</v>
      </c>
      <c r="W89" s="3">
        <v>783.25776619999999</v>
      </c>
      <c r="X89" s="3">
        <v>1030.7810179999999</v>
      </c>
      <c r="Y89" s="3">
        <v>180.85690489999999</v>
      </c>
      <c r="Z89" s="3">
        <v>578.67799609999997</v>
      </c>
      <c r="AA89" s="48" t="s">
        <v>317</v>
      </c>
      <c r="AB89" s="49" t="s">
        <v>343</v>
      </c>
      <c r="AC89" s="3">
        <v>0.374</v>
      </c>
      <c r="AD89" s="3">
        <v>0.42899999999999999</v>
      </c>
      <c r="AE89" s="3">
        <v>0.48499999999999999</v>
      </c>
      <c r="AF89" s="3">
        <v>0.41299999999999998</v>
      </c>
      <c r="AG89" s="3">
        <v>0.51100000000000001</v>
      </c>
      <c r="AH89" s="3">
        <v>0.54300000000000004</v>
      </c>
      <c r="AI89" s="3">
        <v>0.48</v>
      </c>
      <c r="AJ89" s="3">
        <v>0.373</v>
      </c>
      <c r="AK89" s="3">
        <v>0.33400000000000002</v>
      </c>
      <c r="AL89" s="3">
        <v>0.627</v>
      </c>
      <c r="AM89" s="3">
        <v>0.499</v>
      </c>
      <c r="AN89" s="3">
        <v>0.248</v>
      </c>
      <c r="AO89" s="3">
        <v>9.7000000000000003E-2</v>
      </c>
      <c r="AP89" s="3">
        <v>0.248</v>
      </c>
      <c r="AQ89" s="3">
        <v>0.439</v>
      </c>
      <c r="AR89" s="3">
        <v>0.28999999999999998</v>
      </c>
      <c r="AS89" s="3">
        <v>0.312</v>
      </c>
      <c r="AT89" s="3">
        <v>0.35599999999999998</v>
      </c>
      <c r="AU89" s="3">
        <v>0.313</v>
      </c>
      <c r="AV89" s="3">
        <v>0.23</v>
      </c>
      <c r="AW89" s="3">
        <v>0.32600000000000001</v>
      </c>
      <c r="AX89" s="3">
        <v>0.27700000000000002</v>
      </c>
      <c r="AY89" s="3">
        <v>0.47799999999999998</v>
      </c>
      <c r="AZ89" s="3">
        <v>0.16500000000000001</v>
      </c>
      <c r="BA89" s="3">
        <v>0.46500000000000002</v>
      </c>
      <c r="BB89" s="3">
        <v>0.17299999999999999</v>
      </c>
      <c r="BC89" s="3">
        <v>0.83350000000000002</v>
      </c>
      <c r="BD89" s="3">
        <v>0.79300000000000004</v>
      </c>
      <c r="BE89" s="3">
        <v>0.84850000000000003</v>
      </c>
      <c r="BF89" s="3">
        <v>0.93533333299999999</v>
      </c>
      <c r="BG89" s="3">
        <v>0.77991666699999995</v>
      </c>
      <c r="BH89" s="3">
        <v>0.91600000000000004</v>
      </c>
      <c r="BI89" s="3">
        <v>0.83099999999999996</v>
      </c>
      <c r="BJ89" s="3">
        <v>0.72633333300000003</v>
      </c>
      <c r="BK89" s="3">
        <v>0.82499999999999996</v>
      </c>
      <c r="BL89" s="3">
        <v>0.81499999999999995</v>
      </c>
      <c r="BM89" s="3">
        <v>0.01</v>
      </c>
      <c r="BN89" s="3">
        <v>0.76300000000000001</v>
      </c>
      <c r="BO89" s="3">
        <v>0.86199999999999999</v>
      </c>
      <c r="BP89" s="48" t="s">
        <v>317</v>
      </c>
      <c r="BQ89" s="49" t="s">
        <v>343</v>
      </c>
      <c r="BR89" s="3">
        <v>19.023</v>
      </c>
      <c r="BS89" s="3">
        <v>18.75</v>
      </c>
      <c r="BT89" s="3">
        <v>17.327000000000002</v>
      </c>
      <c r="BU89" s="3">
        <v>16.178999999999998</v>
      </c>
      <c r="BV89" s="3">
        <v>20.221</v>
      </c>
      <c r="BW89" s="3">
        <v>15.852</v>
      </c>
      <c r="BX89" s="3">
        <v>14.746</v>
      </c>
      <c r="BY89" s="3">
        <v>18.843</v>
      </c>
      <c r="BZ89" s="3">
        <v>19.137</v>
      </c>
      <c r="CA89" s="3">
        <v>18.003</v>
      </c>
      <c r="CB89" s="3">
        <v>18.538</v>
      </c>
      <c r="CC89" s="3">
        <v>17.13</v>
      </c>
      <c r="CD89" s="3">
        <v>15.763999999999999</v>
      </c>
    </row>
    <row r="90" spans="1:82" x14ac:dyDescent="0.3">
      <c r="A90" s="48" t="s">
        <v>317</v>
      </c>
      <c r="B90" s="49" t="s">
        <v>344</v>
      </c>
      <c r="C90" s="3">
        <v>40.836794670000003</v>
      </c>
      <c r="D90" s="3">
        <v>31.1028518</v>
      </c>
      <c r="E90" s="3">
        <v>31.1028518</v>
      </c>
      <c r="F90" s="3">
        <v>26.887156829999999</v>
      </c>
      <c r="G90" s="3">
        <v>31.1028518</v>
      </c>
      <c r="H90" s="3">
        <v>31.1028518</v>
      </c>
      <c r="I90" s="48" t="s">
        <v>317</v>
      </c>
      <c r="J90" s="49" t="s">
        <v>344</v>
      </c>
      <c r="K90" s="3">
        <v>30236.5</v>
      </c>
      <c r="L90" s="48" t="s">
        <v>317</v>
      </c>
      <c r="M90" s="49" t="s">
        <v>344</v>
      </c>
      <c r="N90" s="3">
        <v>955.35163899999998</v>
      </c>
      <c r="O90" s="3">
        <v>1412.2326049999999</v>
      </c>
      <c r="P90" s="3">
        <v>1012.769576</v>
      </c>
      <c r="Q90" s="3">
        <v>1255.7639489999999</v>
      </c>
      <c r="R90" s="3">
        <v>1626.2313979999999</v>
      </c>
      <c r="S90" s="3">
        <v>1830.1584499999999</v>
      </c>
      <c r="T90" s="3">
        <v>1979.4784139999999</v>
      </c>
      <c r="U90" s="3">
        <v>1301.297761</v>
      </c>
      <c r="V90" s="3">
        <v>916.96961720000002</v>
      </c>
      <c r="W90" s="3">
        <v>843.05456630000003</v>
      </c>
      <c r="X90" s="3">
        <v>934.95195850000005</v>
      </c>
      <c r="Y90" s="3">
        <v>178.7529749</v>
      </c>
      <c r="Z90" s="3">
        <v>1029.419517</v>
      </c>
      <c r="AA90" s="48" t="s">
        <v>317</v>
      </c>
      <c r="AB90" s="49" t="s">
        <v>344</v>
      </c>
      <c r="AC90" s="3">
        <v>0.23499999999999999</v>
      </c>
      <c r="AD90" s="3">
        <v>0.38400000000000001</v>
      </c>
      <c r="AE90" s="3">
        <v>0.35199999999999998</v>
      </c>
      <c r="AF90" s="3">
        <v>0.41</v>
      </c>
      <c r="AG90" s="3">
        <v>0.36799999999999999</v>
      </c>
      <c r="AH90" s="3">
        <v>0.497</v>
      </c>
      <c r="AI90" s="3">
        <v>0.27300000000000002</v>
      </c>
      <c r="AJ90" s="3">
        <v>0.309</v>
      </c>
      <c r="AK90" s="3">
        <v>0.24199999999999999</v>
      </c>
      <c r="AL90" s="3">
        <v>0.69</v>
      </c>
      <c r="AM90" s="3">
        <v>0.35399999999999998</v>
      </c>
      <c r="AN90" s="3">
        <v>0.22700000000000001</v>
      </c>
      <c r="AO90" s="3">
        <v>0.1</v>
      </c>
      <c r="AP90" s="3">
        <v>0.22700000000000001</v>
      </c>
      <c r="AQ90" s="3">
        <v>0.24199999999999999</v>
      </c>
      <c r="AR90" s="3">
        <v>0.23499999999999999</v>
      </c>
      <c r="AS90" s="3">
        <v>0.23699999999999999</v>
      </c>
      <c r="AT90" s="3">
        <v>0.28100000000000003</v>
      </c>
      <c r="AU90" s="3">
        <v>0.23899999999999999</v>
      </c>
      <c r="AV90" s="3">
        <v>0.20200000000000001</v>
      </c>
      <c r="AW90" s="3">
        <v>0.318</v>
      </c>
      <c r="AX90" s="3">
        <v>0.23799999999999999</v>
      </c>
      <c r="AY90" s="3">
        <v>0.36199999999999999</v>
      </c>
      <c r="AZ90" s="3">
        <v>0.112</v>
      </c>
      <c r="BA90" s="3">
        <v>0.36199999999999999</v>
      </c>
      <c r="BB90" s="3">
        <v>0.129</v>
      </c>
      <c r="BC90" s="3">
        <v>0.82499999999999996</v>
      </c>
      <c r="BD90" s="3">
        <v>0.79</v>
      </c>
      <c r="BE90" s="3">
        <v>0.86299999999999999</v>
      </c>
      <c r="BF90" s="3">
        <v>0.93533333299999999</v>
      </c>
      <c r="BG90" s="3">
        <v>0.78166666699999998</v>
      </c>
      <c r="BH90" s="3">
        <v>0.91300000000000003</v>
      </c>
      <c r="BI90" s="3">
        <v>0.83799999999999997</v>
      </c>
      <c r="BJ90" s="3">
        <v>0.73833333300000004</v>
      </c>
      <c r="BK90" s="3">
        <v>0.83299999999999996</v>
      </c>
      <c r="BL90" s="3">
        <v>0.79900000000000004</v>
      </c>
      <c r="BM90" s="3">
        <v>0.01</v>
      </c>
      <c r="BN90" s="3">
        <v>0.73833333300000004</v>
      </c>
      <c r="BO90" s="3">
        <v>0.85699999999999998</v>
      </c>
      <c r="BP90" s="48" t="s">
        <v>317</v>
      </c>
      <c r="BQ90" s="49" t="s">
        <v>344</v>
      </c>
      <c r="BR90" s="3">
        <v>17.934000000000001</v>
      </c>
      <c r="BS90" s="3">
        <v>17.808</v>
      </c>
      <c r="BT90" s="3">
        <v>16.382999999999999</v>
      </c>
      <c r="BU90" s="3">
        <v>15.512</v>
      </c>
      <c r="BV90" s="3">
        <v>19.326000000000001</v>
      </c>
      <c r="BW90" s="3">
        <v>15.904999999999999</v>
      </c>
      <c r="BX90" s="3">
        <v>14.544</v>
      </c>
      <c r="BY90" s="3">
        <v>18.541</v>
      </c>
      <c r="BZ90" s="3">
        <v>18.678999999999998</v>
      </c>
      <c r="CA90" s="3">
        <v>17.504000000000001</v>
      </c>
      <c r="CB90" s="3">
        <v>18.352</v>
      </c>
      <c r="CC90" s="3">
        <v>16.849</v>
      </c>
      <c r="CD90" s="3">
        <v>15.971</v>
      </c>
    </row>
    <row r="91" spans="1:82" x14ac:dyDescent="0.3">
      <c r="A91" s="48" t="s">
        <v>317</v>
      </c>
      <c r="B91" s="49" t="s">
        <v>345</v>
      </c>
      <c r="C91" s="3">
        <v>45.967797099999999</v>
      </c>
      <c r="D91" s="3">
        <v>37.307580299999998</v>
      </c>
      <c r="E91" s="3">
        <v>37.307580299999998</v>
      </c>
      <c r="F91" s="3">
        <v>26.904758900000001</v>
      </c>
      <c r="G91" s="3">
        <v>37.307580299999998</v>
      </c>
      <c r="H91" s="3">
        <v>37.307580299999998</v>
      </c>
      <c r="I91" s="48" t="s">
        <v>317</v>
      </c>
      <c r="J91" s="49" t="s">
        <v>345</v>
      </c>
      <c r="K91" s="3">
        <v>32604.5</v>
      </c>
      <c r="L91" s="48" t="s">
        <v>317</v>
      </c>
      <c r="M91" s="49" t="s">
        <v>345</v>
      </c>
      <c r="N91" s="3">
        <v>1096.9658890000001</v>
      </c>
      <c r="O91" s="3">
        <v>1518.5546220000001</v>
      </c>
      <c r="P91" s="3">
        <v>1521.229881</v>
      </c>
      <c r="Q91" s="3">
        <v>1559.9109840000001</v>
      </c>
      <c r="R91" s="3">
        <v>1721.9887309999999</v>
      </c>
      <c r="S91" s="3">
        <v>2098.693385</v>
      </c>
      <c r="T91" s="3">
        <v>2156.3544459999998</v>
      </c>
      <c r="U91" s="3">
        <v>1437.5033370000001</v>
      </c>
      <c r="V91" s="3">
        <v>1079.7910489999999</v>
      </c>
      <c r="W91" s="3">
        <v>1480.5453259999999</v>
      </c>
      <c r="X91" s="3">
        <v>909.37510759999998</v>
      </c>
      <c r="Y91" s="3">
        <v>300.04513559999998</v>
      </c>
      <c r="Z91" s="3">
        <v>1715.032915</v>
      </c>
      <c r="AA91" s="48" t="s">
        <v>317</v>
      </c>
      <c r="AB91" s="49" t="s">
        <v>345</v>
      </c>
      <c r="AC91" s="3">
        <v>0.11700000000000001</v>
      </c>
      <c r="AD91" s="3">
        <v>0.34499999999999997</v>
      </c>
      <c r="AE91" s="3">
        <v>0.185</v>
      </c>
      <c r="AF91" s="3">
        <v>0.42399999999999999</v>
      </c>
      <c r="AG91" s="3">
        <v>0.189</v>
      </c>
      <c r="AH91" s="3">
        <v>0.47</v>
      </c>
      <c r="AI91" s="3">
        <v>0.11700000000000001</v>
      </c>
      <c r="AJ91" s="3">
        <v>0.23899999999999999</v>
      </c>
      <c r="AK91" s="3">
        <v>0.11</v>
      </c>
      <c r="AL91" s="3">
        <v>0.73099999999999998</v>
      </c>
      <c r="AM91" s="3">
        <v>0.13</v>
      </c>
      <c r="AN91" s="3">
        <v>0.222</v>
      </c>
      <c r="AO91" s="3">
        <v>7.8E-2</v>
      </c>
      <c r="AP91" s="3">
        <v>0.222</v>
      </c>
      <c r="AQ91" s="3">
        <v>0.105</v>
      </c>
      <c r="AR91" s="3">
        <v>0.215</v>
      </c>
      <c r="AS91" s="3">
        <v>0.123</v>
      </c>
      <c r="AT91" s="3">
        <v>0.20300000000000001</v>
      </c>
      <c r="AU91" s="3">
        <v>0.125</v>
      </c>
      <c r="AV91" s="3">
        <v>0.16200000000000001</v>
      </c>
      <c r="AW91" s="3">
        <v>0.19500000000000001</v>
      </c>
      <c r="AX91" s="3">
        <v>0.23599999999999999</v>
      </c>
      <c r="AY91" s="3">
        <v>0.191</v>
      </c>
      <c r="AZ91" s="3">
        <v>7.8E-2</v>
      </c>
      <c r="BA91" s="3">
        <v>0.20200000000000001</v>
      </c>
      <c r="BB91" s="3">
        <v>0.104</v>
      </c>
      <c r="BC91" s="3">
        <v>0.78900000000000003</v>
      </c>
      <c r="BD91" s="3">
        <v>0.76300000000000001</v>
      </c>
      <c r="BE91" s="3">
        <v>0.85499999999999998</v>
      </c>
      <c r="BF91" s="3">
        <v>0.92433333299999998</v>
      </c>
      <c r="BG91" s="3">
        <v>0.76483333399999998</v>
      </c>
      <c r="BH91" s="3">
        <v>0.88600000000000001</v>
      </c>
      <c r="BI91" s="3">
        <v>0.84399999999999997</v>
      </c>
      <c r="BJ91" s="3">
        <v>0.74066666699999995</v>
      </c>
      <c r="BK91" s="3">
        <v>0.8175</v>
      </c>
      <c r="BL91" s="3">
        <v>0.77033333299999995</v>
      </c>
      <c r="BM91" s="3">
        <v>0.01</v>
      </c>
      <c r="BN91" s="3">
        <v>0.699333333</v>
      </c>
      <c r="BO91" s="3">
        <v>0.82899999999999996</v>
      </c>
      <c r="BP91" s="48" t="s">
        <v>317</v>
      </c>
      <c r="BQ91" s="49" t="s">
        <v>345</v>
      </c>
      <c r="BR91" s="3">
        <v>16.568000000000001</v>
      </c>
      <c r="BS91" s="3">
        <v>16.687999999999999</v>
      </c>
      <c r="BT91" s="3">
        <v>15.403</v>
      </c>
      <c r="BU91" s="3">
        <v>14.789</v>
      </c>
      <c r="BV91" s="3">
        <v>18.055</v>
      </c>
      <c r="BW91" s="3">
        <v>15.978</v>
      </c>
      <c r="BX91" s="3">
        <v>14.241</v>
      </c>
      <c r="BY91" s="3">
        <v>17.933</v>
      </c>
      <c r="BZ91" s="3">
        <v>17.966999999999999</v>
      </c>
      <c r="CA91" s="3">
        <v>16.792000000000002</v>
      </c>
      <c r="CB91" s="3">
        <v>17.332999999999998</v>
      </c>
      <c r="CC91" s="3">
        <v>16.274999999999999</v>
      </c>
      <c r="CD91" s="3">
        <v>15.544</v>
      </c>
    </row>
    <row r="92" spans="1:82" x14ac:dyDescent="0.3">
      <c r="A92" s="48" t="s">
        <v>317</v>
      </c>
      <c r="B92" s="49" t="s">
        <v>346</v>
      </c>
      <c r="C92" s="3">
        <v>82.465682330000007</v>
      </c>
      <c r="D92" s="3">
        <v>41.312050470000003</v>
      </c>
      <c r="E92" s="3">
        <v>41.312050470000003</v>
      </c>
      <c r="F92" s="3">
        <v>26.931162</v>
      </c>
      <c r="G92" s="3">
        <v>41.312050470000003</v>
      </c>
      <c r="H92" s="3">
        <v>41.312050470000003</v>
      </c>
      <c r="I92" s="48" t="s">
        <v>317</v>
      </c>
      <c r="J92" s="49" t="s">
        <v>346</v>
      </c>
      <c r="K92" s="3">
        <v>33860</v>
      </c>
      <c r="L92" s="48" t="s">
        <v>317</v>
      </c>
      <c r="M92" s="49" t="s">
        <v>346</v>
      </c>
      <c r="N92" s="3">
        <v>1817.673929</v>
      </c>
      <c r="O92" s="3">
        <v>2209.7526029999999</v>
      </c>
      <c r="P92" s="3">
        <v>1960.9775059999999</v>
      </c>
      <c r="Q92" s="3">
        <v>1836.889232</v>
      </c>
      <c r="R92" s="3">
        <v>2172.126393</v>
      </c>
      <c r="S92" s="3">
        <v>3087.5860459999999</v>
      </c>
      <c r="T92" s="3">
        <v>3088.8724109999998</v>
      </c>
      <c r="U92" s="3">
        <v>2312.6974489999998</v>
      </c>
      <c r="V92" s="3">
        <v>1826.735013</v>
      </c>
      <c r="W92" s="3">
        <v>1918.9570719999999</v>
      </c>
      <c r="X92" s="3">
        <v>1648.175473</v>
      </c>
      <c r="Y92" s="3">
        <v>373.19054089999997</v>
      </c>
      <c r="Z92" s="3">
        <v>2238.2658889999998</v>
      </c>
      <c r="AA92" s="48" t="s">
        <v>317</v>
      </c>
      <c r="AB92" s="49" t="s">
        <v>346</v>
      </c>
      <c r="AC92" s="3">
        <v>2.1999999999999999E-2</v>
      </c>
      <c r="AD92" s="3">
        <v>0.38300000000000001</v>
      </c>
      <c r="AE92" s="3">
        <v>3.9E-2</v>
      </c>
      <c r="AF92" s="3">
        <v>0.47599999999999998</v>
      </c>
      <c r="AG92" s="3">
        <v>3.5999999999999997E-2</v>
      </c>
      <c r="AH92" s="3">
        <v>0.505</v>
      </c>
      <c r="AI92" s="3">
        <v>3.2000000000000001E-2</v>
      </c>
      <c r="AJ92" s="3">
        <v>0.25700000000000001</v>
      </c>
      <c r="AK92" s="3">
        <v>2.7E-2</v>
      </c>
      <c r="AL92" s="3">
        <v>0.73599999999999999</v>
      </c>
      <c r="AM92" s="3">
        <v>4.1000000000000002E-2</v>
      </c>
      <c r="AN92" s="3">
        <v>0.23100000000000001</v>
      </c>
      <c r="AO92" s="3">
        <v>3.6999999999999998E-2</v>
      </c>
      <c r="AP92" s="3">
        <v>0.23100000000000001</v>
      </c>
      <c r="AQ92" s="3">
        <v>0.02</v>
      </c>
      <c r="AR92" s="3">
        <v>0.27900000000000003</v>
      </c>
      <c r="AS92" s="3">
        <v>3.1E-2</v>
      </c>
      <c r="AT92" s="3">
        <v>0.19700000000000001</v>
      </c>
      <c r="AU92" s="3">
        <v>3.1E-2</v>
      </c>
      <c r="AV92" s="3">
        <v>0.154</v>
      </c>
      <c r="AW92" s="3">
        <v>4.7E-2</v>
      </c>
      <c r="AX92" s="3">
        <v>0.25600000000000001</v>
      </c>
      <c r="AY92" s="3">
        <v>4.7E-2</v>
      </c>
      <c r="AZ92" s="3">
        <v>0.06</v>
      </c>
      <c r="BA92" s="3">
        <v>5.7000000000000002E-2</v>
      </c>
      <c r="BB92" s="3">
        <v>8.2000000000000003E-2</v>
      </c>
      <c r="BC92" s="3">
        <v>0.76249999999999996</v>
      </c>
      <c r="BD92" s="3">
        <v>0.73899999999999999</v>
      </c>
      <c r="BE92" s="3">
        <v>0.82050000000000001</v>
      </c>
      <c r="BF92" s="3">
        <v>0.91133333299999997</v>
      </c>
      <c r="BG92" s="3">
        <v>0.74941666699999998</v>
      </c>
      <c r="BH92" s="3">
        <v>0.86699999999999999</v>
      </c>
      <c r="BI92" s="3">
        <v>0.85</v>
      </c>
      <c r="BJ92" s="3">
        <v>0.73633333300000003</v>
      </c>
      <c r="BK92" s="3">
        <v>0.8095</v>
      </c>
      <c r="BL92" s="3">
        <v>0.74166666699999995</v>
      </c>
      <c r="BM92" s="3">
        <v>0.01</v>
      </c>
      <c r="BN92" s="3">
        <v>0.67433333299999998</v>
      </c>
      <c r="BO92" s="3">
        <v>0.78500000000000003</v>
      </c>
      <c r="BP92" s="48" t="s">
        <v>317</v>
      </c>
      <c r="BQ92" s="49" t="s">
        <v>346</v>
      </c>
      <c r="BR92" s="3">
        <v>15.146000000000001</v>
      </c>
      <c r="BS92" s="3">
        <v>15.500999999999999</v>
      </c>
      <c r="BT92" s="3">
        <v>14.478999999999999</v>
      </c>
      <c r="BU92" s="3">
        <v>13.923</v>
      </c>
      <c r="BV92" s="3">
        <v>16.334</v>
      </c>
      <c r="BW92" s="3">
        <v>16.047000000000001</v>
      </c>
      <c r="BX92" s="3">
        <v>13.484</v>
      </c>
      <c r="BY92" s="3">
        <v>17.113</v>
      </c>
      <c r="BZ92" s="3">
        <v>16.812999999999999</v>
      </c>
      <c r="CA92" s="3">
        <v>15.605</v>
      </c>
      <c r="CB92" s="3">
        <v>15.922000000000001</v>
      </c>
      <c r="CC92" s="3">
        <v>15.449</v>
      </c>
      <c r="CD92" s="3">
        <v>14.62</v>
      </c>
    </row>
    <row r="93" spans="1:82" x14ac:dyDescent="0.3">
      <c r="A93" s="48" t="s">
        <v>317</v>
      </c>
      <c r="B93" s="49" t="s">
        <v>347</v>
      </c>
      <c r="C93" s="3">
        <v>70.584287329999995</v>
      </c>
      <c r="D93" s="3">
        <v>41.611285600000002</v>
      </c>
      <c r="E93" s="3">
        <v>46.029404329999998</v>
      </c>
      <c r="F93" s="3">
        <v>26.966366130000001</v>
      </c>
      <c r="G93" s="3">
        <v>39.595848969999999</v>
      </c>
      <c r="H93" s="3">
        <v>43.714732570000002</v>
      </c>
      <c r="I93" s="48" t="s">
        <v>317</v>
      </c>
      <c r="J93" s="49" t="s">
        <v>347</v>
      </c>
      <c r="K93" s="3">
        <v>34857</v>
      </c>
      <c r="L93" s="48" t="s">
        <v>317</v>
      </c>
      <c r="M93" s="49" t="s">
        <v>347</v>
      </c>
      <c r="N93" s="3">
        <v>2264.488167</v>
      </c>
      <c r="O93" s="3">
        <v>2938.2762039999998</v>
      </c>
      <c r="P93" s="3">
        <v>2183.2709589999999</v>
      </c>
      <c r="Q93" s="3">
        <v>2229.9373350000001</v>
      </c>
      <c r="R93" s="3">
        <v>2670.27871</v>
      </c>
      <c r="S93" s="3">
        <v>4045.9696309999999</v>
      </c>
      <c r="T93" s="3">
        <v>3489.1669849999998</v>
      </c>
      <c r="U93" s="3">
        <v>2965.3241109999999</v>
      </c>
      <c r="V93" s="3">
        <v>2138.9729219999999</v>
      </c>
      <c r="W93" s="3">
        <v>2009.185438</v>
      </c>
      <c r="X93" s="3">
        <v>2180.4996059999999</v>
      </c>
      <c r="Y93" s="3">
        <v>420.98232789999997</v>
      </c>
      <c r="Z93" s="3">
        <v>2389.593273</v>
      </c>
      <c r="AA93" s="48" t="s">
        <v>317</v>
      </c>
      <c r="AB93" s="49" t="s">
        <v>347</v>
      </c>
      <c r="AC93" s="3">
        <v>0</v>
      </c>
      <c r="AD93" s="3">
        <v>0.439</v>
      </c>
      <c r="AE93" s="3">
        <v>0</v>
      </c>
      <c r="AF93" s="3">
        <v>0.497</v>
      </c>
      <c r="AG93" s="3">
        <v>0</v>
      </c>
      <c r="AH93" s="3">
        <v>0.52400000000000002</v>
      </c>
      <c r="AI93" s="3">
        <v>0</v>
      </c>
      <c r="AJ93" s="3">
        <v>0.3</v>
      </c>
      <c r="AK93" s="3">
        <v>0</v>
      </c>
      <c r="AL93" s="3">
        <v>0.73299999999999998</v>
      </c>
      <c r="AM93" s="3">
        <v>0</v>
      </c>
      <c r="AN93" s="3">
        <v>0.24</v>
      </c>
      <c r="AO93" s="3">
        <v>0</v>
      </c>
      <c r="AP93" s="3">
        <v>0.24</v>
      </c>
      <c r="AQ93" s="3">
        <v>0</v>
      </c>
      <c r="AR93" s="3">
        <v>0.376</v>
      </c>
      <c r="AS93" s="3">
        <v>0</v>
      </c>
      <c r="AT93" s="3">
        <v>0.24299999999999999</v>
      </c>
      <c r="AU93" s="3">
        <v>0</v>
      </c>
      <c r="AV93" s="3">
        <v>0.14199999999999999</v>
      </c>
      <c r="AW93" s="3">
        <v>0</v>
      </c>
      <c r="AX93" s="3">
        <v>0.28100000000000003</v>
      </c>
      <c r="AY93" s="3">
        <v>0</v>
      </c>
      <c r="AZ93" s="3">
        <v>4.8000000000000001E-2</v>
      </c>
      <c r="BA93" s="3">
        <v>0</v>
      </c>
      <c r="BB93" s="3">
        <v>4.5999999999999999E-2</v>
      </c>
      <c r="BC93" s="3">
        <v>0.76500000000000001</v>
      </c>
      <c r="BD93" s="3">
        <v>0.72750000000000004</v>
      </c>
      <c r="BE93" s="3">
        <v>0.79800000000000004</v>
      </c>
      <c r="BF93" s="3">
        <v>0.90800000000000003</v>
      </c>
      <c r="BG93" s="3">
        <v>0.75349999999999995</v>
      </c>
      <c r="BH93" s="3">
        <v>0.87</v>
      </c>
      <c r="BI93" s="3">
        <v>0.85099999999999998</v>
      </c>
      <c r="BJ93" s="3">
        <v>0.74199999999999999</v>
      </c>
      <c r="BK93" s="3">
        <v>0.8105</v>
      </c>
      <c r="BL93" s="3">
        <v>0.73299999999999998</v>
      </c>
      <c r="BM93" s="3">
        <v>0.01</v>
      </c>
      <c r="BN93" s="3">
        <v>0.681666667</v>
      </c>
      <c r="BO93" s="3">
        <v>0.77500000000000002</v>
      </c>
      <c r="BP93" s="48" t="s">
        <v>317</v>
      </c>
      <c r="BQ93" s="49" t="s">
        <v>347</v>
      </c>
      <c r="BR93" s="3">
        <v>14.301</v>
      </c>
      <c r="BS93" s="3">
        <v>14.686</v>
      </c>
      <c r="BT93" s="3">
        <v>13.862</v>
      </c>
      <c r="BU93" s="3">
        <v>13.195</v>
      </c>
      <c r="BV93" s="3">
        <v>15.359</v>
      </c>
      <c r="BW93" s="3">
        <v>16.116</v>
      </c>
      <c r="BX93" s="3">
        <v>12.763</v>
      </c>
      <c r="BY93" s="3">
        <v>16.751999999999999</v>
      </c>
      <c r="BZ93" s="3">
        <v>16.187000000000001</v>
      </c>
      <c r="CA93" s="3">
        <v>14.678000000000001</v>
      </c>
      <c r="CB93" s="3">
        <v>15.061</v>
      </c>
      <c r="CC93" s="3">
        <v>14.509</v>
      </c>
      <c r="CD93" s="3">
        <v>14.263</v>
      </c>
    </row>
    <row r="94" spans="1:82" x14ac:dyDescent="0.3">
      <c r="A94" s="48" t="s">
        <v>317</v>
      </c>
      <c r="B94" s="49" t="s">
        <v>348</v>
      </c>
      <c r="C94" s="3">
        <v>62.469734600000002</v>
      </c>
      <c r="D94" s="3">
        <v>38.302097070000002</v>
      </c>
      <c r="E94" s="3">
        <v>41.452866999999998</v>
      </c>
      <c r="F94" s="3">
        <v>26.9575651</v>
      </c>
      <c r="G94" s="3">
        <v>32.405404730000001</v>
      </c>
      <c r="H94" s="3">
        <v>39.42862933</v>
      </c>
      <c r="I94" s="48" t="s">
        <v>317</v>
      </c>
      <c r="J94" s="49" t="s">
        <v>348</v>
      </c>
      <c r="K94" s="3">
        <v>33370.5</v>
      </c>
      <c r="L94" s="48" t="s">
        <v>317</v>
      </c>
      <c r="M94" s="49" t="s">
        <v>348</v>
      </c>
      <c r="N94" s="3">
        <v>2417.03557</v>
      </c>
      <c r="O94" s="3">
        <v>3275.1295100000002</v>
      </c>
      <c r="P94" s="3">
        <v>2162.3338629999998</v>
      </c>
      <c r="Q94" s="3">
        <v>2057.7341970000002</v>
      </c>
      <c r="R94" s="3">
        <v>3099.7081079999998</v>
      </c>
      <c r="S94" s="3">
        <v>4352.5157060000001</v>
      </c>
      <c r="T94" s="3">
        <v>3540.4278559999998</v>
      </c>
      <c r="U94" s="3">
        <v>3177.7539280000001</v>
      </c>
      <c r="V94" s="3">
        <v>2256.4578029999998</v>
      </c>
      <c r="W94" s="3">
        <v>1883.7216410000001</v>
      </c>
      <c r="X94" s="3">
        <v>2476.6626449999999</v>
      </c>
      <c r="Y94" s="3">
        <v>474.24689139999998</v>
      </c>
      <c r="Z94" s="3">
        <v>2508.339868</v>
      </c>
      <c r="AA94" s="48" t="s">
        <v>317</v>
      </c>
      <c r="AB94" s="49" t="s">
        <v>348</v>
      </c>
      <c r="AC94" s="3">
        <v>0</v>
      </c>
      <c r="AD94" s="3">
        <v>0.442</v>
      </c>
      <c r="AE94" s="3">
        <v>0</v>
      </c>
      <c r="AF94" s="3">
        <v>0.45600000000000002</v>
      </c>
      <c r="AG94" s="3">
        <v>0</v>
      </c>
      <c r="AH94" s="3">
        <v>0.51200000000000001</v>
      </c>
      <c r="AI94" s="3">
        <v>0</v>
      </c>
      <c r="AJ94" s="3">
        <v>0.311</v>
      </c>
      <c r="AK94" s="3">
        <v>0</v>
      </c>
      <c r="AL94" s="3">
        <v>0.75800000000000001</v>
      </c>
      <c r="AM94" s="3">
        <v>0</v>
      </c>
      <c r="AN94" s="3">
        <v>0.23300000000000001</v>
      </c>
      <c r="AO94" s="3">
        <v>0</v>
      </c>
      <c r="AP94" s="3">
        <v>0.23300000000000001</v>
      </c>
      <c r="AQ94" s="3">
        <v>0</v>
      </c>
      <c r="AR94" s="3">
        <v>0.44800000000000001</v>
      </c>
      <c r="AS94" s="3">
        <v>0</v>
      </c>
      <c r="AT94" s="3">
        <v>0.27900000000000003</v>
      </c>
      <c r="AU94" s="3">
        <v>0</v>
      </c>
      <c r="AV94" s="3">
        <v>0.107</v>
      </c>
      <c r="AW94" s="3">
        <v>0</v>
      </c>
      <c r="AX94" s="3">
        <v>0.28499999999999998</v>
      </c>
      <c r="AY94" s="3">
        <v>0</v>
      </c>
      <c r="AZ94" s="3">
        <v>4.2999999999999997E-2</v>
      </c>
      <c r="BA94" s="3">
        <v>0</v>
      </c>
      <c r="BB94" s="3">
        <v>2.4E-2</v>
      </c>
      <c r="BC94" s="3">
        <v>0.75800000000000001</v>
      </c>
      <c r="BD94" s="3">
        <v>0.7</v>
      </c>
      <c r="BE94" s="3">
        <v>0.77800000000000002</v>
      </c>
      <c r="BF94" s="3">
        <v>0.89633333299999995</v>
      </c>
      <c r="BG94" s="3">
        <v>0.74483333399999996</v>
      </c>
      <c r="BH94" s="3">
        <v>0.86099999999999999</v>
      </c>
      <c r="BI94" s="3">
        <v>0.86550000000000005</v>
      </c>
      <c r="BJ94" s="3">
        <v>0.73166666700000005</v>
      </c>
      <c r="BK94" s="3">
        <v>0.79100000000000004</v>
      </c>
      <c r="BL94" s="3">
        <v>0.73366666700000005</v>
      </c>
      <c r="BM94" s="3">
        <v>0.01</v>
      </c>
      <c r="BN94" s="3">
        <v>0.68966666700000001</v>
      </c>
      <c r="BO94" s="3">
        <v>0.76200000000000001</v>
      </c>
      <c r="BP94" s="48" t="s">
        <v>317</v>
      </c>
      <c r="BQ94" s="49" t="s">
        <v>348</v>
      </c>
      <c r="BR94" s="3">
        <v>13.997999999999999</v>
      </c>
      <c r="BS94" s="3">
        <v>14.201000000000001</v>
      </c>
      <c r="BT94" s="3">
        <v>13.582000000000001</v>
      </c>
      <c r="BU94" s="3">
        <v>12.831</v>
      </c>
      <c r="BV94" s="3">
        <v>15.103999999999999</v>
      </c>
      <c r="BW94" s="3">
        <v>16.16</v>
      </c>
      <c r="BX94" s="3">
        <v>12.489000000000001</v>
      </c>
      <c r="BY94" s="3">
        <v>16.673999999999999</v>
      </c>
      <c r="BZ94" s="3">
        <v>16.091000000000001</v>
      </c>
      <c r="CA94" s="3">
        <v>14.337</v>
      </c>
      <c r="CB94" s="3">
        <v>14.656000000000001</v>
      </c>
      <c r="CC94" s="3">
        <v>13.869</v>
      </c>
      <c r="CD94" s="3">
        <v>14.244</v>
      </c>
    </row>
    <row r="95" spans="1:82" x14ac:dyDescent="0.3">
      <c r="A95" s="48" t="s">
        <v>317</v>
      </c>
      <c r="B95" s="49" t="s">
        <v>349</v>
      </c>
      <c r="C95" s="3">
        <v>46.839099400000002</v>
      </c>
      <c r="D95" s="3">
        <v>37.369187529999998</v>
      </c>
      <c r="E95" s="3">
        <v>42.623404430000001</v>
      </c>
      <c r="F95" s="3">
        <v>26.887156829999999</v>
      </c>
      <c r="G95" s="3">
        <v>27.952081870000001</v>
      </c>
      <c r="H95" s="3">
        <v>38.328500169999998</v>
      </c>
      <c r="I95" s="48" t="s">
        <v>317</v>
      </c>
      <c r="J95" s="49" t="s">
        <v>349</v>
      </c>
      <c r="K95" s="3">
        <v>30651</v>
      </c>
      <c r="L95" s="48" t="s">
        <v>317</v>
      </c>
      <c r="M95" s="49" t="s">
        <v>349</v>
      </c>
      <c r="N95" s="3">
        <v>2300.8343450000002</v>
      </c>
      <c r="O95" s="3">
        <v>3249.1928069999999</v>
      </c>
      <c r="P95" s="3">
        <v>1629.0797190000001</v>
      </c>
      <c r="Q95" s="3">
        <v>1575.2817379999999</v>
      </c>
      <c r="R95" s="3">
        <v>3024.9025940000001</v>
      </c>
      <c r="S95" s="3">
        <v>4212.8258969999997</v>
      </c>
      <c r="T95" s="3">
        <v>3315.6174169999999</v>
      </c>
      <c r="U95" s="3">
        <v>2933.5250390000001</v>
      </c>
      <c r="V95" s="3">
        <v>2187.94083</v>
      </c>
      <c r="W95" s="3">
        <v>1357.615256</v>
      </c>
      <c r="X95" s="3">
        <v>2332.7628530000002</v>
      </c>
      <c r="Y95" s="3">
        <v>382.71398790000001</v>
      </c>
      <c r="Z95" s="3">
        <v>1668.9890539999999</v>
      </c>
      <c r="AA95" s="48" t="s">
        <v>317</v>
      </c>
      <c r="AB95" s="49" t="s">
        <v>349</v>
      </c>
      <c r="AC95" s="3">
        <v>0</v>
      </c>
      <c r="AD95" s="3">
        <v>0.443</v>
      </c>
      <c r="AE95" s="3">
        <v>0</v>
      </c>
      <c r="AF95" s="3">
        <v>0.39800000000000002</v>
      </c>
      <c r="AG95" s="3">
        <v>0</v>
      </c>
      <c r="AH95" s="3">
        <v>0.48699999999999999</v>
      </c>
      <c r="AI95" s="3">
        <v>0</v>
      </c>
      <c r="AJ95" s="3">
        <v>0.28699999999999998</v>
      </c>
      <c r="AK95" s="3">
        <v>0</v>
      </c>
      <c r="AL95" s="3">
        <v>0.79100000000000004</v>
      </c>
      <c r="AM95" s="3">
        <v>0</v>
      </c>
      <c r="AN95" s="3">
        <v>0.22500000000000001</v>
      </c>
      <c r="AO95" s="3">
        <v>0</v>
      </c>
      <c r="AP95" s="3">
        <v>0.22500000000000001</v>
      </c>
      <c r="AQ95" s="3">
        <v>0</v>
      </c>
      <c r="AR95" s="3">
        <v>0.442</v>
      </c>
      <c r="AS95" s="3">
        <v>0</v>
      </c>
      <c r="AT95" s="3">
        <v>0.27200000000000002</v>
      </c>
      <c r="AU95" s="3">
        <v>0</v>
      </c>
      <c r="AV95" s="3">
        <v>0.08</v>
      </c>
      <c r="AW95" s="3">
        <v>0</v>
      </c>
      <c r="AX95" s="3">
        <v>0.26100000000000001</v>
      </c>
      <c r="AY95" s="3">
        <v>0</v>
      </c>
      <c r="AZ95" s="3">
        <v>4.2999999999999997E-2</v>
      </c>
      <c r="BA95" s="3">
        <v>0</v>
      </c>
      <c r="BB95" s="3">
        <v>2.3E-2</v>
      </c>
      <c r="BC95" s="3">
        <v>0.73850000000000005</v>
      </c>
      <c r="BD95" s="3">
        <v>0.6845</v>
      </c>
      <c r="BE95" s="3">
        <v>0.76549999999999996</v>
      </c>
      <c r="BF95" s="3">
        <v>0.88833333299999995</v>
      </c>
      <c r="BG95" s="3">
        <v>0.72291666700000001</v>
      </c>
      <c r="BH95" s="3">
        <v>0.85399999999999998</v>
      </c>
      <c r="BI95" s="3">
        <v>0.89049999999999996</v>
      </c>
      <c r="BJ95" s="3">
        <v>0.70733333300000001</v>
      </c>
      <c r="BK95" s="3">
        <v>0.754</v>
      </c>
      <c r="BL95" s="3">
        <v>0.73066666700000005</v>
      </c>
      <c r="BM95" s="3">
        <v>0.01</v>
      </c>
      <c r="BN95" s="3">
        <v>0.68633333299999999</v>
      </c>
      <c r="BO95" s="3">
        <v>0.73699999999999999</v>
      </c>
      <c r="BP95" s="48" t="s">
        <v>317</v>
      </c>
      <c r="BQ95" s="49" t="s">
        <v>349</v>
      </c>
      <c r="BR95" s="3">
        <v>13.93</v>
      </c>
      <c r="BS95" s="3">
        <v>13.829000000000001</v>
      </c>
      <c r="BT95" s="3">
        <v>13.419</v>
      </c>
      <c r="BU95" s="3">
        <v>12.603</v>
      </c>
      <c r="BV95" s="3">
        <v>14.878</v>
      </c>
      <c r="BW95" s="3">
        <v>16.164999999999999</v>
      </c>
      <c r="BX95" s="3">
        <v>12.382</v>
      </c>
      <c r="BY95" s="3">
        <v>16.477</v>
      </c>
      <c r="BZ95" s="3">
        <v>15.901999999999999</v>
      </c>
      <c r="CA95" s="3">
        <v>13.956</v>
      </c>
      <c r="CB95" s="3">
        <v>14.1</v>
      </c>
      <c r="CC95" s="3">
        <v>13.375</v>
      </c>
      <c r="CD95" s="3">
        <v>13.926</v>
      </c>
    </row>
    <row r="96" spans="1:82" x14ac:dyDescent="0.3">
      <c r="A96" s="48" t="s">
        <v>317</v>
      </c>
      <c r="B96" s="49" t="s">
        <v>350</v>
      </c>
      <c r="C96" s="3">
        <v>41.127228770000002</v>
      </c>
      <c r="D96" s="3">
        <v>33.866376270000004</v>
      </c>
      <c r="E96" s="3">
        <v>33.866376270000004</v>
      </c>
      <c r="F96" s="3">
        <v>26.394298970000001</v>
      </c>
      <c r="G96" s="3">
        <v>26.394298970000001</v>
      </c>
      <c r="H96" s="3">
        <v>33.866376270000004</v>
      </c>
      <c r="I96" s="48" t="s">
        <v>317</v>
      </c>
      <c r="J96" s="49" t="s">
        <v>350</v>
      </c>
      <c r="K96" s="3">
        <v>27595</v>
      </c>
      <c r="L96" s="48" t="s">
        <v>317</v>
      </c>
      <c r="M96" s="49" t="s">
        <v>350</v>
      </c>
      <c r="N96" s="3">
        <v>1789.812263</v>
      </c>
      <c r="O96" s="3">
        <v>2416.4741199999999</v>
      </c>
      <c r="P96" s="3">
        <v>1258.4572089999999</v>
      </c>
      <c r="Q96" s="3">
        <v>1196.330485</v>
      </c>
      <c r="R96" s="3">
        <v>2604.5580460000001</v>
      </c>
      <c r="S96" s="3">
        <v>3411.1067429999998</v>
      </c>
      <c r="T96" s="3">
        <v>2754.7301320000001</v>
      </c>
      <c r="U96" s="3">
        <v>2243.6328960000001</v>
      </c>
      <c r="V96" s="3">
        <v>1650.667549</v>
      </c>
      <c r="W96" s="3">
        <v>1018.482534</v>
      </c>
      <c r="X96" s="3">
        <v>1870.4822939999999</v>
      </c>
      <c r="Y96" s="3">
        <v>286.18505370000003</v>
      </c>
      <c r="Z96" s="3">
        <v>1315.6134400000001</v>
      </c>
      <c r="AA96" s="48" t="s">
        <v>317</v>
      </c>
      <c r="AB96" s="49" t="s">
        <v>350</v>
      </c>
      <c r="AC96" s="3">
        <v>0</v>
      </c>
      <c r="AD96" s="3">
        <v>0.439</v>
      </c>
      <c r="AE96" s="3">
        <v>0</v>
      </c>
      <c r="AF96" s="3">
        <v>0.34200000000000003</v>
      </c>
      <c r="AG96" s="3">
        <v>0</v>
      </c>
      <c r="AH96" s="3">
        <v>0.45500000000000002</v>
      </c>
      <c r="AI96" s="3">
        <v>0</v>
      </c>
      <c r="AJ96" s="3">
        <v>0.26</v>
      </c>
      <c r="AK96" s="3">
        <v>0</v>
      </c>
      <c r="AL96" s="3">
        <v>0.80400000000000005</v>
      </c>
      <c r="AM96" s="3">
        <v>0</v>
      </c>
      <c r="AN96" s="3">
        <v>0.223</v>
      </c>
      <c r="AO96" s="3">
        <v>0</v>
      </c>
      <c r="AP96" s="3">
        <v>0.223</v>
      </c>
      <c r="AQ96" s="3">
        <v>0</v>
      </c>
      <c r="AR96" s="3">
        <v>0.39300000000000002</v>
      </c>
      <c r="AS96" s="3">
        <v>0</v>
      </c>
      <c r="AT96" s="3">
        <v>0.25800000000000001</v>
      </c>
      <c r="AU96" s="3">
        <v>0</v>
      </c>
      <c r="AV96" s="3">
        <v>5.3999999999999999E-2</v>
      </c>
      <c r="AW96" s="3">
        <v>0</v>
      </c>
      <c r="AX96" s="3">
        <v>0.247</v>
      </c>
      <c r="AY96" s="3">
        <v>0</v>
      </c>
      <c r="AZ96" s="3">
        <v>4.2999999999999997E-2</v>
      </c>
      <c r="BA96" s="3">
        <v>0</v>
      </c>
      <c r="BB96" s="3">
        <v>3.5999999999999997E-2</v>
      </c>
      <c r="BC96" s="3">
        <v>0.748</v>
      </c>
      <c r="BD96" s="3">
        <v>0.69350000000000001</v>
      </c>
      <c r="BE96" s="3">
        <v>0.77100000000000002</v>
      </c>
      <c r="BF96" s="3">
        <v>0.88300000000000001</v>
      </c>
      <c r="BG96" s="3">
        <v>0.71683333400000004</v>
      </c>
      <c r="BH96" s="3">
        <v>0.86399999999999999</v>
      </c>
      <c r="BI96" s="3">
        <v>0.91100000000000003</v>
      </c>
      <c r="BJ96" s="3">
        <v>0.68566666700000001</v>
      </c>
      <c r="BK96" s="3">
        <v>0.71199999999999997</v>
      </c>
      <c r="BL96" s="3">
        <v>0.69099999999999995</v>
      </c>
      <c r="BM96" s="3">
        <v>0.01</v>
      </c>
      <c r="BN96" s="3">
        <v>0.69133333299999999</v>
      </c>
      <c r="BO96" s="3">
        <v>0.70299999999999996</v>
      </c>
      <c r="BP96" s="48" t="s">
        <v>317</v>
      </c>
      <c r="BQ96" s="49" t="s">
        <v>350</v>
      </c>
      <c r="BR96" s="3">
        <v>13.891999999999999</v>
      </c>
      <c r="BS96" s="3">
        <v>13.571999999999999</v>
      </c>
      <c r="BT96" s="3">
        <v>13.278</v>
      </c>
      <c r="BU96" s="3">
        <v>12.484</v>
      </c>
      <c r="BV96" s="3">
        <v>14.603</v>
      </c>
      <c r="BW96" s="3">
        <v>16.164000000000001</v>
      </c>
      <c r="BX96" s="3">
        <v>12.291</v>
      </c>
      <c r="BY96" s="3">
        <v>16.137</v>
      </c>
      <c r="BZ96" s="3">
        <v>15.597</v>
      </c>
      <c r="CA96" s="3">
        <v>14.013</v>
      </c>
      <c r="CB96" s="3">
        <v>13.522</v>
      </c>
      <c r="CC96" s="3">
        <v>13.084</v>
      </c>
      <c r="CD96" s="3">
        <v>13.343</v>
      </c>
    </row>
    <row r="97" spans="1:82" x14ac:dyDescent="0.3">
      <c r="A97" s="48" t="s">
        <v>317</v>
      </c>
      <c r="B97" s="49" t="s">
        <v>351</v>
      </c>
      <c r="C97" s="3">
        <v>41.796107300000003</v>
      </c>
      <c r="D97" s="3">
        <v>29.27223687</v>
      </c>
      <c r="E97" s="3">
        <v>29.835502999999999</v>
      </c>
      <c r="F97" s="3">
        <v>26.015854529999999</v>
      </c>
      <c r="G97" s="3">
        <v>26.015854529999999</v>
      </c>
      <c r="H97" s="3">
        <v>29.53626787</v>
      </c>
      <c r="I97" s="48" t="s">
        <v>317</v>
      </c>
      <c r="J97" s="49" t="s">
        <v>351</v>
      </c>
      <c r="K97" s="3">
        <v>24269</v>
      </c>
      <c r="L97" s="48" t="s">
        <v>317</v>
      </c>
      <c r="M97" s="49" t="s">
        <v>351</v>
      </c>
      <c r="N97" s="3">
        <v>1371.0124149999999</v>
      </c>
      <c r="O97" s="3">
        <v>1897.795433</v>
      </c>
      <c r="P97" s="3">
        <v>888.82940210000004</v>
      </c>
      <c r="Q97" s="3">
        <v>889.87095810000005</v>
      </c>
      <c r="R97" s="3">
        <v>2109.5811220000001</v>
      </c>
      <c r="S97" s="3">
        <v>2578.7463990000001</v>
      </c>
      <c r="T97" s="3">
        <v>2191.7701499999998</v>
      </c>
      <c r="U97" s="3">
        <v>1716.2168959999999</v>
      </c>
      <c r="V97" s="3">
        <v>1141.725289</v>
      </c>
      <c r="W97" s="3">
        <v>682.39373650000005</v>
      </c>
      <c r="X97" s="3">
        <v>1357.1578059999999</v>
      </c>
      <c r="Y97" s="3">
        <v>219.5461632</v>
      </c>
      <c r="Z97" s="3">
        <v>1011.057563</v>
      </c>
      <c r="AA97" s="48" t="s">
        <v>317</v>
      </c>
      <c r="AB97" s="49" t="s">
        <v>351</v>
      </c>
      <c r="AC97" s="3">
        <v>0</v>
      </c>
      <c r="AD97" s="3">
        <v>0.439</v>
      </c>
      <c r="AE97" s="3">
        <v>0</v>
      </c>
      <c r="AF97" s="3">
        <v>0.312</v>
      </c>
      <c r="AG97" s="3">
        <v>0</v>
      </c>
      <c r="AH97" s="3">
        <v>0.42899999999999999</v>
      </c>
      <c r="AI97" s="3">
        <v>0</v>
      </c>
      <c r="AJ97" s="3">
        <v>0.27</v>
      </c>
      <c r="AK97" s="3">
        <v>0</v>
      </c>
      <c r="AL97" s="3">
        <v>0.80600000000000005</v>
      </c>
      <c r="AM97" s="3">
        <v>0</v>
      </c>
      <c r="AN97" s="3">
        <v>0.22500000000000001</v>
      </c>
      <c r="AO97" s="3">
        <v>0</v>
      </c>
      <c r="AP97" s="3">
        <v>0.22500000000000001</v>
      </c>
      <c r="AQ97" s="3">
        <v>0</v>
      </c>
      <c r="AR97" s="3">
        <v>0.35299999999999998</v>
      </c>
      <c r="AS97" s="3">
        <v>0</v>
      </c>
      <c r="AT97" s="3">
        <v>0.25900000000000001</v>
      </c>
      <c r="AU97" s="3">
        <v>0</v>
      </c>
      <c r="AV97" s="3">
        <v>4.1000000000000002E-2</v>
      </c>
      <c r="AW97" s="3">
        <v>0</v>
      </c>
      <c r="AX97" s="3">
        <v>0.224</v>
      </c>
      <c r="AY97" s="3">
        <v>0</v>
      </c>
      <c r="AZ97" s="3">
        <v>4.5999999999999999E-2</v>
      </c>
      <c r="BA97" s="3">
        <v>0</v>
      </c>
      <c r="BB97" s="3">
        <v>5.0999999999999997E-2</v>
      </c>
      <c r="BC97" s="3">
        <v>0.75549999999999995</v>
      </c>
      <c r="BD97" s="3">
        <v>0.70699999999999996</v>
      </c>
      <c r="BE97" s="3">
        <v>0.78200000000000003</v>
      </c>
      <c r="BF97" s="3">
        <v>0.88333333300000005</v>
      </c>
      <c r="BG97" s="3">
        <v>0.71074999999999999</v>
      </c>
      <c r="BH97" s="3">
        <v>0.872</v>
      </c>
      <c r="BI97" s="3">
        <v>0.91649999999999998</v>
      </c>
      <c r="BJ97" s="3">
        <v>0.66600000000000004</v>
      </c>
      <c r="BK97" s="3">
        <v>0.66600000000000004</v>
      </c>
      <c r="BL97" s="3">
        <v>0.622</v>
      </c>
      <c r="BM97" s="3">
        <v>0.01</v>
      </c>
      <c r="BN97" s="3">
        <v>0.68333333299999999</v>
      </c>
      <c r="BO97" s="3">
        <v>0.66200000000000003</v>
      </c>
      <c r="BP97" s="48" t="s">
        <v>317</v>
      </c>
      <c r="BQ97" s="49" t="s">
        <v>351</v>
      </c>
      <c r="BR97" s="3">
        <v>13.686999999999999</v>
      </c>
      <c r="BS97" s="3">
        <v>13.387</v>
      </c>
      <c r="BT97" s="3">
        <v>13.081</v>
      </c>
      <c r="BU97" s="3">
        <v>12.391</v>
      </c>
      <c r="BV97" s="3">
        <v>14.397</v>
      </c>
      <c r="BW97" s="3">
        <v>16.141999999999999</v>
      </c>
      <c r="BX97" s="3">
        <v>12.121</v>
      </c>
      <c r="BY97" s="3">
        <v>15.782999999999999</v>
      </c>
      <c r="BZ97" s="3">
        <v>15.385999999999999</v>
      </c>
      <c r="CA97" s="3">
        <v>14.16</v>
      </c>
      <c r="CB97" s="3">
        <v>13.167999999999999</v>
      </c>
      <c r="CC97" s="3">
        <v>12.791</v>
      </c>
      <c r="CD97" s="3">
        <v>12.62</v>
      </c>
    </row>
    <row r="98" spans="1:82" x14ac:dyDescent="0.3">
      <c r="A98" s="48" t="s">
        <v>317</v>
      </c>
      <c r="B98" s="49" t="s">
        <v>352</v>
      </c>
      <c r="C98" s="3">
        <v>32.026960299999999</v>
      </c>
      <c r="D98" s="3">
        <v>27.89047463</v>
      </c>
      <c r="E98" s="3">
        <v>27.89047463</v>
      </c>
      <c r="F98" s="3">
        <v>25.751823529999999</v>
      </c>
      <c r="G98" s="3">
        <v>25.751823529999999</v>
      </c>
      <c r="H98" s="3">
        <v>27.89047463</v>
      </c>
      <c r="I98" s="48" t="s">
        <v>317</v>
      </c>
      <c r="J98" s="49" t="s">
        <v>352</v>
      </c>
      <c r="K98" s="3">
        <v>22971.5</v>
      </c>
      <c r="L98" s="48" t="s">
        <v>317</v>
      </c>
      <c r="M98" s="49" t="s">
        <v>352</v>
      </c>
      <c r="N98" s="3">
        <v>973.67259469999999</v>
      </c>
      <c r="O98" s="3">
        <v>1351.6065619999999</v>
      </c>
      <c r="P98" s="3">
        <v>632.50653409999995</v>
      </c>
      <c r="Q98" s="3">
        <v>643.15004969999995</v>
      </c>
      <c r="R98" s="3">
        <v>1592.37184</v>
      </c>
      <c r="S98" s="3">
        <v>1780.5953500000001</v>
      </c>
      <c r="T98" s="3">
        <v>1688.341044</v>
      </c>
      <c r="U98" s="3">
        <v>1164.7298659999999</v>
      </c>
      <c r="V98" s="3">
        <v>809.53847719999999</v>
      </c>
      <c r="W98" s="3">
        <v>437.12916360000003</v>
      </c>
      <c r="X98" s="3">
        <v>890.64395850000005</v>
      </c>
      <c r="Y98" s="3">
        <v>151.81277900000001</v>
      </c>
      <c r="Z98" s="3">
        <v>414.07005340000001</v>
      </c>
      <c r="AA98" s="48" t="s">
        <v>317</v>
      </c>
      <c r="AB98" s="49" t="s">
        <v>352</v>
      </c>
      <c r="AC98" s="3">
        <v>0</v>
      </c>
      <c r="AD98" s="3">
        <v>0.44800000000000001</v>
      </c>
      <c r="AE98" s="3">
        <v>0</v>
      </c>
      <c r="AF98" s="3">
        <v>0.28699999999999998</v>
      </c>
      <c r="AG98" s="3">
        <v>0</v>
      </c>
      <c r="AH98" s="3">
        <v>0.39600000000000002</v>
      </c>
      <c r="AI98" s="3">
        <v>0</v>
      </c>
      <c r="AJ98" s="3">
        <v>0.27</v>
      </c>
      <c r="AK98" s="3">
        <v>0</v>
      </c>
      <c r="AL98" s="3">
        <v>0.79700000000000004</v>
      </c>
      <c r="AM98" s="3">
        <v>0</v>
      </c>
      <c r="AN98" s="3">
        <v>0.23899999999999999</v>
      </c>
      <c r="AO98" s="3">
        <v>0</v>
      </c>
      <c r="AP98" s="3">
        <v>0.23899999999999999</v>
      </c>
      <c r="AQ98" s="3">
        <v>0</v>
      </c>
      <c r="AR98" s="3">
        <v>0.34899999999999998</v>
      </c>
      <c r="AS98" s="3">
        <v>0</v>
      </c>
      <c r="AT98" s="3">
        <v>0.27</v>
      </c>
      <c r="AU98" s="3">
        <v>0</v>
      </c>
      <c r="AV98" s="3">
        <v>2.9000000000000001E-2</v>
      </c>
      <c r="AW98" s="3">
        <v>0</v>
      </c>
      <c r="AX98" s="3">
        <v>0.19700000000000001</v>
      </c>
      <c r="AY98" s="3">
        <v>0</v>
      </c>
      <c r="AZ98" s="3">
        <v>5.5E-2</v>
      </c>
      <c r="BA98" s="3">
        <v>0</v>
      </c>
      <c r="BB98" s="3">
        <v>7.3999999999999996E-2</v>
      </c>
      <c r="BC98" s="3">
        <v>0.75749999999999995</v>
      </c>
      <c r="BD98" s="3">
        <v>0.70599999999999996</v>
      </c>
      <c r="BE98" s="3">
        <v>0.78049999999999997</v>
      </c>
      <c r="BF98" s="3">
        <v>0.87866666699999996</v>
      </c>
      <c r="BG98" s="3">
        <v>0.70541666700000005</v>
      </c>
      <c r="BH98" s="3">
        <v>0.86599999999999999</v>
      </c>
      <c r="BI98" s="3">
        <v>0.91100000000000003</v>
      </c>
      <c r="BJ98" s="3">
        <v>0.65333333299999996</v>
      </c>
      <c r="BK98" s="3">
        <v>0.62350000000000005</v>
      </c>
      <c r="BL98" s="3">
        <v>0.55700000000000005</v>
      </c>
      <c r="BM98" s="3">
        <v>0.01</v>
      </c>
      <c r="BN98" s="3">
        <v>0.66433333299999997</v>
      </c>
      <c r="BO98" s="3">
        <v>0.63900000000000001</v>
      </c>
      <c r="BP98" s="48" t="s">
        <v>317</v>
      </c>
      <c r="BQ98" s="49" t="s">
        <v>352</v>
      </c>
      <c r="BR98" s="3">
        <v>13.439</v>
      </c>
      <c r="BS98" s="3">
        <v>13.311</v>
      </c>
      <c r="BT98" s="3">
        <v>12.952</v>
      </c>
      <c r="BU98" s="3">
        <v>12.228</v>
      </c>
      <c r="BV98" s="3">
        <v>14.180999999999999</v>
      </c>
      <c r="BW98" s="3">
        <v>16.117999999999999</v>
      </c>
      <c r="BX98" s="3">
        <v>11.907</v>
      </c>
      <c r="BY98" s="3">
        <v>15.38</v>
      </c>
      <c r="BZ98" s="3">
        <v>15.177</v>
      </c>
      <c r="CA98" s="3">
        <v>14.285</v>
      </c>
      <c r="CB98" s="3">
        <v>12.842000000000001</v>
      </c>
      <c r="CC98" s="3">
        <v>12.529</v>
      </c>
      <c r="CD98" s="3">
        <v>11.856</v>
      </c>
    </row>
    <row r="99" spans="1:82" x14ac:dyDescent="0.3">
      <c r="A99" s="48" t="s">
        <v>318</v>
      </c>
      <c r="B99" s="49" t="s">
        <v>329</v>
      </c>
      <c r="C99" s="3">
        <v>32.151982500000003</v>
      </c>
      <c r="D99" s="3">
        <v>27.526240000000001</v>
      </c>
      <c r="E99" s="3">
        <v>27.526240000000001</v>
      </c>
      <c r="F99" s="3">
        <v>25.472304999999999</v>
      </c>
      <c r="G99" s="3">
        <v>25.472304999999999</v>
      </c>
      <c r="H99" s="3">
        <v>27.526240000000001</v>
      </c>
      <c r="I99" s="48" t="s">
        <v>318</v>
      </c>
      <c r="J99" s="49" t="s">
        <v>329</v>
      </c>
      <c r="K99" s="3">
        <v>24540.5</v>
      </c>
      <c r="L99" s="48" t="s">
        <v>318</v>
      </c>
      <c r="M99" s="49" t="s">
        <v>329</v>
      </c>
      <c r="N99" s="3">
        <v>689.70738540000002</v>
      </c>
      <c r="O99" s="3">
        <v>1130.548225</v>
      </c>
      <c r="P99" s="3">
        <v>494.75605789999997</v>
      </c>
      <c r="Q99" s="3">
        <v>571.57933170000001</v>
      </c>
      <c r="R99" s="3">
        <v>1058.876673</v>
      </c>
      <c r="S99" s="3">
        <v>1186.8747410000001</v>
      </c>
      <c r="T99" s="3">
        <v>973.08030550000001</v>
      </c>
      <c r="U99" s="3">
        <v>734.82638420000001</v>
      </c>
      <c r="V99" s="3">
        <v>478.3165922</v>
      </c>
      <c r="W99" s="3">
        <v>384.40200490000001</v>
      </c>
      <c r="X99" s="3">
        <v>768.3915806</v>
      </c>
      <c r="Y99" s="3">
        <v>90.344791569999998</v>
      </c>
      <c r="Z99" s="3">
        <v>440.78203669999999</v>
      </c>
      <c r="AA99" s="48" t="s">
        <v>318</v>
      </c>
      <c r="AB99" s="49" t="s">
        <v>329</v>
      </c>
      <c r="AC99" s="3">
        <v>0</v>
      </c>
      <c r="AD99" s="3">
        <v>0.161</v>
      </c>
      <c r="AE99" s="3">
        <v>0</v>
      </c>
      <c r="AF99" s="3">
        <v>0.11899999999999999</v>
      </c>
      <c r="AG99" s="3">
        <v>0</v>
      </c>
      <c r="AH99" s="3">
        <v>0.13400000000000001</v>
      </c>
      <c r="AI99" s="3">
        <v>0</v>
      </c>
      <c r="AJ99" s="3">
        <v>0.185</v>
      </c>
      <c r="AK99" s="3">
        <v>0</v>
      </c>
      <c r="AL99" s="3">
        <v>0.221</v>
      </c>
      <c r="AM99" s="3">
        <v>0</v>
      </c>
      <c r="AN99" s="3">
        <v>0.315</v>
      </c>
      <c r="AO99" s="3">
        <v>0</v>
      </c>
      <c r="AP99" s="3">
        <v>0.315</v>
      </c>
      <c r="AQ99" s="3">
        <v>0</v>
      </c>
      <c r="AR99" s="3">
        <v>0.17499999999999999</v>
      </c>
      <c r="AS99" s="3">
        <v>0</v>
      </c>
      <c r="AT99" s="3">
        <v>0.20200000000000001</v>
      </c>
      <c r="AU99" s="3">
        <v>0</v>
      </c>
      <c r="AV99" s="3">
        <v>9.6000000000000002E-2</v>
      </c>
      <c r="AW99" s="3">
        <v>0</v>
      </c>
      <c r="AX99" s="3">
        <v>0.10299999999999999</v>
      </c>
      <c r="AY99" s="3">
        <v>0</v>
      </c>
      <c r="AZ99" s="3">
        <v>5.8000000000000003E-2</v>
      </c>
      <c r="BA99" s="3">
        <v>0</v>
      </c>
      <c r="BB99" s="3">
        <v>2.3E-2</v>
      </c>
      <c r="BC99" s="3">
        <v>8.7999999999999995E-2</v>
      </c>
      <c r="BD99" s="3">
        <v>0.33100000000000002</v>
      </c>
      <c r="BE99" s="3">
        <v>0.34350000000000003</v>
      </c>
      <c r="BF99" s="3">
        <v>0.235666667</v>
      </c>
      <c r="BG99" s="3">
        <v>8.7333333999999999E-2</v>
      </c>
      <c r="BH99" s="3">
        <v>7.4999999999999997E-2</v>
      </c>
      <c r="BI99" s="3">
        <v>0.47649999999999998</v>
      </c>
      <c r="BJ99" s="3">
        <v>8.6666667000000003E-2</v>
      </c>
      <c r="BK99" s="3">
        <v>0.16350000000000001</v>
      </c>
      <c r="BL99" s="3">
        <v>0.142666667</v>
      </c>
      <c r="BM99" s="3">
        <v>0.01</v>
      </c>
      <c r="BN99" s="3">
        <v>6.3666666999999996E-2</v>
      </c>
      <c r="BO99" s="3">
        <v>0.13100000000000001</v>
      </c>
      <c r="BP99" s="48" t="s">
        <v>318</v>
      </c>
      <c r="BQ99" s="49" t="s">
        <v>329</v>
      </c>
      <c r="BR99" s="3">
        <v>11.52</v>
      </c>
      <c r="BS99" s="3">
        <v>10.917999999999999</v>
      </c>
      <c r="BT99" s="3">
        <v>10.656000000000001</v>
      </c>
      <c r="BU99" s="3">
        <v>9.9380000000000006</v>
      </c>
      <c r="BV99" s="3">
        <v>11.393000000000001</v>
      </c>
      <c r="BW99" s="3">
        <v>15.77</v>
      </c>
      <c r="BX99" s="3">
        <v>11.166</v>
      </c>
      <c r="BY99" s="3">
        <v>14.711</v>
      </c>
      <c r="BZ99" s="3">
        <v>13.619</v>
      </c>
      <c r="CA99" s="3">
        <v>11.816000000000001</v>
      </c>
      <c r="CB99" s="3">
        <v>10.701000000000001</v>
      </c>
      <c r="CC99" s="3">
        <v>11.474</v>
      </c>
      <c r="CD99" s="3">
        <v>11.47</v>
      </c>
    </row>
    <row r="100" spans="1:82" x14ac:dyDescent="0.3">
      <c r="A100" s="48" t="s">
        <v>318</v>
      </c>
      <c r="B100" s="49" t="s">
        <v>330</v>
      </c>
      <c r="C100" s="3">
        <v>31.84477</v>
      </c>
      <c r="D100" s="3">
        <v>27.499907499999999</v>
      </c>
      <c r="E100" s="3">
        <v>27.499907499999999</v>
      </c>
      <c r="F100" s="3">
        <v>25.5337475</v>
      </c>
      <c r="G100" s="3">
        <v>25.5337475</v>
      </c>
      <c r="H100" s="3">
        <v>27.499907499999999</v>
      </c>
      <c r="I100" s="48" t="s">
        <v>318</v>
      </c>
      <c r="J100" s="49" t="s">
        <v>330</v>
      </c>
      <c r="K100" s="3">
        <v>24158</v>
      </c>
      <c r="L100" s="48" t="s">
        <v>318</v>
      </c>
      <c r="M100" s="49" t="s">
        <v>330</v>
      </c>
      <c r="N100" s="3">
        <v>519.09253160000003</v>
      </c>
      <c r="O100" s="3">
        <v>887.42520160000004</v>
      </c>
      <c r="P100" s="3">
        <v>419.26526139999999</v>
      </c>
      <c r="Q100" s="3">
        <v>526.37990509999997</v>
      </c>
      <c r="R100" s="3">
        <v>645.26922000000002</v>
      </c>
      <c r="S100" s="3">
        <v>845.9546656</v>
      </c>
      <c r="T100" s="3">
        <v>651.04647439999997</v>
      </c>
      <c r="U100" s="3">
        <v>474.2239563</v>
      </c>
      <c r="V100" s="3">
        <v>351.57531729999999</v>
      </c>
      <c r="W100" s="3">
        <v>315.09608919999999</v>
      </c>
      <c r="X100" s="3">
        <v>520.11249429999998</v>
      </c>
      <c r="Y100" s="3">
        <v>78.529490240000001</v>
      </c>
      <c r="Z100" s="3">
        <v>452.90753339999998</v>
      </c>
      <c r="AA100" s="48" t="s">
        <v>318</v>
      </c>
      <c r="AB100" s="49" t="s">
        <v>330</v>
      </c>
      <c r="AC100" s="3">
        <v>0</v>
      </c>
      <c r="AD100" s="3">
        <v>0.16300000000000001</v>
      </c>
      <c r="AE100" s="3">
        <v>0</v>
      </c>
      <c r="AF100" s="3">
        <v>0.127</v>
      </c>
      <c r="AG100" s="3">
        <v>0</v>
      </c>
      <c r="AH100" s="3">
        <v>0.13400000000000001</v>
      </c>
      <c r="AI100" s="3">
        <v>0</v>
      </c>
      <c r="AJ100" s="3">
        <v>0.185</v>
      </c>
      <c r="AK100" s="3">
        <v>0</v>
      </c>
      <c r="AL100" s="3">
        <v>0.183</v>
      </c>
      <c r="AM100" s="3">
        <v>0</v>
      </c>
      <c r="AN100" s="3">
        <v>0.30199999999999999</v>
      </c>
      <c r="AO100" s="3">
        <v>0</v>
      </c>
      <c r="AP100" s="3">
        <v>0.30199999999999999</v>
      </c>
      <c r="AQ100" s="3">
        <v>0</v>
      </c>
      <c r="AR100" s="3">
        <v>0.157</v>
      </c>
      <c r="AS100" s="3">
        <v>0</v>
      </c>
      <c r="AT100" s="3">
        <v>0.19400000000000001</v>
      </c>
      <c r="AU100" s="3">
        <v>0</v>
      </c>
      <c r="AV100" s="3">
        <v>7.1999999999999995E-2</v>
      </c>
      <c r="AW100" s="3">
        <v>0</v>
      </c>
      <c r="AX100" s="3">
        <v>0.09</v>
      </c>
      <c r="AY100" s="3">
        <v>0</v>
      </c>
      <c r="AZ100" s="3">
        <v>3.6999999999999998E-2</v>
      </c>
      <c r="BA100" s="3">
        <v>0</v>
      </c>
      <c r="BB100" s="3">
        <v>1.2999999999999999E-2</v>
      </c>
      <c r="BC100" s="3">
        <v>7.9500000000000001E-2</v>
      </c>
      <c r="BD100" s="3">
        <v>0.29099999999999998</v>
      </c>
      <c r="BE100" s="3">
        <v>0.29149999999999998</v>
      </c>
      <c r="BF100" s="3">
        <v>0.20433333300000001</v>
      </c>
      <c r="BG100" s="3">
        <v>8.9249999999999996E-2</v>
      </c>
      <c r="BH100" s="3">
        <v>5.7000000000000002E-2</v>
      </c>
      <c r="BI100" s="3">
        <v>0.46750000000000003</v>
      </c>
      <c r="BJ100" s="3">
        <v>9.9000000000000005E-2</v>
      </c>
      <c r="BK100" s="3">
        <v>0.1925</v>
      </c>
      <c r="BL100" s="3">
        <v>0.153</v>
      </c>
      <c r="BM100" s="3">
        <v>0.01</v>
      </c>
      <c r="BN100" s="3">
        <v>6.9666667000000002E-2</v>
      </c>
      <c r="BO100" s="3">
        <v>0.16200000000000001</v>
      </c>
      <c r="BP100" s="48" t="s">
        <v>318</v>
      </c>
      <c r="BQ100" s="49" t="s">
        <v>330</v>
      </c>
      <c r="BR100" s="3">
        <v>11.475</v>
      </c>
      <c r="BS100" s="3">
        <v>10.741</v>
      </c>
      <c r="BT100" s="3">
        <v>10.433999999999999</v>
      </c>
      <c r="BU100" s="3">
        <v>9.7129999999999992</v>
      </c>
      <c r="BV100" s="3">
        <v>10.933</v>
      </c>
      <c r="BW100" s="3">
        <v>15.781000000000001</v>
      </c>
      <c r="BX100" s="3">
        <v>10.96</v>
      </c>
      <c r="BY100" s="3">
        <v>14.52</v>
      </c>
      <c r="BZ100" s="3">
        <v>13.256</v>
      </c>
      <c r="CA100" s="3">
        <v>11.611000000000001</v>
      </c>
      <c r="CB100" s="3">
        <v>10.25</v>
      </c>
      <c r="CC100" s="3">
        <v>11.625999999999999</v>
      </c>
      <c r="CD100" s="3">
        <v>11.691000000000001</v>
      </c>
    </row>
    <row r="101" spans="1:82" x14ac:dyDescent="0.3">
      <c r="A101" s="48" t="s">
        <v>318</v>
      </c>
      <c r="B101" s="49" t="s">
        <v>331</v>
      </c>
      <c r="C101" s="3">
        <v>30.194600000000001</v>
      </c>
      <c r="D101" s="3">
        <v>27.982669999999999</v>
      </c>
      <c r="E101" s="3">
        <v>27.982669999999999</v>
      </c>
      <c r="F101" s="3">
        <v>26.121839999999999</v>
      </c>
      <c r="G101" s="3">
        <v>26.121839999999999</v>
      </c>
      <c r="H101" s="3">
        <v>27.982669999999999</v>
      </c>
      <c r="I101" s="48" t="s">
        <v>318</v>
      </c>
      <c r="J101" s="49" t="s">
        <v>331</v>
      </c>
      <c r="K101" s="3">
        <v>23641.5</v>
      </c>
      <c r="L101" s="48" t="s">
        <v>318</v>
      </c>
      <c r="M101" s="49" t="s">
        <v>331</v>
      </c>
      <c r="N101" s="3">
        <v>448.0912715</v>
      </c>
      <c r="O101" s="3">
        <v>802.99580049999997</v>
      </c>
      <c r="P101" s="3">
        <v>425.15116280000001</v>
      </c>
      <c r="Q101" s="3">
        <v>478.23643779999998</v>
      </c>
      <c r="R101" s="3">
        <v>603.14998089999995</v>
      </c>
      <c r="S101" s="3">
        <v>711.8584118</v>
      </c>
      <c r="T101" s="3">
        <v>554.38937829999998</v>
      </c>
      <c r="U101" s="3">
        <v>423.52477549999998</v>
      </c>
      <c r="V101" s="3">
        <v>311.68790910000001</v>
      </c>
      <c r="W101" s="3">
        <v>417.72453410000003</v>
      </c>
      <c r="X101" s="3">
        <v>464.47000059999999</v>
      </c>
      <c r="Y101" s="3">
        <v>107.0013161</v>
      </c>
      <c r="Z101" s="3">
        <v>489.1920078</v>
      </c>
      <c r="AA101" s="48" t="s">
        <v>318</v>
      </c>
      <c r="AB101" s="49" t="s">
        <v>331</v>
      </c>
      <c r="AC101" s="3">
        <v>0</v>
      </c>
      <c r="AD101" s="3">
        <v>0.16200000000000001</v>
      </c>
      <c r="AE101" s="3">
        <v>0</v>
      </c>
      <c r="AF101" s="3">
        <v>0.124</v>
      </c>
      <c r="AG101" s="3">
        <v>0</v>
      </c>
      <c r="AH101" s="3">
        <v>0.115</v>
      </c>
      <c r="AI101" s="3">
        <v>0</v>
      </c>
      <c r="AJ101" s="3">
        <v>0.182</v>
      </c>
      <c r="AK101" s="3">
        <v>0</v>
      </c>
      <c r="AL101" s="3">
        <v>0.17100000000000001</v>
      </c>
      <c r="AM101" s="3">
        <v>0</v>
      </c>
      <c r="AN101" s="3">
        <v>0.29599999999999999</v>
      </c>
      <c r="AO101" s="3">
        <v>0</v>
      </c>
      <c r="AP101" s="3">
        <v>0.29599999999999999</v>
      </c>
      <c r="AQ101" s="3">
        <v>0</v>
      </c>
      <c r="AR101" s="3">
        <v>0.14000000000000001</v>
      </c>
      <c r="AS101" s="3">
        <v>0</v>
      </c>
      <c r="AT101" s="3">
        <v>0.18</v>
      </c>
      <c r="AU101" s="3">
        <v>0</v>
      </c>
      <c r="AV101" s="3">
        <v>6.0999999999999999E-2</v>
      </c>
      <c r="AW101" s="3">
        <v>0</v>
      </c>
      <c r="AX101" s="3">
        <v>7.5999999999999998E-2</v>
      </c>
      <c r="AY101" s="3">
        <v>0</v>
      </c>
      <c r="AZ101" s="3">
        <v>2.7E-2</v>
      </c>
      <c r="BA101" s="3">
        <v>0</v>
      </c>
      <c r="BB101" s="3">
        <v>8.9999999999999993E-3</v>
      </c>
      <c r="BC101" s="3">
        <v>7.2999999999999995E-2</v>
      </c>
      <c r="BD101" s="3">
        <v>0.253</v>
      </c>
      <c r="BE101" s="3">
        <v>0.247</v>
      </c>
      <c r="BF101" s="3">
        <v>0.170333333</v>
      </c>
      <c r="BG101" s="3">
        <v>9.3166666999999995E-2</v>
      </c>
      <c r="BH101" s="3">
        <v>3.7999999999999999E-2</v>
      </c>
      <c r="BI101" s="3">
        <v>0.44</v>
      </c>
      <c r="BJ101" s="3">
        <v>0.11333333299999999</v>
      </c>
      <c r="BK101" s="3">
        <v>0.218</v>
      </c>
      <c r="BL101" s="3">
        <v>0.16866666699999999</v>
      </c>
      <c r="BM101" s="3">
        <v>0.01</v>
      </c>
      <c r="BN101" s="3">
        <v>8.2000000000000003E-2</v>
      </c>
      <c r="BO101" s="3">
        <v>0.2</v>
      </c>
      <c r="BP101" s="48" t="s">
        <v>318</v>
      </c>
      <c r="BQ101" s="49" t="s">
        <v>331</v>
      </c>
      <c r="BR101" s="3">
        <v>11.542</v>
      </c>
      <c r="BS101" s="3">
        <v>10.715</v>
      </c>
      <c r="BT101" s="3">
        <v>10.397</v>
      </c>
      <c r="BU101" s="3">
        <v>9.5779999999999994</v>
      </c>
      <c r="BV101" s="3">
        <v>10.532</v>
      </c>
      <c r="BW101" s="3">
        <v>15.811</v>
      </c>
      <c r="BX101" s="3">
        <v>10.85</v>
      </c>
      <c r="BY101" s="3">
        <v>14.329000000000001</v>
      </c>
      <c r="BZ101" s="3">
        <v>13.038</v>
      </c>
      <c r="CA101" s="3">
        <v>11.407999999999999</v>
      </c>
      <c r="CB101" s="3">
        <v>9.8659999999999997</v>
      </c>
      <c r="CC101" s="3">
        <v>11.692</v>
      </c>
      <c r="CD101" s="3">
        <v>11.704000000000001</v>
      </c>
    </row>
    <row r="102" spans="1:82" x14ac:dyDescent="0.3">
      <c r="A102" s="48" t="s">
        <v>318</v>
      </c>
      <c r="B102" s="49" t="s">
        <v>332</v>
      </c>
      <c r="C102" s="3">
        <v>29.1325225</v>
      </c>
      <c r="D102" s="3">
        <v>29.501177500000001</v>
      </c>
      <c r="E102" s="3">
        <v>29.501177500000001</v>
      </c>
      <c r="F102" s="3">
        <v>26.832817500000001</v>
      </c>
      <c r="G102" s="3">
        <v>28.210885000000001</v>
      </c>
      <c r="H102" s="3">
        <v>29.501177500000001</v>
      </c>
      <c r="I102" s="48" t="s">
        <v>318</v>
      </c>
      <c r="J102" s="49" t="s">
        <v>332</v>
      </c>
      <c r="K102" s="3">
        <v>23628</v>
      </c>
      <c r="L102" s="48" t="s">
        <v>318</v>
      </c>
      <c r="M102" s="49" t="s">
        <v>332</v>
      </c>
      <c r="N102" s="3">
        <v>417.8095189</v>
      </c>
      <c r="O102" s="3">
        <v>730.93240820000005</v>
      </c>
      <c r="P102" s="3">
        <v>433.36882750000001</v>
      </c>
      <c r="Q102" s="3">
        <v>528.03796920000002</v>
      </c>
      <c r="R102" s="3">
        <v>549.84155810000004</v>
      </c>
      <c r="S102" s="3">
        <v>607.52256910000006</v>
      </c>
      <c r="T102" s="3">
        <v>391.56650689999998</v>
      </c>
      <c r="U102" s="3">
        <v>387.93578639999998</v>
      </c>
      <c r="V102" s="3">
        <v>338.71961690000001</v>
      </c>
      <c r="W102" s="3">
        <v>272.91276640000001</v>
      </c>
      <c r="X102" s="3">
        <v>401.42187250000001</v>
      </c>
      <c r="Y102" s="3">
        <v>72.067537819999998</v>
      </c>
      <c r="Z102" s="3">
        <v>546.56534910000005</v>
      </c>
      <c r="AA102" s="48" t="s">
        <v>318</v>
      </c>
      <c r="AB102" s="49" t="s">
        <v>332</v>
      </c>
      <c r="AC102" s="3">
        <v>0</v>
      </c>
      <c r="AD102" s="3">
        <v>0.158</v>
      </c>
      <c r="AE102" s="3">
        <v>0</v>
      </c>
      <c r="AF102" s="3">
        <v>0.11799999999999999</v>
      </c>
      <c r="AG102" s="3">
        <v>0</v>
      </c>
      <c r="AH102" s="3">
        <v>9.8000000000000004E-2</v>
      </c>
      <c r="AI102" s="3">
        <v>0</v>
      </c>
      <c r="AJ102" s="3">
        <v>0.183</v>
      </c>
      <c r="AK102" s="3">
        <v>0</v>
      </c>
      <c r="AL102" s="3">
        <v>0.18099999999999999</v>
      </c>
      <c r="AM102" s="3">
        <v>0</v>
      </c>
      <c r="AN102" s="3">
        <v>0.28799999999999998</v>
      </c>
      <c r="AO102" s="3">
        <v>0</v>
      </c>
      <c r="AP102" s="3">
        <v>0.28799999999999998</v>
      </c>
      <c r="AQ102" s="3">
        <v>0</v>
      </c>
      <c r="AR102" s="3">
        <v>0.123</v>
      </c>
      <c r="AS102" s="3">
        <v>0</v>
      </c>
      <c r="AT102" s="3">
        <v>0.16900000000000001</v>
      </c>
      <c r="AU102" s="3">
        <v>0</v>
      </c>
      <c r="AV102" s="3">
        <v>5.8999999999999997E-2</v>
      </c>
      <c r="AW102" s="3">
        <v>0</v>
      </c>
      <c r="AX102" s="3">
        <v>7.5999999999999998E-2</v>
      </c>
      <c r="AY102" s="3">
        <v>0</v>
      </c>
      <c r="AZ102" s="3">
        <v>2.5000000000000001E-2</v>
      </c>
      <c r="BA102" s="3">
        <v>0</v>
      </c>
      <c r="BB102" s="3">
        <v>1.2999999999999999E-2</v>
      </c>
      <c r="BC102" s="3">
        <v>7.2499999999999995E-2</v>
      </c>
      <c r="BD102" s="3">
        <v>0.22800000000000001</v>
      </c>
      <c r="BE102" s="3">
        <v>0.20300000000000001</v>
      </c>
      <c r="BF102" s="3">
        <v>0.129</v>
      </c>
      <c r="BG102" s="3">
        <v>9.8916667E-2</v>
      </c>
      <c r="BH102" s="3">
        <v>1.7999999999999999E-2</v>
      </c>
      <c r="BI102" s="3">
        <v>0.41149999999999998</v>
      </c>
      <c r="BJ102" s="3">
        <v>0.12533333299999999</v>
      </c>
      <c r="BK102" s="3">
        <v>0.23749999999999999</v>
      </c>
      <c r="BL102" s="3">
        <v>0.200333333</v>
      </c>
      <c r="BM102" s="3">
        <v>0.01</v>
      </c>
      <c r="BN102" s="3">
        <v>0.102666667</v>
      </c>
      <c r="BO102" s="3">
        <v>0.249</v>
      </c>
      <c r="BP102" s="48" t="s">
        <v>318</v>
      </c>
      <c r="BQ102" s="49" t="s">
        <v>332</v>
      </c>
      <c r="BR102" s="3">
        <v>11.705</v>
      </c>
      <c r="BS102" s="3">
        <v>10.791</v>
      </c>
      <c r="BT102" s="3">
        <v>10.41</v>
      </c>
      <c r="BU102" s="3">
        <v>9.4700000000000006</v>
      </c>
      <c r="BV102" s="3">
        <v>10.222</v>
      </c>
      <c r="BW102" s="3">
        <v>15.858000000000001</v>
      </c>
      <c r="BX102" s="3">
        <v>10.749000000000001</v>
      </c>
      <c r="BY102" s="3">
        <v>14.166</v>
      </c>
      <c r="BZ102" s="3">
        <v>12.928000000000001</v>
      </c>
      <c r="CA102" s="3">
        <v>11.199</v>
      </c>
      <c r="CB102" s="3">
        <v>9.49</v>
      </c>
      <c r="CC102" s="3">
        <v>11.625999999999999</v>
      </c>
      <c r="CD102" s="3">
        <v>11.526</v>
      </c>
    </row>
    <row r="103" spans="1:82" x14ac:dyDescent="0.3">
      <c r="A103" s="48" t="s">
        <v>318</v>
      </c>
      <c r="B103" s="49" t="s">
        <v>333</v>
      </c>
      <c r="C103" s="3">
        <v>29.1325225</v>
      </c>
      <c r="D103" s="3">
        <v>37.321930000000002</v>
      </c>
      <c r="E103" s="3">
        <v>37.321930000000002</v>
      </c>
      <c r="F103" s="3">
        <v>26.850372499999999</v>
      </c>
      <c r="G103" s="3">
        <v>31.037240000000001</v>
      </c>
      <c r="H103" s="3">
        <v>37.321930000000002</v>
      </c>
      <c r="I103" s="48" t="s">
        <v>318</v>
      </c>
      <c r="J103" s="49" t="s">
        <v>333</v>
      </c>
      <c r="K103" s="3">
        <v>24791</v>
      </c>
      <c r="L103" s="48" t="s">
        <v>318</v>
      </c>
      <c r="M103" s="49" t="s">
        <v>333</v>
      </c>
      <c r="N103" s="3">
        <v>364.39020909999999</v>
      </c>
      <c r="O103" s="3">
        <v>634.50631490000001</v>
      </c>
      <c r="P103" s="3">
        <v>468.88646929999999</v>
      </c>
      <c r="Q103" s="3">
        <v>515.62427809999997</v>
      </c>
      <c r="R103" s="3">
        <v>410.71579589999999</v>
      </c>
      <c r="S103" s="3">
        <v>435.26071180000002</v>
      </c>
      <c r="T103" s="3">
        <v>298.74573800000002</v>
      </c>
      <c r="U103" s="3">
        <v>340.54227270000001</v>
      </c>
      <c r="V103" s="3">
        <v>316.89979240000002</v>
      </c>
      <c r="W103" s="3">
        <v>317.0660982</v>
      </c>
      <c r="X103" s="3">
        <v>282.03548319999999</v>
      </c>
      <c r="Y103" s="3">
        <v>65.024585299999998</v>
      </c>
      <c r="Z103" s="3">
        <v>406.4271574</v>
      </c>
      <c r="AA103" s="48" t="s">
        <v>318</v>
      </c>
      <c r="AB103" s="49" t="s">
        <v>333</v>
      </c>
      <c r="AC103" s="3">
        <v>0</v>
      </c>
      <c r="AD103" s="3">
        <v>0.156</v>
      </c>
      <c r="AE103" s="3">
        <v>0</v>
      </c>
      <c r="AF103" s="3">
        <v>0.115</v>
      </c>
      <c r="AG103" s="3">
        <v>0</v>
      </c>
      <c r="AH103" s="3">
        <v>0.09</v>
      </c>
      <c r="AI103" s="3">
        <v>0</v>
      </c>
      <c r="AJ103" s="3">
        <v>0.19400000000000001</v>
      </c>
      <c r="AK103" s="3">
        <v>0</v>
      </c>
      <c r="AL103" s="3">
        <v>0.21</v>
      </c>
      <c r="AM103" s="3">
        <v>0</v>
      </c>
      <c r="AN103" s="3">
        <v>0.28999999999999998</v>
      </c>
      <c r="AO103" s="3">
        <v>0</v>
      </c>
      <c r="AP103" s="3">
        <v>0.28999999999999998</v>
      </c>
      <c r="AQ103" s="3">
        <v>0</v>
      </c>
      <c r="AR103" s="3">
        <v>0.113</v>
      </c>
      <c r="AS103" s="3">
        <v>0</v>
      </c>
      <c r="AT103" s="3">
        <v>0.17399999999999999</v>
      </c>
      <c r="AU103" s="3">
        <v>0</v>
      </c>
      <c r="AV103" s="3">
        <v>6.3E-2</v>
      </c>
      <c r="AW103" s="3">
        <v>0</v>
      </c>
      <c r="AX103" s="3">
        <v>8.6999999999999994E-2</v>
      </c>
      <c r="AY103" s="3">
        <v>0</v>
      </c>
      <c r="AZ103" s="3">
        <v>2.7E-2</v>
      </c>
      <c r="BA103" s="3">
        <v>0</v>
      </c>
      <c r="BB103" s="3">
        <v>2.1000000000000001E-2</v>
      </c>
      <c r="BC103" s="3">
        <v>8.1500000000000003E-2</v>
      </c>
      <c r="BD103" s="3">
        <v>0.20349999999999999</v>
      </c>
      <c r="BE103" s="3">
        <v>0.152</v>
      </c>
      <c r="BF103" s="3">
        <v>8.8666667000000005E-2</v>
      </c>
      <c r="BG103" s="3">
        <v>0.108583334</v>
      </c>
      <c r="BH103" s="3">
        <v>0.01</v>
      </c>
      <c r="BI103" s="3">
        <v>0.372</v>
      </c>
      <c r="BJ103" s="3">
        <v>0.13566666699999999</v>
      </c>
      <c r="BK103" s="3">
        <v>0.2495</v>
      </c>
      <c r="BL103" s="3">
        <v>0.24399999999999999</v>
      </c>
      <c r="BM103" s="3">
        <v>0.01</v>
      </c>
      <c r="BN103" s="3">
        <v>0.13300000000000001</v>
      </c>
      <c r="BO103" s="3">
        <v>0.30499999999999999</v>
      </c>
      <c r="BP103" s="48" t="s">
        <v>318</v>
      </c>
      <c r="BQ103" s="49" t="s">
        <v>333</v>
      </c>
      <c r="BR103" s="3">
        <v>11.635</v>
      </c>
      <c r="BS103" s="3">
        <v>10.865</v>
      </c>
      <c r="BT103" s="3">
        <v>10.391</v>
      </c>
      <c r="BU103" s="3">
        <v>9.3849999999999998</v>
      </c>
      <c r="BV103" s="3">
        <v>9.9849999999999994</v>
      </c>
      <c r="BW103" s="3">
        <v>15.917999999999999</v>
      </c>
      <c r="BX103" s="3">
        <v>10.597</v>
      </c>
      <c r="BY103" s="3">
        <v>13.99</v>
      </c>
      <c r="BZ103" s="3">
        <v>12.782999999999999</v>
      </c>
      <c r="CA103" s="3">
        <v>10.975</v>
      </c>
      <c r="CB103" s="3">
        <v>9.1059999999999999</v>
      </c>
      <c r="CC103" s="3">
        <v>11.589</v>
      </c>
      <c r="CD103" s="3">
        <v>11.141</v>
      </c>
    </row>
    <row r="104" spans="1:82" x14ac:dyDescent="0.3">
      <c r="A104" s="48" t="s">
        <v>318</v>
      </c>
      <c r="B104" s="49" t="s">
        <v>334</v>
      </c>
      <c r="C104" s="3">
        <v>31.423449999999999</v>
      </c>
      <c r="D104" s="3">
        <v>45.590335000000003</v>
      </c>
      <c r="E104" s="3">
        <v>45.265567500000003</v>
      </c>
      <c r="F104" s="3">
        <v>26.938147499999999</v>
      </c>
      <c r="G104" s="3">
        <v>33.363277500000002</v>
      </c>
      <c r="H104" s="3">
        <v>45.590335000000003</v>
      </c>
      <c r="I104" s="48" t="s">
        <v>318</v>
      </c>
      <c r="J104" s="49" t="s">
        <v>334</v>
      </c>
      <c r="K104" s="3">
        <v>29024.5</v>
      </c>
      <c r="L104" s="48" t="s">
        <v>318</v>
      </c>
      <c r="M104" s="49" t="s">
        <v>334</v>
      </c>
      <c r="N104" s="3">
        <v>473.33952740000001</v>
      </c>
      <c r="O104" s="3">
        <v>716.12303039999995</v>
      </c>
      <c r="P104" s="3">
        <v>720.90762059999997</v>
      </c>
      <c r="Q104" s="3">
        <v>867.75091210000005</v>
      </c>
      <c r="R104" s="3">
        <v>535.33440259999998</v>
      </c>
      <c r="S104" s="3">
        <v>507.70637529999999</v>
      </c>
      <c r="T104" s="3">
        <v>339.36808189999999</v>
      </c>
      <c r="U104" s="3">
        <v>430.84769419999998</v>
      </c>
      <c r="V104" s="3">
        <v>429.76859159999998</v>
      </c>
      <c r="W104" s="3">
        <v>532.61929859999998</v>
      </c>
      <c r="X104" s="3">
        <v>359.19396999999998</v>
      </c>
      <c r="Y104" s="3">
        <v>105.3618012</v>
      </c>
      <c r="Z104" s="3">
        <v>100.9921634</v>
      </c>
      <c r="AA104" s="48" t="s">
        <v>318</v>
      </c>
      <c r="AB104" s="49" t="s">
        <v>334</v>
      </c>
      <c r="AC104" s="3">
        <v>0</v>
      </c>
      <c r="AD104" s="3">
        <v>0.153</v>
      </c>
      <c r="AE104" s="3">
        <v>0</v>
      </c>
      <c r="AF104" s="3">
        <v>0.11799999999999999</v>
      </c>
      <c r="AG104" s="3">
        <v>0</v>
      </c>
      <c r="AH104" s="3">
        <v>9.2999999999999999E-2</v>
      </c>
      <c r="AI104" s="3">
        <v>0</v>
      </c>
      <c r="AJ104" s="3">
        <v>0.20399999999999999</v>
      </c>
      <c r="AK104" s="3">
        <v>0</v>
      </c>
      <c r="AL104" s="3">
        <v>0.23699999999999999</v>
      </c>
      <c r="AM104" s="3">
        <v>0</v>
      </c>
      <c r="AN104" s="3">
        <v>0.30599999999999999</v>
      </c>
      <c r="AO104" s="3">
        <v>0</v>
      </c>
      <c r="AP104" s="3">
        <v>0.30599999999999999</v>
      </c>
      <c r="AQ104" s="3">
        <v>0</v>
      </c>
      <c r="AR104" s="3">
        <v>0.112</v>
      </c>
      <c r="AS104" s="3">
        <v>0</v>
      </c>
      <c r="AT104" s="3">
        <v>0.184</v>
      </c>
      <c r="AU104" s="3">
        <v>0</v>
      </c>
      <c r="AV104" s="3">
        <v>7.0000000000000007E-2</v>
      </c>
      <c r="AW104" s="3">
        <v>0</v>
      </c>
      <c r="AX104" s="3">
        <v>9.9000000000000005E-2</v>
      </c>
      <c r="AY104" s="3">
        <v>0</v>
      </c>
      <c r="AZ104" s="3">
        <v>3.3000000000000002E-2</v>
      </c>
      <c r="BA104" s="3">
        <v>0</v>
      </c>
      <c r="BB104" s="3">
        <v>3.3000000000000002E-2</v>
      </c>
      <c r="BC104" s="3">
        <v>9.6000000000000002E-2</v>
      </c>
      <c r="BD104" s="3">
        <v>0.16650000000000001</v>
      </c>
      <c r="BE104" s="3">
        <v>0.10150000000000001</v>
      </c>
      <c r="BF104" s="3">
        <v>6.3666666999999996E-2</v>
      </c>
      <c r="BG104" s="3">
        <v>0.1235</v>
      </c>
      <c r="BH104" s="3">
        <v>1.7000000000000001E-2</v>
      </c>
      <c r="BI104" s="3">
        <v>0.34399999999999997</v>
      </c>
      <c r="BJ104" s="3">
        <v>0.151</v>
      </c>
      <c r="BK104" s="3">
        <v>0.25950000000000001</v>
      </c>
      <c r="BL104" s="3">
        <v>0.29099999999999998</v>
      </c>
      <c r="BM104" s="3">
        <v>0.01</v>
      </c>
      <c r="BN104" s="3">
        <v>0.16900000000000001</v>
      </c>
      <c r="BO104" s="3">
        <v>0.35699999999999998</v>
      </c>
      <c r="BP104" s="48" t="s">
        <v>318</v>
      </c>
      <c r="BQ104" s="49" t="s">
        <v>334</v>
      </c>
      <c r="BR104" s="3">
        <v>11.612</v>
      </c>
      <c r="BS104" s="3">
        <v>10.907</v>
      </c>
      <c r="BT104" s="3">
        <v>10.3</v>
      </c>
      <c r="BU104" s="3">
        <v>9.3140000000000001</v>
      </c>
      <c r="BV104" s="3">
        <v>9.7810000000000006</v>
      </c>
      <c r="BW104" s="3">
        <v>15.975</v>
      </c>
      <c r="BX104" s="3">
        <v>10.473000000000001</v>
      </c>
      <c r="BY104" s="3">
        <v>13.875999999999999</v>
      </c>
      <c r="BZ104" s="3">
        <v>12.68</v>
      </c>
      <c r="CA104" s="3">
        <v>10.712999999999999</v>
      </c>
      <c r="CB104" s="3">
        <v>8.8450000000000006</v>
      </c>
      <c r="CC104" s="3">
        <v>11.377000000000001</v>
      </c>
      <c r="CD104" s="3">
        <v>10.731999999999999</v>
      </c>
    </row>
    <row r="105" spans="1:82" x14ac:dyDescent="0.3">
      <c r="A105" s="48" t="s">
        <v>318</v>
      </c>
      <c r="B105" s="49" t="s">
        <v>335</v>
      </c>
      <c r="C105" s="3">
        <v>36.944497499999997</v>
      </c>
      <c r="D105" s="3">
        <v>48.451799999999999</v>
      </c>
      <c r="E105" s="3">
        <v>48.451799999999999</v>
      </c>
      <c r="F105" s="3">
        <v>26.982035</v>
      </c>
      <c r="G105" s="3">
        <v>34.153252500000001</v>
      </c>
      <c r="H105" s="3">
        <v>48.451799999999999</v>
      </c>
      <c r="I105" s="48" t="s">
        <v>318</v>
      </c>
      <c r="J105" s="49" t="s">
        <v>335</v>
      </c>
      <c r="K105" s="3">
        <v>34376.5</v>
      </c>
      <c r="L105" s="48" t="s">
        <v>318</v>
      </c>
      <c r="M105" s="49" t="s">
        <v>335</v>
      </c>
      <c r="N105" s="3">
        <v>865.76146340000003</v>
      </c>
      <c r="O105" s="3">
        <v>1247.9287059999999</v>
      </c>
      <c r="P105" s="3">
        <v>1740.3925899999999</v>
      </c>
      <c r="Q105" s="3">
        <v>1683.578213</v>
      </c>
      <c r="R105" s="3">
        <v>954.50080920000005</v>
      </c>
      <c r="S105" s="3">
        <v>1029.145597</v>
      </c>
      <c r="T105" s="3">
        <v>840.94549010000003</v>
      </c>
      <c r="U105" s="3">
        <v>1106.144982</v>
      </c>
      <c r="V105" s="3">
        <v>886.00037420000001</v>
      </c>
      <c r="W105" s="3">
        <v>1538.181701</v>
      </c>
      <c r="X105" s="3">
        <v>703.82433430000003</v>
      </c>
      <c r="Y105" s="3">
        <v>198.24266489999999</v>
      </c>
      <c r="Z105" s="3">
        <v>288.21591460000002</v>
      </c>
      <c r="AA105" s="48" t="s">
        <v>318</v>
      </c>
      <c r="AB105" s="49" t="s">
        <v>335</v>
      </c>
      <c r="AC105" s="3">
        <v>3.3000000000000002E-2</v>
      </c>
      <c r="AD105" s="3">
        <v>0.154</v>
      </c>
      <c r="AE105" s="3">
        <v>1.4999999999999999E-2</v>
      </c>
      <c r="AF105" s="3">
        <v>0.122</v>
      </c>
      <c r="AG105" s="3">
        <v>2.1000000000000001E-2</v>
      </c>
      <c r="AH105" s="3">
        <v>0.10299999999999999</v>
      </c>
      <c r="AI105" s="3">
        <v>1.2E-2</v>
      </c>
      <c r="AJ105" s="3">
        <v>0.20899999999999999</v>
      </c>
      <c r="AK105" s="3">
        <v>2.1000000000000001E-2</v>
      </c>
      <c r="AL105" s="3">
        <v>0.254</v>
      </c>
      <c r="AM105" s="3">
        <v>1.4E-2</v>
      </c>
      <c r="AN105" s="3">
        <v>0.318</v>
      </c>
      <c r="AO105" s="3">
        <v>1E-3</v>
      </c>
      <c r="AP105" s="3">
        <v>0.318</v>
      </c>
      <c r="AQ105" s="3">
        <v>3.5000000000000003E-2</v>
      </c>
      <c r="AR105" s="3">
        <v>0.121</v>
      </c>
      <c r="AS105" s="3">
        <v>1.9E-2</v>
      </c>
      <c r="AT105" s="3">
        <v>0.189</v>
      </c>
      <c r="AU105" s="3">
        <v>1.9E-2</v>
      </c>
      <c r="AV105" s="3">
        <v>8.2000000000000003E-2</v>
      </c>
      <c r="AW105" s="3">
        <v>1.0999999999999999E-2</v>
      </c>
      <c r="AX105" s="3">
        <v>9.8000000000000004E-2</v>
      </c>
      <c r="AY105" s="3">
        <v>1.6E-2</v>
      </c>
      <c r="AZ105" s="3">
        <v>4.4999999999999998E-2</v>
      </c>
      <c r="BA105" s="3">
        <v>8.9999999999999993E-3</v>
      </c>
      <c r="BB105" s="3">
        <v>4.7E-2</v>
      </c>
      <c r="BC105" s="3">
        <v>0.115</v>
      </c>
      <c r="BD105" s="3">
        <v>0.124</v>
      </c>
      <c r="BE105" s="3">
        <v>6.3E-2</v>
      </c>
      <c r="BF105" s="3">
        <v>5.7666666999999998E-2</v>
      </c>
      <c r="BG105" s="3">
        <v>0.140333334</v>
      </c>
      <c r="BH105" s="3">
        <v>4.4999999999999998E-2</v>
      </c>
      <c r="BI105" s="3">
        <v>0.31950000000000001</v>
      </c>
      <c r="BJ105" s="3">
        <v>0.16566666699999999</v>
      </c>
      <c r="BK105" s="3">
        <v>0.26400000000000001</v>
      </c>
      <c r="BL105" s="3">
        <v>0.32700000000000001</v>
      </c>
      <c r="BM105" s="3">
        <v>0.01</v>
      </c>
      <c r="BN105" s="3">
        <v>0.20100000000000001</v>
      </c>
      <c r="BO105" s="3">
        <v>0.39200000000000002</v>
      </c>
      <c r="BP105" s="48" t="s">
        <v>318</v>
      </c>
      <c r="BQ105" s="49" t="s">
        <v>335</v>
      </c>
      <c r="BR105" s="3">
        <v>12.176</v>
      </c>
      <c r="BS105" s="3">
        <v>11.39</v>
      </c>
      <c r="BT105" s="3">
        <v>10.542</v>
      </c>
      <c r="BU105" s="3">
        <v>9.5169999999999995</v>
      </c>
      <c r="BV105" s="3">
        <v>10.407999999999999</v>
      </c>
      <c r="BW105" s="3">
        <v>16.010999999999999</v>
      </c>
      <c r="BX105" s="3">
        <v>10.53</v>
      </c>
      <c r="BY105" s="3">
        <v>14.081</v>
      </c>
      <c r="BZ105" s="3">
        <v>12.984</v>
      </c>
      <c r="CA105" s="3">
        <v>10.625</v>
      </c>
      <c r="CB105" s="3">
        <v>9.0879999999999992</v>
      </c>
      <c r="CC105" s="3">
        <v>11.28</v>
      </c>
      <c r="CD105" s="3">
        <v>10.446999999999999</v>
      </c>
    </row>
    <row r="106" spans="1:82" x14ac:dyDescent="0.3">
      <c r="A106" s="48" t="s">
        <v>318</v>
      </c>
      <c r="B106" s="49" t="s">
        <v>336</v>
      </c>
      <c r="C106" s="3">
        <v>48.118254999999998</v>
      </c>
      <c r="D106" s="3">
        <v>48.285027499999998</v>
      </c>
      <c r="E106" s="3">
        <v>50.962164999999999</v>
      </c>
      <c r="F106" s="3">
        <v>26.973257499999999</v>
      </c>
      <c r="G106" s="3">
        <v>33.328167499999999</v>
      </c>
      <c r="H106" s="3">
        <v>50.602287500000003</v>
      </c>
      <c r="I106" s="48" t="s">
        <v>318</v>
      </c>
      <c r="J106" s="49" t="s">
        <v>336</v>
      </c>
      <c r="K106" s="3">
        <v>36072</v>
      </c>
      <c r="L106" s="48" t="s">
        <v>318</v>
      </c>
      <c r="M106" s="49" t="s">
        <v>336</v>
      </c>
      <c r="N106" s="3">
        <v>2560.381809</v>
      </c>
      <c r="O106" s="3">
        <v>3015.3957359999999</v>
      </c>
      <c r="P106" s="3">
        <v>2137.3923850000001</v>
      </c>
      <c r="Q106" s="3">
        <v>2110.3670280000001</v>
      </c>
      <c r="R106" s="3">
        <v>2818.0481199999999</v>
      </c>
      <c r="S106" s="3">
        <v>3046.7233630000001</v>
      </c>
      <c r="T106" s="3">
        <v>2699.6447750000002</v>
      </c>
      <c r="U106" s="3">
        <v>3084.4185339999999</v>
      </c>
      <c r="V106" s="3">
        <v>2400.3364350000002</v>
      </c>
      <c r="W106" s="3">
        <v>1987.535433</v>
      </c>
      <c r="X106" s="3">
        <v>2183.549407</v>
      </c>
      <c r="Y106" s="3">
        <v>343.73418830000003</v>
      </c>
      <c r="Z106" s="3">
        <v>1302.3222430000001</v>
      </c>
      <c r="AA106" s="48" t="s">
        <v>318</v>
      </c>
      <c r="AB106" s="49" t="s">
        <v>336</v>
      </c>
      <c r="AC106" s="3">
        <v>0.19400000000000001</v>
      </c>
      <c r="AD106" s="3">
        <v>0.12</v>
      </c>
      <c r="AE106" s="3">
        <v>0.09</v>
      </c>
      <c r="AF106" s="3">
        <v>9.4E-2</v>
      </c>
      <c r="AG106" s="3">
        <v>0.16700000000000001</v>
      </c>
      <c r="AH106" s="3">
        <v>9.2999999999999999E-2</v>
      </c>
      <c r="AI106" s="3">
        <v>0.14000000000000001</v>
      </c>
      <c r="AJ106" s="3">
        <v>0.14799999999999999</v>
      </c>
      <c r="AK106" s="3">
        <v>0.13800000000000001</v>
      </c>
      <c r="AL106" s="3">
        <v>0.26</v>
      </c>
      <c r="AM106" s="3">
        <v>0.14799999999999999</v>
      </c>
      <c r="AN106" s="3">
        <v>0.27100000000000002</v>
      </c>
      <c r="AO106" s="3">
        <v>4.2000000000000003E-2</v>
      </c>
      <c r="AP106" s="3">
        <v>0.27100000000000002</v>
      </c>
      <c r="AQ106" s="3">
        <v>0.20100000000000001</v>
      </c>
      <c r="AR106" s="3">
        <v>0.114</v>
      </c>
      <c r="AS106" s="3">
        <v>0.13400000000000001</v>
      </c>
      <c r="AT106" s="3">
        <v>0.14599999999999999</v>
      </c>
      <c r="AU106" s="3">
        <v>0.13300000000000001</v>
      </c>
      <c r="AV106" s="3">
        <v>7.0000000000000007E-2</v>
      </c>
      <c r="AW106" s="3">
        <v>0.124</v>
      </c>
      <c r="AX106" s="3">
        <v>7.2999999999999995E-2</v>
      </c>
      <c r="AY106" s="3">
        <v>0.12</v>
      </c>
      <c r="AZ106" s="3">
        <v>5.8000000000000003E-2</v>
      </c>
      <c r="BA106" s="3">
        <v>0.121</v>
      </c>
      <c r="BB106" s="3">
        <v>6.9000000000000006E-2</v>
      </c>
      <c r="BC106" s="3">
        <v>0.111</v>
      </c>
      <c r="BD106" s="3">
        <v>7.7499999999999999E-2</v>
      </c>
      <c r="BE106" s="3">
        <v>3.5499999999999997E-2</v>
      </c>
      <c r="BF106" s="3">
        <v>6.1333332999999997E-2</v>
      </c>
      <c r="BG106" s="3">
        <v>0.13266666699999999</v>
      </c>
      <c r="BH106" s="3">
        <v>7.6999999999999999E-2</v>
      </c>
      <c r="BI106" s="3">
        <v>0.28349999999999997</v>
      </c>
      <c r="BJ106" s="3">
        <v>0.15433333299999999</v>
      </c>
      <c r="BK106" s="3">
        <v>0.22</v>
      </c>
      <c r="BL106" s="3">
        <v>0.325333333</v>
      </c>
      <c r="BM106" s="3">
        <v>0.01</v>
      </c>
      <c r="BN106" s="3">
        <v>0.193333333</v>
      </c>
      <c r="BO106" s="3">
        <v>0.35799999999999998</v>
      </c>
      <c r="BP106" s="48" t="s">
        <v>318</v>
      </c>
      <c r="BQ106" s="49" t="s">
        <v>336</v>
      </c>
      <c r="BR106" s="3">
        <v>14.473000000000001</v>
      </c>
      <c r="BS106" s="3">
        <v>13.688000000000001</v>
      </c>
      <c r="BT106" s="3">
        <v>12.912000000000001</v>
      </c>
      <c r="BU106" s="3">
        <v>11.742000000000001</v>
      </c>
      <c r="BV106" s="3">
        <v>13.468</v>
      </c>
      <c r="BW106" s="3">
        <v>16.015000000000001</v>
      </c>
      <c r="BX106" s="3">
        <v>11.548999999999999</v>
      </c>
      <c r="BY106" s="3">
        <v>15.436</v>
      </c>
      <c r="BZ106" s="3">
        <v>14.74</v>
      </c>
      <c r="CA106" s="3">
        <v>12.507</v>
      </c>
      <c r="CB106" s="3">
        <v>11.669</v>
      </c>
      <c r="CC106" s="3">
        <v>12.555999999999999</v>
      </c>
      <c r="CD106" s="3">
        <v>11.46</v>
      </c>
    </row>
    <row r="107" spans="1:82" x14ac:dyDescent="0.3">
      <c r="A107" s="48" t="s">
        <v>318</v>
      </c>
      <c r="B107" s="49" t="s">
        <v>337</v>
      </c>
      <c r="C107" s="3">
        <v>48.328915000000002</v>
      </c>
      <c r="D107" s="3">
        <v>47.960259999999998</v>
      </c>
      <c r="E107" s="3">
        <v>51.945245</v>
      </c>
      <c r="F107" s="3">
        <v>26.946925</v>
      </c>
      <c r="G107" s="3">
        <v>31.669219999999999</v>
      </c>
      <c r="H107" s="3">
        <v>52.252457499999998</v>
      </c>
      <c r="I107" s="48" t="s">
        <v>318</v>
      </c>
      <c r="J107" s="49" t="s">
        <v>337</v>
      </c>
      <c r="K107" s="3">
        <v>35956.5</v>
      </c>
      <c r="L107" s="48" t="s">
        <v>318</v>
      </c>
      <c r="M107" s="49" t="s">
        <v>337</v>
      </c>
      <c r="N107" s="3">
        <v>2873.4544679999999</v>
      </c>
      <c r="O107" s="3">
        <v>3618.4406159999999</v>
      </c>
      <c r="P107" s="3">
        <v>1697.6628929999999</v>
      </c>
      <c r="Q107" s="3">
        <v>1704.544073</v>
      </c>
      <c r="R107" s="3">
        <v>3438.3662439999998</v>
      </c>
      <c r="S107" s="3">
        <v>4014.1606569999999</v>
      </c>
      <c r="T107" s="3">
        <v>3501.1757510000002</v>
      </c>
      <c r="U107" s="3">
        <v>3407.683853</v>
      </c>
      <c r="V107" s="3">
        <v>2673.1748859999998</v>
      </c>
      <c r="W107" s="3">
        <v>1530.7958839999999</v>
      </c>
      <c r="X107" s="3">
        <v>2887.4832839999999</v>
      </c>
      <c r="Y107" s="3">
        <v>281.60742629999999</v>
      </c>
      <c r="Z107" s="3">
        <v>1126.8540949999999</v>
      </c>
      <c r="AA107" s="48" t="s">
        <v>318</v>
      </c>
      <c r="AB107" s="49" t="s">
        <v>337</v>
      </c>
      <c r="AC107" s="3">
        <v>0.40699999999999997</v>
      </c>
      <c r="AD107" s="3">
        <v>8.6999999999999994E-2</v>
      </c>
      <c r="AE107" s="3">
        <v>0.26600000000000001</v>
      </c>
      <c r="AF107" s="3">
        <v>6.0999999999999999E-2</v>
      </c>
      <c r="AG107" s="3">
        <v>0.35199999999999998</v>
      </c>
      <c r="AH107" s="3">
        <v>6.5000000000000002E-2</v>
      </c>
      <c r="AI107" s="3">
        <v>0.32700000000000001</v>
      </c>
      <c r="AJ107" s="3">
        <v>9.9000000000000005E-2</v>
      </c>
      <c r="AK107" s="3">
        <v>0.38500000000000001</v>
      </c>
      <c r="AL107" s="3">
        <v>0.26300000000000001</v>
      </c>
      <c r="AM107" s="3">
        <v>0.32800000000000001</v>
      </c>
      <c r="AN107" s="3">
        <v>0.20399999999999999</v>
      </c>
      <c r="AO107" s="3">
        <v>0.109</v>
      </c>
      <c r="AP107" s="3">
        <v>0.20399999999999999</v>
      </c>
      <c r="AQ107" s="3">
        <v>0.39900000000000002</v>
      </c>
      <c r="AR107" s="3">
        <v>0.10100000000000001</v>
      </c>
      <c r="AS107" s="3">
        <v>0.38900000000000001</v>
      </c>
      <c r="AT107" s="3">
        <v>0.105</v>
      </c>
      <c r="AU107" s="3">
        <v>0.38900000000000001</v>
      </c>
      <c r="AV107" s="3">
        <v>4.5999999999999999E-2</v>
      </c>
      <c r="AW107" s="3">
        <v>0.375</v>
      </c>
      <c r="AX107" s="3">
        <v>5.6000000000000001E-2</v>
      </c>
      <c r="AY107" s="3">
        <v>0.29699999999999999</v>
      </c>
      <c r="AZ107" s="3">
        <v>5.5E-2</v>
      </c>
      <c r="BA107" s="3">
        <v>0.34200000000000003</v>
      </c>
      <c r="BB107" s="3">
        <v>5.8999999999999997E-2</v>
      </c>
      <c r="BC107" s="3">
        <v>7.9500000000000001E-2</v>
      </c>
      <c r="BD107" s="3">
        <v>3.4000000000000002E-2</v>
      </c>
      <c r="BE107" s="3">
        <v>1.2500000000000001E-2</v>
      </c>
      <c r="BF107" s="3">
        <v>5.1999999999999998E-2</v>
      </c>
      <c r="BG107" s="3">
        <v>0.110416667</v>
      </c>
      <c r="BH107" s="3">
        <v>7.2999999999999995E-2</v>
      </c>
      <c r="BI107" s="3">
        <v>0.23749999999999999</v>
      </c>
      <c r="BJ107" s="3">
        <v>0.14133333300000001</v>
      </c>
      <c r="BK107" s="3">
        <v>0.1875</v>
      </c>
      <c r="BL107" s="3">
        <v>0.28766666699999999</v>
      </c>
      <c r="BM107" s="3">
        <v>0.01</v>
      </c>
      <c r="BN107" s="3">
        <v>0.15166666700000001</v>
      </c>
      <c r="BO107" s="3">
        <v>0.26100000000000001</v>
      </c>
      <c r="BP107" s="48" t="s">
        <v>318</v>
      </c>
      <c r="BQ107" s="49" t="s">
        <v>337</v>
      </c>
      <c r="BR107" s="3">
        <v>15.907</v>
      </c>
      <c r="BS107" s="3">
        <v>15.039</v>
      </c>
      <c r="BT107" s="3">
        <v>14.340999999999999</v>
      </c>
      <c r="BU107" s="3">
        <v>13.234999999999999</v>
      </c>
      <c r="BV107" s="3">
        <v>15.451000000000001</v>
      </c>
      <c r="BW107" s="3">
        <v>16.015000000000001</v>
      </c>
      <c r="BX107" s="3">
        <v>12.458</v>
      </c>
      <c r="BY107" s="3">
        <v>16.202000000000002</v>
      </c>
      <c r="BZ107" s="3">
        <v>16.055</v>
      </c>
      <c r="CA107" s="3">
        <v>14.287000000000001</v>
      </c>
      <c r="CB107" s="3">
        <v>13.535</v>
      </c>
      <c r="CC107" s="3">
        <v>13.749000000000001</v>
      </c>
      <c r="CD107" s="3">
        <v>12.595000000000001</v>
      </c>
    </row>
    <row r="108" spans="1:82" x14ac:dyDescent="0.3">
      <c r="A108" s="48" t="s">
        <v>318</v>
      </c>
      <c r="B108" s="49" t="s">
        <v>338</v>
      </c>
      <c r="C108" s="3">
        <v>41.236694999999997</v>
      </c>
      <c r="D108" s="3">
        <v>47.047400000000003</v>
      </c>
      <c r="E108" s="3">
        <v>47.214172499999997</v>
      </c>
      <c r="F108" s="3">
        <v>26.911815000000001</v>
      </c>
      <c r="G108" s="3">
        <v>31.3971175</v>
      </c>
      <c r="H108" s="3">
        <v>50.435515000000002</v>
      </c>
      <c r="I108" s="48" t="s">
        <v>318</v>
      </c>
      <c r="J108" s="49" t="s">
        <v>338</v>
      </c>
      <c r="K108" s="3">
        <v>34814</v>
      </c>
      <c r="L108" s="48" t="s">
        <v>318</v>
      </c>
      <c r="M108" s="49" t="s">
        <v>338</v>
      </c>
      <c r="N108" s="3">
        <v>2038.060107</v>
      </c>
      <c r="O108" s="3">
        <v>2902.0959910000001</v>
      </c>
      <c r="P108" s="3">
        <v>1376.4176829999999</v>
      </c>
      <c r="Q108" s="3">
        <v>1384.5911060000001</v>
      </c>
      <c r="R108" s="3">
        <v>2605.6765329999998</v>
      </c>
      <c r="S108" s="3">
        <v>3229.4201680000001</v>
      </c>
      <c r="T108" s="3">
        <v>2854.9545910000002</v>
      </c>
      <c r="U108" s="3">
        <v>2314.0943630000002</v>
      </c>
      <c r="V108" s="3">
        <v>1916.6545309999999</v>
      </c>
      <c r="W108" s="3">
        <v>1115.4248889999999</v>
      </c>
      <c r="X108" s="3">
        <v>2290.820972</v>
      </c>
      <c r="Y108" s="3">
        <v>225.38253510000001</v>
      </c>
      <c r="Z108" s="3">
        <v>906.62382379999997</v>
      </c>
      <c r="AA108" s="48" t="s">
        <v>318</v>
      </c>
      <c r="AB108" s="49" t="s">
        <v>338</v>
      </c>
      <c r="AC108" s="3">
        <v>0.55400000000000005</v>
      </c>
      <c r="AD108" s="3">
        <v>6.9000000000000006E-2</v>
      </c>
      <c r="AE108" s="3">
        <v>0.54</v>
      </c>
      <c r="AF108" s="3">
        <v>4.9000000000000002E-2</v>
      </c>
      <c r="AG108" s="3">
        <v>0.505</v>
      </c>
      <c r="AH108" s="3">
        <v>6.4000000000000001E-2</v>
      </c>
      <c r="AI108" s="3">
        <v>0.49199999999999999</v>
      </c>
      <c r="AJ108" s="3">
        <v>7.0999999999999994E-2</v>
      </c>
      <c r="AK108" s="3">
        <v>0.55000000000000004</v>
      </c>
      <c r="AL108" s="3">
        <v>0.25700000000000001</v>
      </c>
      <c r="AM108" s="3">
        <v>0.51300000000000001</v>
      </c>
      <c r="AN108" s="3">
        <v>0.23</v>
      </c>
      <c r="AO108" s="3">
        <v>0.248</v>
      </c>
      <c r="AP108" s="3">
        <v>0.23</v>
      </c>
      <c r="AQ108" s="3">
        <v>0.53500000000000003</v>
      </c>
      <c r="AR108" s="3">
        <v>8.6999999999999994E-2</v>
      </c>
      <c r="AS108" s="3">
        <v>0.54400000000000004</v>
      </c>
      <c r="AT108" s="3">
        <v>8.1000000000000003E-2</v>
      </c>
      <c r="AU108" s="3">
        <v>0.54400000000000004</v>
      </c>
      <c r="AV108" s="3">
        <v>3.7999999999999999E-2</v>
      </c>
      <c r="AW108" s="3">
        <v>0.53600000000000003</v>
      </c>
      <c r="AX108" s="3">
        <v>6.0999999999999999E-2</v>
      </c>
      <c r="AY108" s="3">
        <v>0.53</v>
      </c>
      <c r="AZ108" s="3">
        <v>6.6000000000000003E-2</v>
      </c>
      <c r="BA108" s="3">
        <v>0.52800000000000002</v>
      </c>
      <c r="BB108" s="3">
        <v>7.0999999999999994E-2</v>
      </c>
      <c r="BC108" s="3">
        <v>7.2999999999999995E-2</v>
      </c>
      <c r="BD108" s="3">
        <v>2.1499999999999998E-2</v>
      </c>
      <c r="BE108" s="3">
        <v>7.4999999999999997E-3</v>
      </c>
      <c r="BF108" s="3">
        <v>4.9000000000000002E-2</v>
      </c>
      <c r="BG108" s="3">
        <v>0.1145</v>
      </c>
      <c r="BH108" s="3">
        <v>7.3999999999999996E-2</v>
      </c>
      <c r="BI108" s="3">
        <v>0.2185</v>
      </c>
      <c r="BJ108" s="3">
        <v>0.156</v>
      </c>
      <c r="BK108" s="3">
        <v>0.20549999999999999</v>
      </c>
      <c r="BL108" s="3">
        <v>0.25766666700000002</v>
      </c>
      <c r="BM108" s="3">
        <v>0.01</v>
      </c>
      <c r="BN108" s="3">
        <v>0.13200000000000001</v>
      </c>
      <c r="BO108" s="3">
        <v>0.20399999999999999</v>
      </c>
      <c r="BP108" s="48" t="s">
        <v>318</v>
      </c>
      <c r="BQ108" s="49" t="s">
        <v>338</v>
      </c>
      <c r="BR108" s="3">
        <v>17.085000000000001</v>
      </c>
      <c r="BS108" s="3">
        <v>16.026</v>
      </c>
      <c r="BT108" s="3">
        <v>15.358000000000001</v>
      </c>
      <c r="BU108" s="3">
        <v>14.208</v>
      </c>
      <c r="BV108" s="3">
        <v>17.23</v>
      </c>
      <c r="BW108" s="3">
        <v>16.04</v>
      </c>
      <c r="BX108" s="3">
        <v>13.79</v>
      </c>
      <c r="BY108" s="3">
        <v>16.914000000000001</v>
      </c>
      <c r="BZ108" s="3">
        <v>17.43</v>
      </c>
      <c r="CA108" s="3">
        <v>16.352</v>
      </c>
      <c r="CB108" s="3">
        <v>15.141</v>
      </c>
      <c r="CC108" s="3">
        <v>14.987</v>
      </c>
      <c r="CD108" s="3">
        <v>13.706</v>
      </c>
    </row>
    <row r="109" spans="1:82" x14ac:dyDescent="0.3">
      <c r="A109" s="48" t="s">
        <v>318</v>
      </c>
      <c r="B109" s="49" t="s">
        <v>339</v>
      </c>
      <c r="C109" s="3">
        <v>36.531955000000004</v>
      </c>
      <c r="D109" s="3">
        <v>43.545177500000001</v>
      </c>
      <c r="E109" s="3">
        <v>43.237965000000003</v>
      </c>
      <c r="F109" s="3">
        <v>26.885482499999998</v>
      </c>
      <c r="G109" s="3">
        <v>31.6779975</v>
      </c>
      <c r="H109" s="3">
        <v>47.854930000000003</v>
      </c>
      <c r="I109" s="48" t="s">
        <v>318</v>
      </c>
      <c r="J109" s="49" t="s">
        <v>339</v>
      </c>
      <c r="K109" s="3">
        <v>34112</v>
      </c>
      <c r="L109" s="48" t="s">
        <v>318</v>
      </c>
      <c r="M109" s="49" t="s">
        <v>339</v>
      </c>
      <c r="N109" s="3">
        <v>1341.3569950000001</v>
      </c>
      <c r="O109" s="3">
        <v>2113.7813379999998</v>
      </c>
      <c r="P109" s="3">
        <v>1210.511753</v>
      </c>
      <c r="Q109" s="3">
        <v>1132.5247770000001</v>
      </c>
      <c r="R109" s="3">
        <v>1838.7262009999999</v>
      </c>
      <c r="S109" s="3">
        <v>2339.0632179999998</v>
      </c>
      <c r="T109" s="3">
        <v>2031.80936</v>
      </c>
      <c r="U109" s="3">
        <v>1748.8283960000001</v>
      </c>
      <c r="V109" s="3">
        <v>1322.0264460000001</v>
      </c>
      <c r="W109" s="3">
        <v>819.80204560000004</v>
      </c>
      <c r="X109" s="3">
        <v>1699.6952450000001</v>
      </c>
      <c r="Y109" s="3">
        <v>184.62703189999999</v>
      </c>
      <c r="Z109" s="3">
        <v>837.19548650000002</v>
      </c>
      <c r="AA109" s="48" t="s">
        <v>318</v>
      </c>
      <c r="AB109" s="49" t="s">
        <v>339</v>
      </c>
      <c r="AC109" s="3">
        <v>0.64400000000000002</v>
      </c>
      <c r="AD109" s="3">
        <v>5.5E-2</v>
      </c>
      <c r="AE109" s="3">
        <v>0.63800000000000001</v>
      </c>
      <c r="AF109" s="3">
        <v>4.9000000000000002E-2</v>
      </c>
      <c r="AG109" s="3">
        <v>0.59699999999999998</v>
      </c>
      <c r="AH109" s="3">
        <v>7.4999999999999997E-2</v>
      </c>
      <c r="AI109" s="3">
        <v>0.59299999999999997</v>
      </c>
      <c r="AJ109" s="3">
        <v>4.2999999999999997E-2</v>
      </c>
      <c r="AK109" s="3">
        <v>0.64900000000000002</v>
      </c>
      <c r="AL109" s="3">
        <v>0.245</v>
      </c>
      <c r="AM109" s="3">
        <v>0.61799999999999999</v>
      </c>
      <c r="AN109" s="3">
        <v>0.29399999999999998</v>
      </c>
      <c r="AO109" s="3">
        <v>0.31</v>
      </c>
      <c r="AP109" s="3">
        <v>0.29399999999999998</v>
      </c>
      <c r="AQ109" s="3">
        <v>0.64</v>
      </c>
      <c r="AR109" s="3">
        <v>6.9000000000000006E-2</v>
      </c>
      <c r="AS109" s="3">
        <v>0.64500000000000002</v>
      </c>
      <c r="AT109" s="3">
        <v>5.5E-2</v>
      </c>
      <c r="AU109" s="3">
        <v>0.64500000000000002</v>
      </c>
      <c r="AV109" s="3">
        <v>2.7E-2</v>
      </c>
      <c r="AW109" s="3">
        <v>0.64100000000000001</v>
      </c>
      <c r="AX109" s="3">
        <v>5.5E-2</v>
      </c>
      <c r="AY109" s="3">
        <v>0.63800000000000001</v>
      </c>
      <c r="AZ109" s="3">
        <v>7.5999999999999998E-2</v>
      </c>
      <c r="BA109" s="3">
        <v>0.63700000000000001</v>
      </c>
      <c r="BB109" s="3">
        <v>0.111</v>
      </c>
      <c r="BC109" s="3">
        <v>7.1499999999999994E-2</v>
      </c>
      <c r="BD109" s="3">
        <v>2.1499999999999998E-2</v>
      </c>
      <c r="BE109" s="3">
        <v>7.0000000000000001E-3</v>
      </c>
      <c r="BF109" s="3">
        <v>5.7666666999999998E-2</v>
      </c>
      <c r="BG109" s="3">
        <v>0.12275</v>
      </c>
      <c r="BH109" s="3">
        <v>7.8E-2</v>
      </c>
      <c r="BI109" s="3">
        <v>0.216</v>
      </c>
      <c r="BJ109" s="3">
        <v>0.17399999999999999</v>
      </c>
      <c r="BK109" s="3">
        <v>0.22</v>
      </c>
      <c r="BL109" s="3">
        <v>0.246</v>
      </c>
      <c r="BM109" s="3">
        <v>0.01</v>
      </c>
      <c r="BN109" s="3">
        <v>0.11600000000000001</v>
      </c>
      <c r="BO109" s="3">
        <v>0.158</v>
      </c>
      <c r="BP109" s="48" t="s">
        <v>318</v>
      </c>
      <c r="BQ109" s="49" t="s">
        <v>339</v>
      </c>
      <c r="BR109" s="3">
        <v>17.991</v>
      </c>
      <c r="BS109" s="3">
        <v>16.815999999999999</v>
      </c>
      <c r="BT109" s="3">
        <v>16.178000000000001</v>
      </c>
      <c r="BU109" s="3">
        <v>15.054</v>
      </c>
      <c r="BV109" s="3">
        <v>18.582000000000001</v>
      </c>
      <c r="BW109" s="3">
        <v>16.058</v>
      </c>
      <c r="BX109" s="3">
        <v>14.936</v>
      </c>
      <c r="BY109" s="3">
        <v>17.5</v>
      </c>
      <c r="BZ109" s="3">
        <v>18.481999999999999</v>
      </c>
      <c r="CA109" s="3">
        <v>17.824000000000002</v>
      </c>
      <c r="CB109" s="3">
        <v>16.303000000000001</v>
      </c>
      <c r="CC109" s="3">
        <v>15.923</v>
      </c>
      <c r="CD109" s="3">
        <v>14.858000000000001</v>
      </c>
    </row>
    <row r="110" spans="1:82" x14ac:dyDescent="0.3">
      <c r="A110" s="48" t="s">
        <v>318</v>
      </c>
      <c r="B110" s="49" t="s">
        <v>340</v>
      </c>
      <c r="C110" s="3">
        <v>34.8730075</v>
      </c>
      <c r="D110" s="3">
        <v>43.492512499999997</v>
      </c>
      <c r="E110" s="3">
        <v>43.185299999999998</v>
      </c>
      <c r="F110" s="3">
        <v>26.876705000000001</v>
      </c>
      <c r="G110" s="3">
        <v>30.835357500000001</v>
      </c>
      <c r="H110" s="3">
        <v>47.6530475</v>
      </c>
      <c r="I110" s="48" t="s">
        <v>318</v>
      </c>
      <c r="J110" s="49" t="s">
        <v>340</v>
      </c>
      <c r="K110" s="3">
        <v>33836</v>
      </c>
      <c r="L110" s="48" t="s">
        <v>318</v>
      </c>
      <c r="M110" s="49" t="s">
        <v>340</v>
      </c>
      <c r="N110" s="3">
        <v>1071.994404</v>
      </c>
      <c r="O110" s="3">
        <v>1757.784185</v>
      </c>
      <c r="P110" s="3">
        <v>1137.75884</v>
      </c>
      <c r="Q110" s="3">
        <v>946.02632730000005</v>
      </c>
      <c r="R110" s="3">
        <v>1565.1170500000001</v>
      </c>
      <c r="S110" s="3">
        <v>1941.1338029999999</v>
      </c>
      <c r="T110" s="3">
        <v>1632.7299599999999</v>
      </c>
      <c r="U110" s="3">
        <v>1331.8722889999999</v>
      </c>
      <c r="V110" s="3">
        <v>1026.772622</v>
      </c>
      <c r="W110" s="3">
        <v>735.06966090000003</v>
      </c>
      <c r="X110" s="3">
        <v>1379.5688</v>
      </c>
      <c r="Y110" s="3">
        <v>145.8158157</v>
      </c>
      <c r="Z110" s="3">
        <v>721.44813390000002</v>
      </c>
      <c r="AA110" s="48" t="s">
        <v>318</v>
      </c>
      <c r="AB110" s="49" t="s">
        <v>340</v>
      </c>
      <c r="AC110" s="3">
        <v>0.68600000000000005</v>
      </c>
      <c r="AD110" s="3">
        <v>0.05</v>
      </c>
      <c r="AE110" s="3">
        <v>0.68799999999999994</v>
      </c>
      <c r="AF110" s="3">
        <v>5.1999999999999998E-2</v>
      </c>
      <c r="AG110" s="3">
        <v>0.46800000000000003</v>
      </c>
      <c r="AH110" s="3">
        <v>8.8999999999999996E-2</v>
      </c>
      <c r="AI110" s="3">
        <v>0.59699999999999998</v>
      </c>
      <c r="AJ110" s="3">
        <v>2.9000000000000001E-2</v>
      </c>
      <c r="AK110" s="3">
        <v>0.69799999999999995</v>
      </c>
      <c r="AL110" s="3">
        <v>0.23</v>
      </c>
      <c r="AM110" s="3">
        <v>0.63200000000000001</v>
      </c>
      <c r="AN110" s="3">
        <v>0.32500000000000001</v>
      </c>
      <c r="AO110" s="3">
        <v>0.27800000000000002</v>
      </c>
      <c r="AP110" s="3">
        <v>0.32500000000000001</v>
      </c>
      <c r="AQ110" s="3">
        <v>0.68300000000000005</v>
      </c>
      <c r="AR110" s="3">
        <v>5.2999999999999999E-2</v>
      </c>
      <c r="AS110" s="3">
        <v>0.69499999999999995</v>
      </c>
      <c r="AT110" s="3">
        <v>3.6999999999999998E-2</v>
      </c>
      <c r="AU110" s="3">
        <v>0.69499999999999995</v>
      </c>
      <c r="AV110" s="3">
        <v>1.9E-2</v>
      </c>
      <c r="AW110" s="3">
        <v>0.69799999999999995</v>
      </c>
      <c r="AX110" s="3">
        <v>0.05</v>
      </c>
      <c r="AY110" s="3">
        <v>0.69199999999999995</v>
      </c>
      <c r="AZ110" s="3">
        <v>7.8E-2</v>
      </c>
      <c r="BA110" s="3">
        <v>0.69399999999999995</v>
      </c>
      <c r="BB110" s="3">
        <v>0.13400000000000001</v>
      </c>
      <c r="BC110" s="3">
        <v>7.1499999999999994E-2</v>
      </c>
      <c r="BD110" s="3">
        <v>2.8500000000000001E-2</v>
      </c>
      <c r="BE110" s="3">
        <v>5.4999999999999997E-3</v>
      </c>
      <c r="BF110" s="3">
        <v>6.7333332999999995E-2</v>
      </c>
      <c r="BG110" s="3">
        <v>0.13008333399999999</v>
      </c>
      <c r="BH110" s="3">
        <v>7.5999999999999998E-2</v>
      </c>
      <c r="BI110" s="3">
        <v>0.2205</v>
      </c>
      <c r="BJ110" s="3">
        <v>0.18866666700000001</v>
      </c>
      <c r="BK110" s="3">
        <v>0.22850000000000001</v>
      </c>
      <c r="BL110" s="3">
        <v>0.25800000000000001</v>
      </c>
      <c r="BM110" s="3">
        <v>0.01</v>
      </c>
      <c r="BN110" s="3">
        <v>0.101333333</v>
      </c>
      <c r="BO110" s="3">
        <v>0.124</v>
      </c>
      <c r="BP110" s="48" t="s">
        <v>318</v>
      </c>
      <c r="BQ110" s="49" t="s">
        <v>340</v>
      </c>
      <c r="BR110" s="3">
        <v>18.707999999999998</v>
      </c>
      <c r="BS110" s="3">
        <v>17.417999999999999</v>
      </c>
      <c r="BT110" s="3">
        <v>16.725999999999999</v>
      </c>
      <c r="BU110" s="3">
        <v>15.725</v>
      </c>
      <c r="BV110" s="3">
        <v>19.541</v>
      </c>
      <c r="BW110" s="3">
        <v>16.056999999999999</v>
      </c>
      <c r="BX110" s="3">
        <v>15.638</v>
      </c>
      <c r="BY110" s="3">
        <v>17.925999999999998</v>
      </c>
      <c r="BZ110" s="3">
        <v>19.146999999999998</v>
      </c>
      <c r="CA110" s="3">
        <v>18.766999999999999</v>
      </c>
      <c r="CB110" s="3">
        <v>17.259</v>
      </c>
      <c r="CC110" s="3">
        <v>16.489000000000001</v>
      </c>
      <c r="CD110" s="3">
        <v>15.654999999999999</v>
      </c>
    </row>
    <row r="111" spans="1:82" x14ac:dyDescent="0.3">
      <c r="A111" s="48" t="s">
        <v>318</v>
      </c>
      <c r="B111" s="49" t="s">
        <v>341</v>
      </c>
      <c r="C111" s="3">
        <v>33.205282500000003</v>
      </c>
      <c r="D111" s="3">
        <v>42.246107500000001</v>
      </c>
      <c r="E111" s="3">
        <v>41.947672500000003</v>
      </c>
      <c r="F111" s="3">
        <v>26.885482499999998</v>
      </c>
      <c r="G111" s="3">
        <v>30.572032499999999</v>
      </c>
      <c r="H111" s="3">
        <v>47.0912875</v>
      </c>
      <c r="I111" s="48" t="s">
        <v>318</v>
      </c>
      <c r="J111" s="49" t="s">
        <v>341</v>
      </c>
      <c r="K111" s="3">
        <v>33185</v>
      </c>
      <c r="L111" s="48" t="s">
        <v>318</v>
      </c>
      <c r="M111" s="49" t="s">
        <v>341</v>
      </c>
      <c r="N111" s="3">
        <v>981.02318379999997</v>
      </c>
      <c r="O111" s="3">
        <v>1654.983381</v>
      </c>
      <c r="P111" s="3">
        <v>1140.6155630000001</v>
      </c>
      <c r="Q111" s="3">
        <v>876.168542</v>
      </c>
      <c r="R111" s="3">
        <v>1443.5610770000001</v>
      </c>
      <c r="S111" s="3">
        <v>1756.012019</v>
      </c>
      <c r="T111" s="3">
        <v>1505.969625</v>
      </c>
      <c r="U111" s="3">
        <v>1280.750272</v>
      </c>
      <c r="V111" s="3">
        <v>947.8109207</v>
      </c>
      <c r="W111" s="3">
        <v>796.58780879999995</v>
      </c>
      <c r="X111" s="3">
        <v>1357.754416</v>
      </c>
      <c r="Y111" s="3">
        <v>124.0156927</v>
      </c>
      <c r="Z111" s="3">
        <v>699.29065390000005</v>
      </c>
      <c r="AA111" s="48" t="s">
        <v>318</v>
      </c>
      <c r="AB111" s="49" t="s">
        <v>341</v>
      </c>
      <c r="AC111" s="3">
        <v>0.68600000000000005</v>
      </c>
      <c r="AD111" s="3">
        <v>4.8000000000000001E-2</v>
      </c>
      <c r="AE111" s="3">
        <v>0.68700000000000006</v>
      </c>
      <c r="AF111" s="3">
        <v>5.8999999999999997E-2</v>
      </c>
      <c r="AG111" s="3">
        <v>0.57499999999999996</v>
      </c>
      <c r="AH111" s="3">
        <v>0.107</v>
      </c>
      <c r="AI111" s="3">
        <v>0.53900000000000003</v>
      </c>
      <c r="AJ111" s="3">
        <v>2.1000000000000001E-2</v>
      </c>
      <c r="AK111" s="3">
        <v>0.69799999999999995</v>
      </c>
      <c r="AL111" s="3">
        <v>0.214</v>
      </c>
      <c r="AM111" s="3">
        <v>0.65600000000000003</v>
      </c>
      <c r="AN111" s="3">
        <v>0.33500000000000002</v>
      </c>
      <c r="AO111" s="3">
        <v>0.26600000000000001</v>
      </c>
      <c r="AP111" s="3">
        <v>0.33500000000000002</v>
      </c>
      <c r="AQ111" s="3">
        <v>0.68799999999999994</v>
      </c>
      <c r="AR111" s="3">
        <v>4.2000000000000003E-2</v>
      </c>
      <c r="AS111" s="3">
        <v>0.7</v>
      </c>
      <c r="AT111" s="3">
        <v>2.5999999999999999E-2</v>
      </c>
      <c r="AU111" s="3">
        <v>0.7</v>
      </c>
      <c r="AV111" s="3">
        <v>1.6E-2</v>
      </c>
      <c r="AW111" s="3">
        <v>0.70699999999999996</v>
      </c>
      <c r="AX111" s="3">
        <v>4.7E-2</v>
      </c>
      <c r="AY111" s="3">
        <v>0.69699999999999995</v>
      </c>
      <c r="AZ111" s="3">
        <v>7.9000000000000001E-2</v>
      </c>
      <c r="BA111" s="3">
        <v>0.70499999999999996</v>
      </c>
      <c r="BB111" s="3">
        <v>0.13700000000000001</v>
      </c>
      <c r="BC111" s="3">
        <v>7.4499999999999997E-2</v>
      </c>
      <c r="BD111" s="3">
        <v>4.4499999999999998E-2</v>
      </c>
      <c r="BE111" s="3">
        <v>5.0000000000000001E-3</v>
      </c>
      <c r="BF111" s="3">
        <v>7.0999999999999994E-2</v>
      </c>
      <c r="BG111" s="3">
        <v>0.14074999999999999</v>
      </c>
      <c r="BH111" s="3">
        <v>6.9000000000000006E-2</v>
      </c>
      <c r="BI111" s="3">
        <v>0.20649999999999999</v>
      </c>
      <c r="BJ111" s="3">
        <v>0.20699999999999999</v>
      </c>
      <c r="BK111" s="3">
        <v>0.23499999999999999</v>
      </c>
      <c r="BL111" s="3">
        <v>0.28666666699999999</v>
      </c>
      <c r="BM111" s="3">
        <v>0.01</v>
      </c>
      <c r="BN111" s="3">
        <v>9.0666667000000006E-2</v>
      </c>
      <c r="BO111" s="3">
        <v>0.1</v>
      </c>
      <c r="BP111" s="48" t="s">
        <v>318</v>
      </c>
      <c r="BQ111" s="49" t="s">
        <v>341</v>
      </c>
      <c r="BR111" s="3">
        <v>19.102</v>
      </c>
      <c r="BS111" s="3">
        <v>17.795999999999999</v>
      </c>
      <c r="BT111" s="3">
        <v>17.064</v>
      </c>
      <c r="BU111" s="3">
        <v>16.143000000000001</v>
      </c>
      <c r="BV111" s="3">
        <v>20.097000000000001</v>
      </c>
      <c r="BW111" s="3">
        <v>16.026</v>
      </c>
      <c r="BX111" s="3">
        <v>15.973000000000001</v>
      </c>
      <c r="BY111" s="3">
        <v>18.170999999999999</v>
      </c>
      <c r="BZ111" s="3">
        <v>19.54</v>
      </c>
      <c r="CA111" s="3">
        <v>19.297000000000001</v>
      </c>
      <c r="CB111" s="3">
        <v>17.888999999999999</v>
      </c>
      <c r="CC111" s="3">
        <v>16.774000000000001</v>
      </c>
      <c r="CD111" s="3">
        <v>16.018000000000001</v>
      </c>
    </row>
    <row r="112" spans="1:82" x14ac:dyDescent="0.3">
      <c r="A112" s="48" t="s">
        <v>318</v>
      </c>
      <c r="B112" s="49" t="s">
        <v>342</v>
      </c>
      <c r="C112" s="3">
        <v>31.423449999999999</v>
      </c>
      <c r="D112" s="3">
        <v>42.228552499999999</v>
      </c>
      <c r="E112" s="3">
        <v>41.930117500000001</v>
      </c>
      <c r="F112" s="3">
        <v>26.850372499999999</v>
      </c>
      <c r="G112" s="3">
        <v>31.511225</v>
      </c>
      <c r="H112" s="3">
        <v>46.634857500000003</v>
      </c>
      <c r="I112" s="48" t="s">
        <v>318</v>
      </c>
      <c r="J112" s="49" t="s">
        <v>342</v>
      </c>
      <c r="K112" s="3">
        <v>33059</v>
      </c>
      <c r="L112" s="48" t="s">
        <v>318</v>
      </c>
      <c r="M112" s="49" t="s">
        <v>342</v>
      </c>
      <c r="N112" s="3">
        <v>1100.0994479999999</v>
      </c>
      <c r="O112" s="3">
        <v>1634.089896</v>
      </c>
      <c r="P112" s="3">
        <v>1056.4816639999999</v>
      </c>
      <c r="Q112" s="3">
        <v>1105.913219</v>
      </c>
      <c r="R112" s="3">
        <v>1577.1432339999999</v>
      </c>
      <c r="S112" s="3">
        <v>1707.963796</v>
      </c>
      <c r="T112" s="3">
        <v>1414.1990060000001</v>
      </c>
      <c r="U112" s="3">
        <v>1135.879678</v>
      </c>
      <c r="V112" s="3">
        <v>924.97986709999998</v>
      </c>
      <c r="W112" s="3">
        <v>616.79675840000004</v>
      </c>
      <c r="X112" s="3">
        <v>1265.5956639999999</v>
      </c>
      <c r="Y112" s="3">
        <v>126.0719189</v>
      </c>
      <c r="Z112" s="3">
        <v>456.06035259999999</v>
      </c>
      <c r="AA112" s="48" t="s">
        <v>318</v>
      </c>
      <c r="AB112" s="49" t="s">
        <v>342</v>
      </c>
      <c r="AC112" s="3">
        <v>0.63600000000000001</v>
      </c>
      <c r="AD112" s="3">
        <v>4.8000000000000001E-2</v>
      </c>
      <c r="AE112" s="3">
        <v>0.64300000000000002</v>
      </c>
      <c r="AF112" s="3">
        <v>6.9000000000000006E-2</v>
      </c>
      <c r="AG112" s="3">
        <v>0.54200000000000004</v>
      </c>
      <c r="AH112" s="3">
        <v>0.125</v>
      </c>
      <c r="AI112" s="3">
        <v>0.52</v>
      </c>
      <c r="AJ112" s="3">
        <v>1.7000000000000001E-2</v>
      </c>
      <c r="AK112" s="3">
        <v>0.64900000000000002</v>
      </c>
      <c r="AL112" s="3">
        <v>0.20300000000000001</v>
      </c>
      <c r="AM112" s="3">
        <v>0.626</v>
      </c>
      <c r="AN112" s="3">
        <v>0.34699999999999998</v>
      </c>
      <c r="AO112" s="3">
        <v>0.128</v>
      </c>
      <c r="AP112" s="3">
        <v>0.34699999999999998</v>
      </c>
      <c r="AQ112" s="3">
        <v>0.63800000000000001</v>
      </c>
      <c r="AR112" s="3">
        <v>3.6999999999999998E-2</v>
      </c>
      <c r="AS112" s="3">
        <v>0.65500000000000003</v>
      </c>
      <c r="AT112" s="3">
        <v>1.7999999999999999E-2</v>
      </c>
      <c r="AU112" s="3">
        <v>0.65600000000000003</v>
      </c>
      <c r="AV112" s="3">
        <v>1.7999999999999999E-2</v>
      </c>
      <c r="AW112" s="3">
        <v>0.66700000000000004</v>
      </c>
      <c r="AX112" s="3">
        <v>4.3999999999999997E-2</v>
      </c>
      <c r="AY112" s="3">
        <v>0.65400000000000003</v>
      </c>
      <c r="AZ112" s="3">
        <v>8.3000000000000004E-2</v>
      </c>
      <c r="BA112" s="3">
        <v>0.66700000000000004</v>
      </c>
      <c r="BB112" s="3">
        <v>0.14299999999999999</v>
      </c>
      <c r="BC112" s="3">
        <v>8.2000000000000003E-2</v>
      </c>
      <c r="BD112" s="3">
        <v>7.1999999999999995E-2</v>
      </c>
      <c r="BE112" s="3">
        <v>8.0000000000000002E-3</v>
      </c>
      <c r="BF112" s="3">
        <v>6.6666666999999999E-2</v>
      </c>
      <c r="BG112" s="3">
        <v>0.16</v>
      </c>
      <c r="BH112" s="3">
        <v>5.8000000000000003E-2</v>
      </c>
      <c r="BI112" s="3">
        <v>0.17199999999999999</v>
      </c>
      <c r="BJ112" s="3">
        <v>0.23799999999999999</v>
      </c>
      <c r="BK112" s="3">
        <v>0.2525</v>
      </c>
      <c r="BL112" s="3">
        <v>0.33033333300000001</v>
      </c>
      <c r="BM112" s="3">
        <v>0.01</v>
      </c>
      <c r="BN112" s="3">
        <v>8.6999999999999994E-2</v>
      </c>
      <c r="BO112" s="3">
        <v>8.4000000000000005E-2</v>
      </c>
      <c r="BP112" s="48" t="s">
        <v>318</v>
      </c>
      <c r="BQ112" s="49" t="s">
        <v>342</v>
      </c>
      <c r="BR112" s="3">
        <v>19.266999999999999</v>
      </c>
      <c r="BS112" s="3">
        <v>18.001000000000001</v>
      </c>
      <c r="BT112" s="3">
        <v>17.149999999999999</v>
      </c>
      <c r="BU112" s="3">
        <v>16.329999999999998</v>
      </c>
      <c r="BV112" s="3">
        <v>20.350000000000001</v>
      </c>
      <c r="BW112" s="3">
        <v>15.98</v>
      </c>
      <c r="BX112" s="3">
        <v>16.088000000000001</v>
      </c>
      <c r="BY112" s="3">
        <v>18.254000000000001</v>
      </c>
      <c r="BZ112" s="3">
        <v>19.768999999999998</v>
      </c>
      <c r="CA112" s="3">
        <v>19.303000000000001</v>
      </c>
      <c r="CB112" s="3">
        <v>18.239000000000001</v>
      </c>
      <c r="CC112" s="3">
        <v>16.937000000000001</v>
      </c>
      <c r="CD112" s="3">
        <v>16.195</v>
      </c>
    </row>
    <row r="113" spans="1:82" x14ac:dyDescent="0.3">
      <c r="A113" s="48" t="s">
        <v>318</v>
      </c>
      <c r="B113" s="49" t="s">
        <v>343</v>
      </c>
      <c r="C113" s="3">
        <v>31.423449999999999</v>
      </c>
      <c r="D113" s="3">
        <v>40.797820000000002</v>
      </c>
      <c r="E113" s="3">
        <v>36.698727499999997</v>
      </c>
      <c r="F113" s="3">
        <v>26.85915</v>
      </c>
      <c r="G113" s="3">
        <v>33.433497500000001</v>
      </c>
      <c r="H113" s="3">
        <v>40.499384999999997</v>
      </c>
      <c r="I113" s="48" t="s">
        <v>318</v>
      </c>
      <c r="J113" s="49" t="s">
        <v>343</v>
      </c>
      <c r="K113" s="3">
        <v>33146</v>
      </c>
      <c r="L113" s="48" t="s">
        <v>318</v>
      </c>
      <c r="M113" s="49" t="s">
        <v>343</v>
      </c>
      <c r="N113" s="3">
        <v>975.66743140000005</v>
      </c>
      <c r="O113" s="3">
        <v>1581.001381</v>
      </c>
      <c r="P113" s="3">
        <v>838.64531339999996</v>
      </c>
      <c r="Q113" s="3">
        <v>908.26483080000003</v>
      </c>
      <c r="R113" s="3">
        <v>1467.1801889999999</v>
      </c>
      <c r="S113" s="3">
        <v>1739.417434</v>
      </c>
      <c r="T113" s="3">
        <v>1287.02503</v>
      </c>
      <c r="U113" s="3">
        <v>1221.177782</v>
      </c>
      <c r="V113" s="3">
        <v>917.61814949999996</v>
      </c>
      <c r="W113" s="3">
        <v>550.16520530000003</v>
      </c>
      <c r="X113" s="3">
        <v>1247.3384860000001</v>
      </c>
      <c r="Y113" s="3">
        <v>148.1790565</v>
      </c>
      <c r="Z113" s="3">
        <v>116.7551146</v>
      </c>
      <c r="AA113" s="48" t="s">
        <v>318</v>
      </c>
      <c r="AB113" s="49" t="s">
        <v>343</v>
      </c>
      <c r="AC113" s="3">
        <v>0.54</v>
      </c>
      <c r="AD113" s="3">
        <v>5.3999999999999999E-2</v>
      </c>
      <c r="AE113" s="3">
        <v>0.54800000000000004</v>
      </c>
      <c r="AF113" s="3">
        <v>0.08</v>
      </c>
      <c r="AG113" s="3">
        <v>0.51200000000000001</v>
      </c>
      <c r="AH113" s="3">
        <v>0.14099999999999999</v>
      </c>
      <c r="AI113" s="3">
        <v>0.46200000000000002</v>
      </c>
      <c r="AJ113" s="3">
        <v>1.6E-2</v>
      </c>
      <c r="AK113" s="3">
        <v>0.55200000000000005</v>
      </c>
      <c r="AL113" s="3">
        <v>0.20599999999999999</v>
      </c>
      <c r="AM113" s="3">
        <v>0.54100000000000004</v>
      </c>
      <c r="AN113" s="3">
        <v>0.36</v>
      </c>
      <c r="AO113" s="3">
        <v>0.155</v>
      </c>
      <c r="AP113" s="3">
        <v>0.36</v>
      </c>
      <c r="AQ113" s="3">
        <v>0.55100000000000005</v>
      </c>
      <c r="AR113" s="3">
        <v>3.6999999999999998E-2</v>
      </c>
      <c r="AS113" s="3">
        <v>0.56200000000000006</v>
      </c>
      <c r="AT113" s="3">
        <v>1.4E-2</v>
      </c>
      <c r="AU113" s="3">
        <v>0.56200000000000006</v>
      </c>
      <c r="AV113" s="3">
        <v>2.4E-2</v>
      </c>
      <c r="AW113" s="3">
        <v>0.57899999999999996</v>
      </c>
      <c r="AX113" s="3">
        <v>4.5999999999999999E-2</v>
      </c>
      <c r="AY113" s="3">
        <v>0.56299999999999994</v>
      </c>
      <c r="AZ113" s="3">
        <v>8.5000000000000006E-2</v>
      </c>
      <c r="BA113" s="3">
        <v>0.57999999999999996</v>
      </c>
      <c r="BB113" s="3">
        <v>0.13800000000000001</v>
      </c>
      <c r="BC113" s="3">
        <v>9.9000000000000005E-2</v>
      </c>
      <c r="BD113" s="3">
        <v>0.11</v>
      </c>
      <c r="BE113" s="3">
        <v>1.6500000000000001E-2</v>
      </c>
      <c r="BF113" s="3">
        <v>6.0666667000000001E-2</v>
      </c>
      <c r="BG113" s="3">
        <v>0.19</v>
      </c>
      <c r="BH113" s="3">
        <v>4.9000000000000002E-2</v>
      </c>
      <c r="BI113" s="3">
        <v>0.14000000000000001</v>
      </c>
      <c r="BJ113" s="3">
        <v>0.28100000000000003</v>
      </c>
      <c r="BK113" s="3">
        <v>0.29399999999999998</v>
      </c>
      <c r="BL113" s="3">
        <v>0.38066666700000001</v>
      </c>
      <c r="BM113" s="3">
        <v>0.01</v>
      </c>
      <c r="BN113" s="3">
        <v>8.8999999999999996E-2</v>
      </c>
      <c r="BO113" s="3">
        <v>7.8E-2</v>
      </c>
      <c r="BP113" s="48" t="s">
        <v>318</v>
      </c>
      <c r="BQ113" s="49" t="s">
        <v>343</v>
      </c>
      <c r="BR113" s="3">
        <v>19.102</v>
      </c>
      <c r="BS113" s="3">
        <v>18.036999999999999</v>
      </c>
      <c r="BT113" s="3">
        <v>16.998999999999999</v>
      </c>
      <c r="BU113" s="3">
        <v>16.148</v>
      </c>
      <c r="BV113" s="3">
        <v>20.262</v>
      </c>
      <c r="BW113" s="3">
        <v>15.914999999999999</v>
      </c>
      <c r="BX113" s="3">
        <v>15.887</v>
      </c>
      <c r="BY113" s="3">
        <v>18.202999999999999</v>
      </c>
      <c r="BZ113" s="3">
        <v>19.780999999999999</v>
      </c>
      <c r="CA113" s="3">
        <v>19.134</v>
      </c>
      <c r="CB113" s="3">
        <v>18.219000000000001</v>
      </c>
      <c r="CC113" s="3">
        <v>16.896000000000001</v>
      </c>
      <c r="CD113" s="3">
        <v>16.010999999999999</v>
      </c>
    </row>
    <row r="114" spans="1:82" x14ac:dyDescent="0.3">
      <c r="A114" s="48" t="s">
        <v>318</v>
      </c>
      <c r="B114" s="49" t="s">
        <v>344</v>
      </c>
      <c r="C114" s="3">
        <v>32.836627499999999</v>
      </c>
      <c r="D114" s="3">
        <v>43.395960000000002</v>
      </c>
      <c r="E114" s="3">
        <v>41.324469999999998</v>
      </c>
      <c r="F114" s="3">
        <v>26.85915</v>
      </c>
      <c r="G114" s="3">
        <v>35.127555000000001</v>
      </c>
      <c r="H114" s="3">
        <v>43.194077499999999</v>
      </c>
      <c r="I114" s="48" t="s">
        <v>318</v>
      </c>
      <c r="J114" s="49" t="s">
        <v>344</v>
      </c>
      <c r="K114" s="3">
        <v>35214</v>
      </c>
      <c r="L114" s="48" t="s">
        <v>318</v>
      </c>
      <c r="M114" s="49" t="s">
        <v>344</v>
      </c>
      <c r="N114" s="3">
        <v>951.52437510000004</v>
      </c>
      <c r="O114" s="3">
        <v>1393.4341710000001</v>
      </c>
      <c r="P114" s="3">
        <v>1083.2577510000001</v>
      </c>
      <c r="Q114" s="3">
        <v>1052.4861759999999</v>
      </c>
      <c r="R114" s="3">
        <v>1405.9461980000001</v>
      </c>
      <c r="S114" s="3">
        <v>1685.886892</v>
      </c>
      <c r="T114" s="3">
        <v>1286.1428659999999</v>
      </c>
      <c r="U114" s="3">
        <v>1539.8567849999999</v>
      </c>
      <c r="V114" s="3">
        <v>867.93962929999998</v>
      </c>
      <c r="W114" s="3">
        <v>577.00868360000004</v>
      </c>
      <c r="X114" s="3">
        <v>1089.107669</v>
      </c>
      <c r="Y114" s="3">
        <v>138.31715800000001</v>
      </c>
      <c r="Z114" s="3">
        <v>131.24069710000001</v>
      </c>
      <c r="AA114" s="48" t="s">
        <v>318</v>
      </c>
      <c r="AB114" s="49" t="s">
        <v>344</v>
      </c>
      <c r="AC114" s="3">
        <v>0.38200000000000001</v>
      </c>
      <c r="AD114" s="3">
        <v>7.0000000000000007E-2</v>
      </c>
      <c r="AE114" s="3">
        <v>0.40400000000000003</v>
      </c>
      <c r="AF114" s="3">
        <v>0.1</v>
      </c>
      <c r="AG114" s="3">
        <v>0.36199999999999999</v>
      </c>
      <c r="AH114" s="3">
        <v>0.16</v>
      </c>
      <c r="AI114" s="3">
        <v>0.32300000000000001</v>
      </c>
      <c r="AJ114" s="3">
        <v>2.1999999999999999E-2</v>
      </c>
      <c r="AK114" s="3">
        <v>0.40500000000000003</v>
      </c>
      <c r="AL114" s="3">
        <v>0.23</v>
      </c>
      <c r="AM114" s="3">
        <v>0.40100000000000002</v>
      </c>
      <c r="AN114" s="3">
        <v>0.33900000000000002</v>
      </c>
      <c r="AO114" s="3">
        <v>0.104</v>
      </c>
      <c r="AP114" s="3">
        <v>0.33900000000000002</v>
      </c>
      <c r="AQ114" s="3">
        <v>0.40400000000000003</v>
      </c>
      <c r="AR114" s="3">
        <v>4.2999999999999997E-2</v>
      </c>
      <c r="AS114" s="3">
        <v>0.41699999999999998</v>
      </c>
      <c r="AT114" s="3">
        <v>1.6E-2</v>
      </c>
      <c r="AU114" s="3">
        <v>0.41799999999999998</v>
      </c>
      <c r="AV114" s="3">
        <v>3.4000000000000002E-2</v>
      </c>
      <c r="AW114" s="3">
        <v>0.441</v>
      </c>
      <c r="AX114" s="3">
        <v>5.7000000000000002E-2</v>
      </c>
      <c r="AY114" s="3">
        <v>0.42199999999999999</v>
      </c>
      <c r="AZ114" s="3">
        <v>8.4000000000000005E-2</v>
      </c>
      <c r="BA114" s="3">
        <v>0.443</v>
      </c>
      <c r="BB114" s="3">
        <v>0.11799999999999999</v>
      </c>
      <c r="BC114" s="3">
        <v>0.122</v>
      </c>
      <c r="BD114" s="3">
        <v>0.151</v>
      </c>
      <c r="BE114" s="3">
        <v>3.4500000000000003E-2</v>
      </c>
      <c r="BF114" s="3">
        <v>6.3E-2</v>
      </c>
      <c r="BG114" s="3">
        <v>0.22700000000000001</v>
      </c>
      <c r="BH114" s="3">
        <v>5.2999999999999999E-2</v>
      </c>
      <c r="BI114" s="3">
        <v>0.11600000000000001</v>
      </c>
      <c r="BJ114" s="3">
        <v>0.33200000000000002</v>
      </c>
      <c r="BK114" s="3">
        <v>0.35949999999999999</v>
      </c>
      <c r="BL114" s="3">
        <v>0.436</v>
      </c>
      <c r="BM114" s="3">
        <v>0.01</v>
      </c>
      <c r="BN114" s="3">
        <v>9.5000000000000001E-2</v>
      </c>
      <c r="BO114" s="3">
        <v>8.6999999999999994E-2</v>
      </c>
      <c r="BP114" s="48" t="s">
        <v>318</v>
      </c>
      <c r="BQ114" s="49" t="s">
        <v>344</v>
      </c>
      <c r="BR114" s="3">
        <v>18.739999999999998</v>
      </c>
      <c r="BS114" s="3">
        <v>17.591999999999999</v>
      </c>
      <c r="BT114" s="3">
        <v>16.503</v>
      </c>
      <c r="BU114" s="3">
        <v>15.618</v>
      </c>
      <c r="BV114" s="3">
        <v>19.823</v>
      </c>
      <c r="BW114" s="3">
        <v>15.779</v>
      </c>
      <c r="BX114" s="3">
        <v>15.593</v>
      </c>
      <c r="BY114" s="3">
        <v>17.945</v>
      </c>
      <c r="BZ114" s="3">
        <v>19.442</v>
      </c>
      <c r="CA114" s="3">
        <v>18.631</v>
      </c>
      <c r="CB114" s="3">
        <v>17.8</v>
      </c>
      <c r="CC114" s="3">
        <v>16.675000000000001</v>
      </c>
      <c r="CD114" s="3">
        <v>15.686</v>
      </c>
    </row>
    <row r="115" spans="1:82" x14ac:dyDescent="0.3">
      <c r="A115" s="48" t="s">
        <v>318</v>
      </c>
      <c r="B115" s="49" t="s">
        <v>345</v>
      </c>
      <c r="C115" s="3">
        <v>35.180219999999998</v>
      </c>
      <c r="D115" s="3">
        <v>46.608525</v>
      </c>
      <c r="E115" s="3">
        <v>44.607255000000002</v>
      </c>
      <c r="F115" s="3">
        <v>26.850372499999999</v>
      </c>
      <c r="G115" s="3">
        <v>39.446084999999997</v>
      </c>
      <c r="H115" s="3">
        <v>46.424197499999998</v>
      </c>
      <c r="I115" s="48" t="s">
        <v>318</v>
      </c>
      <c r="J115" s="49" t="s">
        <v>345</v>
      </c>
      <c r="K115" s="3">
        <v>36930.5</v>
      </c>
      <c r="L115" s="48" t="s">
        <v>318</v>
      </c>
      <c r="M115" s="49" t="s">
        <v>345</v>
      </c>
      <c r="N115" s="3">
        <v>1148.172769</v>
      </c>
      <c r="O115" s="3">
        <v>1609.213438</v>
      </c>
      <c r="P115" s="3">
        <v>1463.9971680000001</v>
      </c>
      <c r="Q115" s="3">
        <v>1362.7644769999999</v>
      </c>
      <c r="R115" s="3">
        <v>1537.5879070000001</v>
      </c>
      <c r="S115" s="3">
        <v>1924.0780179999999</v>
      </c>
      <c r="T115" s="3">
        <v>1534.7830570000001</v>
      </c>
      <c r="U115" s="3">
        <v>1160.8366169999999</v>
      </c>
      <c r="V115" s="3">
        <v>944.9271066</v>
      </c>
      <c r="W115" s="3">
        <v>1125.109815</v>
      </c>
      <c r="X115" s="3">
        <v>1240.744721</v>
      </c>
      <c r="Y115" s="3">
        <v>203.8704984</v>
      </c>
      <c r="Z115" s="3">
        <v>562.87225020000005</v>
      </c>
      <c r="AA115" s="48" t="s">
        <v>318</v>
      </c>
      <c r="AB115" s="49" t="s">
        <v>345</v>
      </c>
      <c r="AC115" s="3">
        <v>0.19400000000000001</v>
      </c>
      <c r="AD115" s="3">
        <v>0.108</v>
      </c>
      <c r="AE115" s="3">
        <v>0.219</v>
      </c>
      <c r="AF115" s="3">
        <v>0.13700000000000001</v>
      </c>
      <c r="AG115" s="3">
        <v>0.14899999999999999</v>
      </c>
      <c r="AH115" s="3">
        <v>0.182</v>
      </c>
      <c r="AI115" s="3">
        <v>0.155</v>
      </c>
      <c r="AJ115" s="3">
        <v>4.2999999999999997E-2</v>
      </c>
      <c r="AK115" s="3">
        <v>0.216</v>
      </c>
      <c r="AL115" s="3">
        <v>0.27500000000000002</v>
      </c>
      <c r="AM115" s="3">
        <v>0.22600000000000001</v>
      </c>
      <c r="AN115" s="3">
        <v>0.33900000000000002</v>
      </c>
      <c r="AO115" s="3">
        <v>6.9000000000000006E-2</v>
      </c>
      <c r="AP115" s="3">
        <v>0.33900000000000002</v>
      </c>
      <c r="AQ115" s="3">
        <v>0.19600000000000001</v>
      </c>
      <c r="AR115" s="3">
        <v>6.5000000000000002E-2</v>
      </c>
      <c r="AS115" s="3">
        <v>0.22600000000000001</v>
      </c>
      <c r="AT115" s="3">
        <v>0.03</v>
      </c>
      <c r="AU115" s="3">
        <v>0.22700000000000001</v>
      </c>
      <c r="AV115" s="3">
        <v>4.9000000000000002E-2</v>
      </c>
      <c r="AW115" s="3">
        <v>0.25700000000000001</v>
      </c>
      <c r="AX115" s="3">
        <v>7.6999999999999999E-2</v>
      </c>
      <c r="AY115" s="3">
        <v>0.23799999999999999</v>
      </c>
      <c r="AZ115" s="3">
        <v>0.08</v>
      </c>
      <c r="BA115" s="3">
        <v>0.26200000000000001</v>
      </c>
      <c r="BB115" s="3">
        <v>0.11799999999999999</v>
      </c>
      <c r="BC115" s="3">
        <v>0.1525</v>
      </c>
      <c r="BD115" s="3">
        <v>0.19700000000000001</v>
      </c>
      <c r="BE115" s="3">
        <v>6.9000000000000006E-2</v>
      </c>
      <c r="BF115" s="3">
        <v>8.2000000000000003E-2</v>
      </c>
      <c r="BG115" s="3">
        <v>0.26958333400000001</v>
      </c>
      <c r="BH115" s="3">
        <v>7.3999999999999996E-2</v>
      </c>
      <c r="BI115" s="3">
        <v>0.1225</v>
      </c>
      <c r="BJ115" s="3">
        <v>0.38666666700000002</v>
      </c>
      <c r="BK115" s="3">
        <v>0.4425</v>
      </c>
      <c r="BL115" s="3">
        <v>0.48599999999999999</v>
      </c>
      <c r="BM115" s="3">
        <v>0.01</v>
      </c>
      <c r="BN115" s="3">
        <v>0.10766666699999999</v>
      </c>
      <c r="BO115" s="3">
        <v>0.106</v>
      </c>
      <c r="BP115" s="48" t="s">
        <v>318</v>
      </c>
      <c r="BQ115" s="49" t="s">
        <v>345</v>
      </c>
      <c r="BR115" s="3">
        <v>17.594000000000001</v>
      </c>
      <c r="BS115" s="3">
        <v>16.736999999999998</v>
      </c>
      <c r="BT115" s="3">
        <v>15.696999999999999</v>
      </c>
      <c r="BU115" s="3">
        <v>14.814</v>
      </c>
      <c r="BV115" s="3">
        <v>18.774999999999999</v>
      </c>
      <c r="BW115" s="3">
        <v>15.603</v>
      </c>
      <c r="BX115" s="3">
        <v>15.036</v>
      </c>
      <c r="BY115" s="3">
        <v>17.387</v>
      </c>
      <c r="BZ115" s="3">
        <v>18.611000000000001</v>
      </c>
      <c r="CA115" s="3">
        <v>17.934000000000001</v>
      </c>
      <c r="CB115" s="3">
        <v>16.931999999999999</v>
      </c>
      <c r="CC115" s="3">
        <v>16.266999999999999</v>
      </c>
      <c r="CD115" s="3">
        <v>15.241</v>
      </c>
    </row>
    <row r="116" spans="1:82" x14ac:dyDescent="0.3">
      <c r="A116" s="48" t="s">
        <v>318</v>
      </c>
      <c r="B116" s="49" t="s">
        <v>346</v>
      </c>
      <c r="C116" s="3">
        <v>44.975909999999999</v>
      </c>
      <c r="D116" s="3">
        <v>49.092557499999998</v>
      </c>
      <c r="E116" s="3">
        <v>48.285027499999998</v>
      </c>
      <c r="F116" s="3">
        <v>26.8679275</v>
      </c>
      <c r="G116" s="3">
        <v>34.179585000000003</v>
      </c>
      <c r="H116" s="3">
        <v>49.022337499999999</v>
      </c>
      <c r="I116" s="48" t="s">
        <v>318</v>
      </c>
      <c r="J116" s="49" t="s">
        <v>346</v>
      </c>
      <c r="K116" s="3">
        <v>37937</v>
      </c>
      <c r="L116" s="48" t="s">
        <v>318</v>
      </c>
      <c r="M116" s="49" t="s">
        <v>346</v>
      </c>
      <c r="N116" s="3">
        <v>1776.671063</v>
      </c>
      <c r="O116" s="3">
        <v>2345.597127</v>
      </c>
      <c r="P116" s="3">
        <v>1873.968713</v>
      </c>
      <c r="Q116" s="3">
        <v>1774.8472899999999</v>
      </c>
      <c r="R116" s="3">
        <v>2014.90131</v>
      </c>
      <c r="S116" s="3">
        <v>2672.5154349999998</v>
      </c>
      <c r="T116" s="3">
        <v>2239.0259689999998</v>
      </c>
      <c r="U116" s="3">
        <v>1959.1933369999999</v>
      </c>
      <c r="V116" s="3">
        <v>1690.5668089999999</v>
      </c>
      <c r="W116" s="3">
        <v>1486.8092099999999</v>
      </c>
      <c r="X116" s="3">
        <v>1720.6100750000001</v>
      </c>
      <c r="Y116" s="3">
        <v>313.91322989999998</v>
      </c>
      <c r="Z116" s="3">
        <v>1243.3330940000001</v>
      </c>
      <c r="AA116" s="48" t="s">
        <v>318</v>
      </c>
      <c r="AB116" s="49" t="s">
        <v>346</v>
      </c>
      <c r="AC116" s="3">
        <v>2.4E-2</v>
      </c>
      <c r="AD116" s="3">
        <v>0.188</v>
      </c>
      <c r="AE116" s="3">
        <v>3.7999999999999999E-2</v>
      </c>
      <c r="AF116" s="3">
        <v>0.22700000000000001</v>
      </c>
      <c r="AG116" s="3">
        <v>2.7E-2</v>
      </c>
      <c r="AH116" s="3">
        <v>0.249</v>
      </c>
      <c r="AI116" s="3">
        <v>1.9E-2</v>
      </c>
      <c r="AJ116" s="3">
        <v>0.108</v>
      </c>
      <c r="AK116" s="3">
        <v>3.2000000000000001E-2</v>
      </c>
      <c r="AL116" s="3">
        <v>0.33600000000000002</v>
      </c>
      <c r="AM116" s="3">
        <v>4.4999999999999998E-2</v>
      </c>
      <c r="AN116" s="3">
        <v>0.40899999999999997</v>
      </c>
      <c r="AO116" s="3">
        <v>1.9E-2</v>
      </c>
      <c r="AP116" s="3">
        <v>0.40899999999999997</v>
      </c>
      <c r="AQ116" s="3">
        <v>2.3E-2</v>
      </c>
      <c r="AR116" s="3">
        <v>0.106</v>
      </c>
      <c r="AS116" s="3">
        <v>4.2999999999999997E-2</v>
      </c>
      <c r="AT116" s="3">
        <v>6.3E-2</v>
      </c>
      <c r="AU116" s="3">
        <v>4.3999999999999997E-2</v>
      </c>
      <c r="AV116" s="3">
        <v>7.6999999999999999E-2</v>
      </c>
      <c r="AW116" s="3">
        <v>6.6000000000000003E-2</v>
      </c>
      <c r="AX116" s="3">
        <v>0.11799999999999999</v>
      </c>
      <c r="AY116" s="3">
        <v>5.1999999999999998E-2</v>
      </c>
      <c r="AZ116" s="3">
        <v>9.5000000000000001E-2</v>
      </c>
      <c r="BA116" s="3">
        <v>7.0000000000000007E-2</v>
      </c>
      <c r="BB116" s="3">
        <v>0.16700000000000001</v>
      </c>
      <c r="BC116" s="3">
        <v>0.20599999999999999</v>
      </c>
      <c r="BD116" s="3">
        <v>0.27100000000000002</v>
      </c>
      <c r="BE116" s="3">
        <v>0.13300000000000001</v>
      </c>
      <c r="BF116" s="3">
        <v>0.136333333</v>
      </c>
      <c r="BG116" s="3">
        <v>0.33250000000000002</v>
      </c>
      <c r="BH116" s="3">
        <v>0.126</v>
      </c>
      <c r="BI116" s="3">
        <v>0.17100000000000001</v>
      </c>
      <c r="BJ116" s="3">
        <v>0.45900000000000002</v>
      </c>
      <c r="BK116" s="3">
        <v>0.55700000000000005</v>
      </c>
      <c r="BL116" s="3">
        <v>0.53766666699999999</v>
      </c>
      <c r="BM116" s="3">
        <v>0.01</v>
      </c>
      <c r="BN116" s="3">
        <v>0.13200000000000001</v>
      </c>
      <c r="BO116" s="3">
        <v>0.13700000000000001</v>
      </c>
      <c r="BP116" s="48" t="s">
        <v>318</v>
      </c>
      <c r="BQ116" s="49" t="s">
        <v>346</v>
      </c>
      <c r="BR116" s="3">
        <v>15.305999999999999</v>
      </c>
      <c r="BS116" s="3">
        <v>15.173999999999999</v>
      </c>
      <c r="BT116" s="3">
        <v>14.151</v>
      </c>
      <c r="BU116" s="3">
        <v>13.666</v>
      </c>
      <c r="BV116" s="3">
        <v>16.225000000000001</v>
      </c>
      <c r="BW116" s="3">
        <v>15.504</v>
      </c>
      <c r="BX116" s="3">
        <v>13.951000000000001</v>
      </c>
      <c r="BY116" s="3">
        <v>16.225000000000001</v>
      </c>
      <c r="BZ116" s="3">
        <v>16.818000000000001</v>
      </c>
      <c r="CA116" s="3">
        <v>16.344999999999999</v>
      </c>
      <c r="CB116" s="3">
        <v>14.914999999999999</v>
      </c>
      <c r="CC116" s="3">
        <v>15.33</v>
      </c>
      <c r="CD116" s="3">
        <v>14.340999999999999</v>
      </c>
    </row>
    <row r="117" spans="1:82" x14ac:dyDescent="0.3">
      <c r="A117" s="48" t="s">
        <v>318</v>
      </c>
      <c r="B117" s="49" t="s">
        <v>347</v>
      </c>
      <c r="C117" s="3">
        <v>69.912787499999993</v>
      </c>
      <c r="D117" s="3">
        <v>48.495687500000003</v>
      </c>
      <c r="E117" s="3">
        <v>44.774027500000003</v>
      </c>
      <c r="F117" s="3">
        <v>26.876705000000001</v>
      </c>
      <c r="G117" s="3">
        <v>31.651665000000001</v>
      </c>
      <c r="H117" s="3">
        <v>48.162142500000002</v>
      </c>
      <c r="I117" s="48" t="s">
        <v>318</v>
      </c>
      <c r="J117" s="49" t="s">
        <v>347</v>
      </c>
      <c r="K117" s="3">
        <v>39326</v>
      </c>
      <c r="L117" s="48" t="s">
        <v>318</v>
      </c>
      <c r="M117" s="49" t="s">
        <v>347</v>
      </c>
      <c r="N117" s="3">
        <v>2247.0921130000002</v>
      </c>
      <c r="O117" s="3">
        <v>2943.1734019999999</v>
      </c>
      <c r="P117" s="3">
        <v>2173.0350119999998</v>
      </c>
      <c r="Q117" s="3">
        <v>2398.6194890000002</v>
      </c>
      <c r="R117" s="3">
        <v>2550.3376450000001</v>
      </c>
      <c r="S117" s="3">
        <v>3275.531399</v>
      </c>
      <c r="T117" s="3">
        <v>2934.9313659999998</v>
      </c>
      <c r="U117" s="3">
        <v>2602.0844029999998</v>
      </c>
      <c r="V117" s="3">
        <v>1995.6027779999999</v>
      </c>
      <c r="W117" s="3">
        <v>1774.151719</v>
      </c>
      <c r="X117" s="3">
        <v>2166.4927619999999</v>
      </c>
      <c r="Y117" s="3">
        <v>373.11427750000001</v>
      </c>
      <c r="Z117" s="3">
        <v>1486.687502</v>
      </c>
      <c r="AA117" s="48" t="s">
        <v>318</v>
      </c>
      <c r="AB117" s="49" t="s">
        <v>347</v>
      </c>
      <c r="AC117" s="3">
        <v>0</v>
      </c>
      <c r="AD117" s="3">
        <v>0.26900000000000002</v>
      </c>
      <c r="AE117" s="3">
        <v>0</v>
      </c>
      <c r="AF117" s="3">
        <v>0.33</v>
      </c>
      <c r="AG117" s="3">
        <v>0</v>
      </c>
      <c r="AH117" s="3">
        <v>0.33800000000000002</v>
      </c>
      <c r="AI117" s="3">
        <v>0</v>
      </c>
      <c r="AJ117" s="3">
        <v>0.19600000000000001</v>
      </c>
      <c r="AK117" s="3">
        <v>0</v>
      </c>
      <c r="AL117" s="3">
        <v>0.38900000000000001</v>
      </c>
      <c r="AM117" s="3">
        <v>0</v>
      </c>
      <c r="AN117" s="3">
        <v>0.498</v>
      </c>
      <c r="AO117" s="3">
        <v>0</v>
      </c>
      <c r="AP117" s="3">
        <v>0.498</v>
      </c>
      <c r="AQ117" s="3">
        <v>0</v>
      </c>
      <c r="AR117" s="3">
        <v>0.14199999999999999</v>
      </c>
      <c r="AS117" s="3">
        <v>0</v>
      </c>
      <c r="AT117" s="3">
        <v>0.10199999999999999</v>
      </c>
      <c r="AU117" s="3">
        <v>0</v>
      </c>
      <c r="AV117" s="3">
        <v>0.10299999999999999</v>
      </c>
      <c r="AW117" s="3">
        <v>0</v>
      </c>
      <c r="AX117" s="3">
        <v>0.184</v>
      </c>
      <c r="AY117" s="3">
        <v>0</v>
      </c>
      <c r="AZ117" s="3">
        <v>0.121</v>
      </c>
      <c r="BA117" s="3">
        <v>0</v>
      </c>
      <c r="BB117" s="3">
        <v>0.20599999999999999</v>
      </c>
      <c r="BC117" s="3">
        <v>0.26650000000000001</v>
      </c>
      <c r="BD117" s="3">
        <v>0.312</v>
      </c>
      <c r="BE117" s="3">
        <v>0.193</v>
      </c>
      <c r="BF117" s="3">
        <v>0.222</v>
      </c>
      <c r="BG117" s="3">
        <v>0.38641666699999999</v>
      </c>
      <c r="BH117" s="3">
        <v>0.215</v>
      </c>
      <c r="BI117" s="3">
        <v>0.22750000000000001</v>
      </c>
      <c r="BJ117" s="3">
        <v>0.50633333300000005</v>
      </c>
      <c r="BK117" s="3">
        <v>0.64949999999999997</v>
      </c>
      <c r="BL117" s="3">
        <v>0.58799999999999997</v>
      </c>
      <c r="BM117" s="3">
        <v>0.01</v>
      </c>
      <c r="BN117" s="3">
        <v>0.161</v>
      </c>
      <c r="BO117" s="3">
        <v>0.17299999999999999</v>
      </c>
      <c r="BP117" s="48" t="s">
        <v>318</v>
      </c>
      <c r="BQ117" s="49" t="s">
        <v>347</v>
      </c>
      <c r="BR117" s="3">
        <v>13.757999999999999</v>
      </c>
      <c r="BS117" s="3">
        <v>14.025</v>
      </c>
      <c r="BT117" s="3">
        <v>12.898999999999999</v>
      </c>
      <c r="BU117" s="3">
        <v>12.616</v>
      </c>
      <c r="BV117" s="3">
        <v>14.451000000000001</v>
      </c>
      <c r="BW117" s="3">
        <v>15.46</v>
      </c>
      <c r="BX117" s="3">
        <v>12.782</v>
      </c>
      <c r="BY117" s="3">
        <v>15.279</v>
      </c>
      <c r="BZ117" s="3">
        <v>15.516</v>
      </c>
      <c r="CA117" s="3">
        <v>14.79</v>
      </c>
      <c r="CB117" s="3">
        <v>13.364000000000001</v>
      </c>
      <c r="CC117" s="3">
        <v>14.401999999999999</v>
      </c>
      <c r="CD117" s="3">
        <v>13.532999999999999</v>
      </c>
    </row>
    <row r="118" spans="1:82" x14ac:dyDescent="0.3">
      <c r="A118" s="48" t="s">
        <v>318</v>
      </c>
      <c r="B118" s="49" t="s">
        <v>348</v>
      </c>
      <c r="C118" s="3">
        <v>51.778472499999999</v>
      </c>
      <c r="D118" s="3">
        <v>46.52075</v>
      </c>
      <c r="E118" s="3">
        <v>35.022224999999999</v>
      </c>
      <c r="F118" s="3">
        <v>26.82404</v>
      </c>
      <c r="G118" s="3">
        <v>29.641617499999999</v>
      </c>
      <c r="H118" s="3">
        <v>46.52075</v>
      </c>
      <c r="I118" s="48" t="s">
        <v>318</v>
      </c>
      <c r="J118" s="49" t="s">
        <v>348</v>
      </c>
      <c r="K118" s="3">
        <v>37072</v>
      </c>
      <c r="L118" s="48" t="s">
        <v>318</v>
      </c>
      <c r="M118" s="49" t="s">
        <v>348</v>
      </c>
      <c r="N118" s="3">
        <v>2527.0069290000001</v>
      </c>
      <c r="O118" s="3">
        <v>3406.2784329999999</v>
      </c>
      <c r="P118" s="3">
        <v>2254.7949400000002</v>
      </c>
      <c r="Q118" s="3">
        <v>2244.7914620000001</v>
      </c>
      <c r="R118" s="3">
        <v>3084.2340429999999</v>
      </c>
      <c r="S118" s="3">
        <v>4000.383777</v>
      </c>
      <c r="T118" s="3">
        <v>3403.2916140000002</v>
      </c>
      <c r="U118" s="3">
        <v>3028.2093410000002</v>
      </c>
      <c r="V118" s="3">
        <v>2166.4029030000002</v>
      </c>
      <c r="W118" s="3">
        <v>1859.604073</v>
      </c>
      <c r="X118" s="3">
        <v>2552.685786</v>
      </c>
      <c r="Y118" s="3">
        <v>419.87379659999999</v>
      </c>
      <c r="Z118" s="3">
        <v>1638.7401870000001</v>
      </c>
      <c r="AA118" s="48" t="s">
        <v>318</v>
      </c>
      <c r="AB118" s="49" t="s">
        <v>348</v>
      </c>
      <c r="AC118" s="3">
        <v>0</v>
      </c>
      <c r="AD118" s="3">
        <v>0.29199999999999998</v>
      </c>
      <c r="AE118" s="3">
        <v>0</v>
      </c>
      <c r="AF118" s="3">
        <v>0.36299999999999999</v>
      </c>
      <c r="AG118" s="3">
        <v>0</v>
      </c>
      <c r="AH118" s="3">
        <v>0.36099999999999999</v>
      </c>
      <c r="AI118" s="3">
        <v>0</v>
      </c>
      <c r="AJ118" s="3">
        <v>0.251</v>
      </c>
      <c r="AK118" s="3">
        <v>0</v>
      </c>
      <c r="AL118" s="3">
        <v>0.41</v>
      </c>
      <c r="AM118" s="3">
        <v>0</v>
      </c>
      <c r="AN118" s="3">
        <v>0.54600000000000004</v>
      </c>
      <c r="AO118" s="3">
        <v>0</v>
      </c>
      <c r="AP118" s="3">
        <v>0.54600000000000004</v>
      </c>
      <c r="AQ118" s="3">
        <v>0</v>
      </c>
      <c r="AR118" s="3">
        <v>0.157</v>
      </c>
      <c r="AS118" s="3">
        <v>0</v>
      </c>
      <c r="AT118" s="3">
        <v>0.126</v>
      </c>
      <c r="AU118" s="3">
        <v>0</v>
      </c>
      <c r="AV118" s="3">
        <v>0.115</v>
      </c>
      <c r="AW118" s="3">
        <v>0</v>
      </c>
      <c r="AX118" s="3">
        <v>0.251</v>
      </c>
      <c r="AY118" s="3">
        <v>0</v>
      </c>
      <c r="AZ118" s="3">
        <v>0.14499999999999999</v>
      </c>
      <c r="BA118" s="3">
        <v>0</v>
      </c>
      <c r="BB118" s="3">
        <v>0.21199999999999999</v>
      </c>
      <c r="BC118" s="3">
        <v>0.32250000000000001</v>
      </c>
      <c r="BD118" s="3">
        <v>0.3115</v>
      </c>
      <c r="BE118" s="3">
        <v>0.22600000000000001</v>
      </c>
      <c r="BF118" s="3">
        <v>0.31033333299999999</v>
      </c>
      <c r="BG118" s="3">
        <v>0.42558333399999998</v>
      </c>
      <c r="BH118" s="3">
        <v>0.32800000000000001</v>
      </c>
      <c r="BI118" s="3">
        <v>0.29199999999999998</v>
      </c>
      <c r="BJ118" s="3">
        <v>0.52866666699999998</v>
      </c>
      <c r="BK118" s="3">
        <v>0.68200000000000005</v>
      </c>
      <c r="BL118" s="3">
        <v>0.62533333300000005</v>
      </c>
      <c r="BM118" s="3">
        <v>0.01</v>
      </c>
      <c r="BN118" s="3">
        <v>0.193333333</v>
      </c>
      <c r="BO118" s="3">
        <v>0.216</v>
      </c>
      <c r="BP118" s="48" t="s">
        <v>318</v>
      </c>
      <c r="BQ118" s="49" t="s">
        <v>348</v>
      </c>
      <c r="BR118" s="3">
        <v>12.968999999999999</v>
      </c>
      <c r="BS118" s="3">
        <v>13.561</v>
      </c>
      <c r="BT118" s="3">
        <v>12.513999999999999</v>
      </c>
      <c r="BU118" s="3">
        <v>12.172000000000001</v>
      </c>
      <c r="BV118" s="3">
        <v>13.852</v>
      </c>
      <c r="BW118" s="3">
        <v>15.433</v>
      </c>
      <c r="BX118" s="3">
        <v>12.391999999999999</v>
      </c>
      <c r="BY118" s="3">
        <v>14.811999999999999</v>
      </c>
      <c r="BZ118" s="3">
        <v>14.991</v>
      </c>
      <c r="CA118" s="3">
        <v>14.236000000000001</v>
      </c>
      <c r="CB118" s="3">
        <v>13.052</v>
      </c>
      <c r="CC118" s="3">
        <v>13.993</v>
      </c>
      <c r="CD118" s="3">
        <v>13.157</v>
      </c>
    </row>
    <row r="119" spans="1:82" x14ac:dyDescent="0.3">
      <c r="A119" s="48" t="s">
        <v>318</v>
      </c>
      <c r="B119" s="49" t="s">
        <v>349</v>
      </c>
      <c r="C119" s="3">
        <v>37.7871375</v>
      </c>
      <c r="D119" s="3">
        <v>43.202855</v>
      </c>
      <c r="E119" s="3">
        <v>33.49494</v>
      </c>
      <c r="F119" s="3">
        <v>26.841595000000002</v>
      </c>
      <c r="G119" s="3">
        <v>28.000225</v>
      </c>
      <c r="H119" s="3">
        <v>42.298772499999998</v>
      </c>
      <c r="I119" s="48" t="s">
        <v>318</v>
      </c>
      <c r="J119" s="49" t="s">
        <v>349</v>
      </c>
      <c r="K119" s="3">
        <v>33410</v>
      </c>
      <c r="L119" s="48" t="s">
        <v>318</v>
      </c>
      <c r="M119" s="49" t="s">
        <v>349</v>
      </c>
      <c r="N119" s="3">
        <v>2434.129128</v>
      </c>
      <c r="O119" s="3">
        <v>3439.5382220000001</v>
      </c>
      <c r="P119" s="3">
        <v>1801.3173429999999</v>
      </c>
      <c r="Q119" s="3">
        <v>1867.360772</v>
      </c>
      <c r="R119" s="3">
        <v>3097.8773120000001</v>
      </c>
      <c r="S119" s="3">
        <v>4215.673812</v>
      </c>
      <c r="T119" s="3">
        <v>3410.9986020000001</v>
      </c>
      <c r="U119" s="3">
        <v>2896.8925210000002</v>
      </c>
      <c r="V119" s="3">
        <v>2063.7510309999998</v>
      </c>
      <c r="W119" s="3">
        <v>1484.333678</v>
      </c>
      <c r="X119" s="3">
        <v>2804.3613169999999</v>
      </c>
      <c r="Y119" s="3">
        <v>356.6403186</v>
      </c>
      <c r="Z119" s="3">
        <v>1293.5089559999999</v>
      </c>
      <c r="AA119" s="48" t="s">
        <v>318</v>
      </c>
      <c r="AB119" s="49" t="s">
        <v>349</v>
      </c>
      <c r="AC119" s="3">
        <v>0</v>
      </c>
      <c r="AD119" s="3">
        <v>0.28100000000000003</v>
      </c>
      <c r="AE119" s="3">
        <v>0</v>
      </c>
      <c r="AF119" s="3">
        <v>0.35099999999999998</v>
      </c>
      <c r="AG119" s="3">
        <v>0</v>
      </c>
      <c r="AH119" s="3">
        <v>0.35199999999999998</v>
      </c>
      <c r="AI119" s="3">
        <v>0</v>
      </c>
      <c r="AJ119" s="3">
        <v>0.253</v>
      </c>
      <c r="AK119" s="3">
        <v>0</v>
      </c>
      <c r="AL119" s="3">
        <v>0.39300000000000002</v>
      </c>
      <c r="AM119" s="3">
        <v>0</v>
      </c>
      <c r="AN119" s="3">
        <v>0.58499999999999996</v>
      </c>
      <c r="AO119" s="3">
        <v>0</v>
      </c>
      <c r="AP119" s="3">
        <v>0.58499999999999996</v>
      </c>
      <c r="AQ119" s="3">
        <v>0</v>
      </c>
      <c r="AR119" s="3">
        <v>0.157</v>
      </c>
      <c r="AS119" s="3">
        <v>0</v>
      </c>
      <c r="AT119" s="3">
        <v>0.13100000000000001</v>
      </c>
      <c r="AU119" s="3">
        <v>0</v>
      </c>
      <c r="AV119" s="3">
        <v>0.114</v>
      </c>
      <c r="AW119" s="3">
        <v>0</v>
      </c>
      <c r="AX119" s="3">
        <v>0.29499999999999998</v>
      </c>
      <c r="AY119" s="3">
        <v>0</v>
      </c>
      <c r="AZ119" s="3">
        <v>0.16200000000000001</v>
      </c>
      <c r="BA119" s="3">
        <v>0</v>
      </c>
      <c r="BB119" s="3">
        <v>0.216</v>
      </c>
      <c r="BC119" s="3">
        <v>0.35849999999999999</v>
      </c>
      <c r="BD119" s="3">
        <v>0.3</v>
      </c>
      <c r="BE119" s="3">
        <v>0.23749999999999999</v>
      </c>
      <c r="BF119" s="3">
        <v>0.37933333299999999</v>
      </c>
      <c r="BG119" s="3">
        <v>0.449583334</v>
      </c>
      <c r="BH119" s="3">
        <v>0.434</v>
      </c>
      <c r="BI119" s="3">
        <v>0.35549999999999998</v>
      </c>
      <c r="BJ119" s="3">
        <v>0.54066666699999999</v>
      </c>
      <c r="BK119" s="3">
        <v>0.66849999999999998</v>
      </c>
      <c r="BL119" s="3">
        <v>0.64366666699999997</v>
      </c>
      <c r="BM119" s="3">
        <v>0.01</v>
      </c>
      <c r="BN119" s="3">
        <v>0.22033333299999999</v>
      </c>
      <c r="BO119" s="3">
        <v>0.25</v>
      </c>
      <c r="BP119" s="48" t="s">
        <v>318</v>
      </c>
      <c r="BQ119" s="49" t="s">
        <v>349</v>
      </c>
      <c r="BR119" s="3">
        <v>12.202999999999999</v>
      </c>
      <c r="BS119" s="3">
        <v>12.948</v>
      </c>
      <c r="BT119" s="3">
        <v>12.01</v>
      </c>
      <c r="BU119" s="3">
        <v>11.82</v>
      </c>
      <c r="BV119" s="3">
        <v>13.233000000000001</v>
      </c>
      <c r="BW119" s="3">
        <v>15.409000000000001</v>
      </c>
      <c r="BX119" s="3">
        <v>12.021000000000001</v>
      </c>
      <c r="BY119" s="3">
        <v>14.48</v>
      </c>
      <c r="BZ119" s="3">
        <v>14.484999999999999</v>
      </c>
      <c r="CA119" s="3">
        <v>13.742000000000001</v>
      </c>
      <c r="CB119" s="3">
        <v>12.837999999999999</v>
      </c>
      <c r="CC119" s="3">
        <v>13.464</v>
      </c>
      <c r="CD119" s="3">
        <v>12.698</v>
      </c>
    </row>
    <row r="120" spans="1:82" x14ac:dyDescent="0.3">
      <c r="A120" s="48" t="s">
        <v>318</v>
      </c>
      <c r="B120" s="49" t="s">
        <v>350</v>
      </c>
      <c r="C120" s="3">
        <v>34.8730075</v>
      </c>
      <c r="D120" s="3">
        <v>36.663617500000001</v>
      </c>
      <c r="E120" s="3">
        <v>33.530050000000003</v>
      </c>
      <c r="F120" s="3">
        <v>26.086729999999999</v>
      </c>
      <c r="G120" s="3">
        <v>26.086729999999999</v>
      </c>
      <c r="H120" s="3">
        <v>34.416577500000002</v>
      </c>
      <c r="I120" s="48" t="s">
        <v>318</v>
      </c>
      <c r="J120" s="49" t="s">
        <v>350</v>
      </c>
      <c r="K120" s="3">
        <v>29461</v>
      </c>
      <c r="L120" s="48" t="s">
        <v>318</v>
      </c>
      <c r="M120" s="49" t="s">
        <v>350</v>
      </c>
      <c r="N120" s="3">
        <v>2032.864785</v>
      </c>
      <c r="O120" s="3">
        <v>2828.9256919999998</v>
      </c>
      <c r="P120" s="3">
        <v>1382.169171</v>
      </c>
      <c r="Q120" s="3">
        <v>1370.4939280000001</v>
      </c>
      <c r="R120" s="3">
        <v>2690.341437</v>
      </c>
      <c r="S120" s="3">
        <v>3635.3327089999998</v>
      </c>
      <c r="T120" s="3">
        <v>3011.0011989999998</v>
      </c>
      <c r="U120" s="3">
        <v>2312.9626790000002</v>
      </c>
      <c r="V120" s="3">
        <v>1705.5937980000001</v>
      </c>
      <c r="W120" s="3">
        <v>1111.631834</v>
      </c>
      <c r="X120" s="3">
        <v>2423.0799659999998</v>
      </c>
      <c r="Y120" s="3">
        <v>271.7896887</v>
      </c>
      <c r="Z120" s="3">
        <v>1053.654616</v>
      </c>
      <c r="AA120" s="48" t="s">
        <v>318</v>
      </c>
      <c r="AB120" s="49" t="s">
        <v>350</v>
      </c>
      <c r="AC120" s="3">
        <v>0</v>
      </c>
      <c r="AD120" s="3">
        <v>0.254</v>
      </c>
      <c r="AE120" s="3">
        <v>0</v>
      </c>
      <c r="AF120" s="3">
        <v>0.34100000000000003</v>
      </c>
      <c r="AG120" s="3">
        <v>0</v>
      </c>
      <c r="AH120" s="3">
        <v>0.36099999999999999</v>
      </c>
      <c r="AI120" s="3">
        <v>0</v>
      </c>
      <c r="AJ120" s="3">
        <v>0.217</v>
      </c>
      <c r="AK120" s="3">
        <v>0</v>
      </c>
      <c r="AL120" s="3">
        <v>0.35799999999999998</v>
      </c>
      <c r="AM120" s="3">
        <v>0</v>
      </c>
      <c r="AN120" s="3">
        <v>0.59699999999999998</v>
      </c>
      <c r="AO120" s="3">
        <v>0</v>
      </c>
      <c r="AP120" s="3">
        <v>0.59699999999999998</v>
      </c>
      <c r="AQ120" s="3">
        <v>0</v>
      </c>
      <c r="AR120" s="3">
        <v>0.14699999999999999</v>
      </c>
      <c r="AS120" s="3">
        <v>0</v>
      </c>
      <c r="AT120" s="3">
        <v>0.11899999999999999</v>
      </c>
      <c r="AU120" s="3">
        <v>0</v>
      </c>
      <c r="AV120" s="3">
        <v>0.10299999999999999</v>
      </c>
      <c r="AW120" s="3">
        <v>0</v>
      </c>
      <c r="AX120" s="3">
        <v>0.309</v>
      </c>
      <c r="AY120" s="3">
        <v>0</v>
      </c>
      <c r="AZ120" s="3">
        <v>0.17399999999999999</v>
      </c>
      <c r="BA120" s="3">
        <v>0</v>
      </c>
      <c r="BB120" s="3">
        <v>0.23499999999999999</v>
      </c>
      <c r="BC120" s="3">
        <v>0.3695</v>
      </c>
      <c r="BD120" s="3">
        <v>0.27100000000000002</v>
      </c>
      <c r="BE120" s="3">
        <v>0.21249999999999999</v>
      </c>
      <c r="BF120" s="3">
        <v>0.41199999999999998</v>
      </c>
      <c r="BG120" s="3">
        <v>0.46608333400000002</v>
      </c>
      <c r="BH120" s="3">
        <v>0.49099999999999999</v>
      </c>
      <c r="BI120" s="3">
        <v>0.39450000000000002</v>
      </c>
      <c r="BJ120" s="3">
        <v>0.56266666700000001</v>
      </c>
      <c r="BK120" s="3">
        <v>0.66500000000000004</v>
      </c>
      <c r="BL120" s="3">
        <v>0.62866666699999996</v>
      </c>
      <c r="BM120" s="3">
        <v>0.01</v>
      </c>
      <c r="BN120" s="3">
        <v>0.24099999999999999</v>
      </c>
      <c r="BO120" s="3">
        <v>0.26900000000000002</v>
      </c>
      <c r="BP120" s="48" t="s">
        <v>318</v>
      </c>
      <c r="BQ120" s="49" t="s">
        <v>350</v>
      </c>
      <c r="BR120" s="3">
        <v>11.635999999999999</v>
      </c>
      <c r="BS120" s="3">
        <v>12.47</v>
      </c>
      <c r="BT120" s="3">
        <v>11.728999999999999</v>
      </c>
      <c r="BU120" s="3">
        <v>11.356999999999999</v>
      </c>
      <c r="BV120" s="3">
        <v>12.598000000000001</v>
      </c>
      <c r="BW120" s="3">
        <v>15.433999999999999</v>
      </c>
      <c r="BX120" s="3">
        <v>11.782999999999999</v>
      </c>
      <c r="BY120" s="3">
        <v>14.25</v>
      </c>
      <c r="BZ120" s="3">
        <v>14.016</v>
      </c>
      <c r="CA120" s="3">
        <v>13.201000000000001</v>
      </c>
      <c r="CB120" s="3">
        <v>12.557</v>
      </c>
      <c r="CC120" s="3">
        <v>12.904999999999999</v>
      </c>
      <c r="CD120" s="3">
        <v>12.291</v>
      </c>
    </row>
    <row r="121" spans="1:82" x14ac:dyDescent="0.3">
      <c r="A121" s="48" t="s">
        <v>318</v>
      </c>
      <c r="B121" s="49" t="s">
        <v>351</v>
      </c>
      <c r="C121" s="3">
        <v>31.853547500000001</v>
      </c>
      <c r="D121" s="3">
        <v>33.249169999999999</v>
      </c>
      <c r="E121" s="3">
        <v>41.693125000000002</v>
      </c>
      <c r="F121" s="3">
        <v>26.6572675</v>
      </c>
      <c r="G121" s="3">
        <v>27.131252499999999</v>
      </c>
      <c r="H121" s="3">
        <v>36.988385000000001</v>
      </c>
      <c r="I121" s="48" t="s">
        <v>318</v>
      </c>
      <c r="J121" s="49" t="s">
        <v>351</v>
      </c>
      <c r="K121" s="3">
        <v>25414.5</v>
      </c>
      <c r="L121" s="48" t="s">
        <v>318</v>
      </c>
      <c r="M121" s="49" t="s">
        <v>351</v>
      </c>
      <c r="N121" s="3">
        <v>1597.6687320000001</v>
      </c>
      <c r="O121" s="3">
        <v>2238.6194839999998</v>
      </c>
      <c r="P121" s="3">
        <v>1029.6515669999999</v>
      </c>
      <c r="Q121" s="3">
        <v>981.12284620000003</v>
      </c>
      <c r="R121" s="3">
        <v>2268.9362120000001</v>
      </c>
      <c r="S121" s="3">
        <v>2839.164143</v>
      </c>
      <c r="T121" s="3">
        <v>2429.308282</v>
      </c>
      <c r="U121" s="3">
        <v>1823.587072</v>
      </c>
      <c r="V121" s="3">
        <v>1265.3793370000001</v>
      </c>
      <c r="W121" s="3">
        <v>792.00171020000005</v>
      </c>
      <c r="X121" s="3">
        <v>1868.471487</v>
      </c>
      <c r="Y121" s="3">
        <v>198.5591239</v>
      </c>
      <c r="Z121" s="3">
        <v>328.68299830000001</v>
      </c>
      <c r="AA121" s="48" t="s">
        <v>318</v>
      </c>
      <c r="AB121" s="49" t="s">
        <v>351</v>
      </c>
      <c r="AC121" s="3">
        <v>0</v>
      </c>
      <c r="AD121" s="3">
        <v>0.222</v>
      </c>
      <c r="AE121" s="3">
        <v>0</v>
      </c>
      <c r="AF121" s="3">
        <v>0.34100000000000003</v>
      </c>
      <c r="AG121" s="3">
        <v>0</v>
      </c>
      <c r="AH121" s="3">
        <v>0.37</v>
      </c>
      <c r="AI121" s="3">
        <v>0</v>
      </c>
      <c r="AJ121" s="3">
        <v>0.18099999999999999</v>
      </c>
      <c r="AK121" s="3">
        <v>0</v>
      </c>
      <c r="AL121" s="3">
        <v>0.32100000000000001</v>
      </c>
      <c r="AM121" s="3">
        <v>0</v>
      </c>
      <c r="AN121" s="3">
        <v>0.58099999999999996</v>
      </c>
      <c r="AO121" s="3">
        <v>0</v>
      </c>
      <c r="AP121" s="3">
        <v>0.58099999999999996</v>
      </c>
      <c r="AQ121" s="3">
        <v>0</v>
      </c>
      <c r="AR121" s="3">
        <v>0.13800000000000001</v>
      </c>
      <c r="AS121" s="3">
        <v>0</v>
      </c>
      <c r="AT121" s="3">
        <v>0.113</v>
      </c>
      <c r="AU121" s="3">
        <v>0</v>
      </c>
      <c r="AV121" s="3">
        <v>9.4E-2</v>
      </c>
      <c r="AW121" s="3">
        <v>0</v>
      </c>
      <c r="AX121" s="3">
        <v>0.31</v>
      </c>
      <c r="AY121" s="3">
        <v>0</v>
      </c>
      <c r="AZ121" s="3">
        <v>0.183</v>
      </c>
      <c r="BA121" s="3">
        <v>0</v>
      </c>
      <c r="BB121" s="3">
        <v>0.25700000000000001</v>
      </c>
      <c r="BC121" s="3">
        <v>0.35599999999999998</v>
      </c>
      <c r="BD121" s="3">
        <v>0.215</v>
      </c>
      <c r="BE121" s="3">
        <v>0.16</v>
      </c>
      <c r="BF121" s="3">
        <v>0.424666667</v>
      </c>
      <c r="BG121" s="3">
        <v>0.46933333399999999</v>
      </c>
      <c r="BH121" s="3">
        <v>0.50800000000000001</v>
      </c>
      <c r="BI121" s="3">
        <v>0.42049999999999998</v>
      </c>
      <c r="BJ121" s="3">
        <v>0.58266666700000003</v>
      </c>
      <c r="BK121" s="3">
        <v>0.67249999999999999</v>
      </c>
      <c r="BL121" s="3">
        <v>0.58133333300000001</v>
      </c>
      <c r="BM121" s="3">
        <v>0.01</v>
      </c>
      <c r="BN121" s="3">
        <v>0.25333333299999999</v>
      </c>
      <c r="BO121" s="3">
        <v>0.27700000000000002</v>
      </c>
      <c r="BP121" s="48" t="s">
        <v>318</v>
      </c>
      <c r="BQ121" s="49" t="s">
        <v>351</v>
      </c>
      <c r="BR121" s="3">
        <v>11.196</v>
      </c>
      <c r="BS121" s="3">
        <v>12.157999999999999</v>
      </c>
      <c r="BT121" s="3">
        <v>11.507999999999999</v>
      </c>
      <c r="BU121" s="3">
        <v>10.94</v>
      </c>
      <c r="BV121" s="3">
        <v>12.135999999999999</v>
      </c>
      <c r="BW121" s="3">
        <v>15.457000000000001</v>
      </c>
      <c r="BX121" s="3">
        <v>11.432</v>
      </c>
      <c r="BY121" s="3">
        <v>14.127000000000001</v>
      </c>
      <c r="BZ121" s="3">
        <v>13.792</v>
      </c>
      <c r="CA121" s="3">
        <v>12.598000000000001</v>
      </c>
      <c r="CB121" s="3">
        <v>12.215</v>
      </c>
      <c r="CC121" s="3">
        <v>12.475</v>
      </c>
      <c r="CD121" s="3">
        <v>11.930999999999999</v>
      </c>
    </row>
    <row r="122" spans="1:82" x14ac:dyDescent="0.3">
      <c r="A122" s="48" t="s">
        <v>318</v>
      </c>
      <c r="B122" s="49" t="s">
        <v>352</v>
      </c>
      <c r="C122" s="3">
        <v>28.052890000000001</v>
      </c>
      <c r="D122" s="3">
        <v>30.370149999999999</v>
      </c>
      <c r="E122" s="3">
        <v>35.022224999999999</v>
      </c>
      <c r="F122" s="3">
        <v>26.367609999999999</v>
      </c>
      <c r="G122" s="3">
        <v>26.367609999999999</v>
      </c>
      <c r="H122" s="3">
        <v>32.415307499999997</v>
      </c>
      <c r="I122" s="48" t="s">
        <v>318</v>
      </c>
      <c r="J122" s="49" t="s">
        <v>352</v>
      </c>
      <c r="K122" s="3">
        <v>23997</v>
      </c>
      <c r="L122" s="48" t="s">
        <v>318</v>
      </c>
      <c r="M122" s="49" t="s">
        <v>352</v>
      </c>
      <c r="N122" s="3">
        <v>1187.1766319999999</v>
      </c>
      <c r="O122" s="3">
        <v>1708.6927430000001</v>
      </c>
      <c r="P122" s="3">
        <v>736.35012570000004</v>
      </c>
      <c r="Q122" s="3">
        <v>692.02998200000002</v>
      </c>
      <c r="R122" s="3">
        <v>1715.766269</v>
      </c>
      <c r="S122" s="3">
        <v>2016.0217680000001</v>
      </c>
      <c r="T122" s="3">
        <v>1698.6068540000001</v>
      </c>
      <c r="U122" s="3">
        <v>1292.9603549999999</v>
      </c>
      <c r="V122" s="3">
        <v>913.04779259999998</v>
      </c>
      <c r="W122" s="3">
        <v>506.11867860000001</v>
      </c>
      <c r="X122" s="3">
        <v>1413.0153359999999</v>
      </c>
      <c r="Y122" s="3">
        <v>122.4158309</v>
      </c>
      <c r="Z122" s="3">
        <v>239.89497230000001</v>
      </c>
      <c r="AA122" s="48" t="s">
        <v>318</v>
      </c>
      <c r="AB122" s="49" t="s">
        <v>352</v>
      </c>
      <c r="AC122" s="3">
        <v>0</v>
      </c>
      <c r="AD122" s="3">
        <v>0.19900000000000001</v>
      </c>
      <c r="AE122" s="3">
        <v>0</v>
      </c>
      <c r="AF122" s="3">
        <v>0.33</v>
      </c>
      <c r="AG122" s="3">
        <v>0</v>
      </c>
      <c r="AH122" s="3">
        <v>0.376</v>
      </c>
      <c r="AI122" s="3">
        <v>0</v>
      </c>
      <c r="AJ122" s="3">
        <v>0.159</v>
      </c>
      <c r="AK122" s="3">
        <v>0</v>
      </c>
      <c r="AL122" s="3">
        <v>0.28499999999999998</v>
      </c>
      <c r="AM122" s="3">
        <v>0</v>
      </c>
      <c r="AN122" s="3">
        <v>0.59899999999999998</v>
      </c>
      <c r="AO122" s="3">
        <v>0</v>
      </c>
      <c r="AP122" s="3">
        <v>0.59899999999999998</v>
      </c>
      <c r="AQ122" s="3">
        <v>0</v>
      </c>
      <c r="AR122" s="3">
        <v>0.13400000000000001</v>
      </c>
      <c r="AS122" s="3">
        <v>0</v>
      </c>
      <c r="AT122" s="3">
        <v>0.121</v>
      </c>
      <c r="AU122" s="3">
        <v>0</v>
      </c>
      <c r="AV122" s="3">
        <v>0.11799999999999999</v>
      </c>
      <c r="AW122" s="3">
        <v>0</v>
      </c>
      <c r="AX122" s="3">
        <v>0.314</v>
      </c>
      <c r="AY122" s="3">
        <v>0</v>
      </c>
      <c r="AZ122" s="3">
        <v>0.20499999999999999</v>
      </c>
      <c r="BA122" s="3">
        <v>0</v>
      </c>
      <c r="BB122" s="3">
        <v>0.28100000000000003</v>
      </c>
      <c r="BC122" s="3">
        <v>0.33750000000000002</v>
      </c>
      <c r="BD122" s="3">
        <v>0.1545</v>
      </c>
      <c r="BE122" s="3">
        <v>0.1135</v>
      </c>
      <c r="BF122" s="3">
        <v>0.43766666700000001</v>
      </c>
      <c r="BG122" s="3">
        <v>0.46975</v>
      </c>
      <c r="BH122" s="3">
        <v>0.51700000000000002</v>
      </c>
      <c r="BI122" s="3">
        <v>0.4345</v>
      </c>
      <c r="BJ122" s="3">
        <v>0.60199999999999998</v>
      </c>
      <c r="BK122" s="3">
        <v>0.68</v>
      </c>
      <c r="BL122" s="3">
        <v>0.53866666699999999</v>
      </c>
      <c r="BM122" s="3">
        <v>0.01</v>
      </c>
      <c r="BN122" s="3">
        <v>0.26</v>
      </c>
      <c r="BO122" s="3">
        <v>0.27400000000000002</v>
      </c>
      <c r="BP122" s="48" t="s">
        <v>318</v>
      </c>
      <c r="BQ122" s="49" t="s">
        <v>352</v>
      </c>
      <c r="BR122" s="3">
        <v>10.827</v>
      </c>
      <c r="BS122" s="3">
        <v>11.814</v>
      </c>
      <c r="BT122" s="3">
        <v>11.298999999999999</v>
      </c>
      <c r="BU122" s="3">
        <v>10.738</v>
      </c>
      <c r="BV122" s="3">
        <v>11.863</v>
      </c>
      <c r="BW122" s="3">
        <v>15.489000000000001</v>
      </c>
      <c r="BX122" s="3">
        <v>11.16</v>
      </c>
      <c r="BY122" s="3">
        <v>14.025</v>
      </c>
      <c r="BZ122" s="3">
        <v>13.672000000000001</v>
      </c>
      <c r="CA122" s="3">
        <v>12.03</v>
      </c>
      <c r="CB122" s="3">
        <v>11.798999999999999</v>
      </c>
      <c r="CC122" s="3">
        <v>12.111000000000001</v>
      </c>
      <c r="CD122" s="3">
        <v>11.651999999999999</v>
      </c>
    </row>
    <row r="123" spans="1:82" x14ac:dyDescent="0.3">
      <c r="A123" s="48" t="s">
        <v>319</v>
      </c>
      <c r="B123" s="49" t="s">
        <v>329</v>
      </c>
      <c r="C123" s="3">
        <v>30.322887170000001</v>
      </c>
      <c r="D123" s="3">
        <v>39.917831999999997</v>
      </c>
      <c r="E123" s="3">
        <v>23.965006670000001</v>
      </c>
      <c r="F123" s="3">
        <v>22.328590169999998</v>
      </c>
      <c r="G123" s="3">
        <v>9.5860026670000007</v>
      </c>
      <c r="H123" s="3">
        <v>40.275518669999997</v>
      </c>
      <c r="I123" s="48" t="s">
        <v>319</v>
      </c>
      <c r="J123" s="49" t="s">
        <v>329</v>
      </c>
      <c r="K123" s="3">
        <v>22489</v>
      </c>
      <c r="L123" s="48" t="s">
        <v>319</v>
      </c>
      <c r="M123" s="49" t="s">
        <v>329</v>
      </c>
      <c r="N123" s="3">
        <v>1165.9349400000001</v>
      </c>
      <c r="O123" s="3">
        <v>1276.350195</v>
      </c>
      <c r="P123" s="3">
        <v>697.58914800000002</v>
      </c>
      <c r="Q123" s="3">
        <v>809.57590230000005</v>
      </c>
      <c r="R123" s="3">
        <v>1617.256805</v>
      </c>
      <c r="S123" s="3">
        <v>1684.8727980000001</v>
      </c>
      <c r="T123" s="3">
        <v>1235.948619</v>
      </c>
      <c r="U123" s="3">
        <v>1450.745226</v>
      </c>
      <c r="V123" s="3">
        <v>935.39383329999998</v>
      </c>
      <c r="W123" s="3">
        <v>459.12948399999999</v>
      </c>
      <c r="X123" s="3">
        <v>1036.497668</v>
      </c>
      <c r="Y123" s="3">
        <v>112.97968729999999</v>
      </c>
      <c r="Z123" s="3">
        <v>28.647373259999998</v>
      </c>
      <c r="AA123" s="48" t="s">
        <v>319</v>
      </c>
      <c r="AB123" s="49" t="s">
        <v>329</v>
      </c>
      <c r="AC123" s="3">
        <v>0</v>
      </c>
      <c r="AD123" s="3">
        <v>0.46899999999999997</v>
      </c>
      <c r="AE123" s="3">
        <v>0</v>
      </c>
      <c r="AF123" s="3">
        <v>0.46500000000000002</v>
      </c>
      <c r="AG123" s="3">
        <v>0</v>
      </c>
      <c r="AH123" s="3">
        <v>0.54400000000000004</v>
      </c>
      <c r="AI123" s="3">
        <v>0</v>
      </c>
      <c r="AJ123" s="3">
        <v>0.42</v>
      </c>
      <c r="AK123" s="3">
        <v>0</v>
      </c>
      <c r="AL123" s="3">
        <v>0.87</v>
      </c>
      <c r="AM123" s="3">
        <v>0</v>
      </c>
      <c r="AN123" s="3">
        <v>0.81599999999999995</v>
      </c>
      <c r="AO123" s="3">
        <v>0</v>
      </c>
      <c r="AP123" s="3">
        <v>0.81599999999999995</v>
      </c>
      <c r="AQ123" s="3">
        <v>0</v>
      </c>
      <c r="AR123" s="3">
        <v>0.56299999999999994</v>
      </c>
      <c r="AS123" s="3">
        <v>0</v>
      </c>
      <c r="AT123" s="3">
        <v>0.48299999999999998</v>
      </c>
      <c r="AU123" s="3">
        <v>0</v>
      </c>
      <c r="AV123" s="3">
        <v>0.56399999999999995</v>
      </c>
      <c r="AW123" s="3">
        <v>0</v>
      </c>
      <c r="AX123" s="3">
        <v>0.56399999999999995</v>
      </c>
      <c r="AY123" s="3">
        <v>0</v>
      </c>
      <c r="AZ123" s="3">
        <v>0.66700000000000004</v>
      </c>
      <c r="BA123" s="3">
        <v>0</v>
      </c>
      <c r="BB123" s="3">
        <v>0.68</v>
      </c>
      <c r="BC123" s="3">
        <v>0.45050000000000001</v>
      </c>
      <c r="BD123" s="3">
        <v>0.19800000000000001</v>
      </c>
      <c r="BE123" s="3">
        <v>0.192</v>
      </c>
      <c r="BF123" s="3">
        <v>0.27433333300000001</v>
      </c>
      <c r="BG123" s="3">
        <v>0.56558333400000005</v>
      </c>
      <c r="BH123" s="3">
        <v>0.29199999999999998</v>
      </c>
      <c r="BI123" s="3">
        <v>0.1895</v>
      </c>
      <c r="BJ123" s="3">
        <v>0.680666667</v>
      </c>
      <c r="BK123" s="3">
        <v>0.74150000000000005</v>
      </c>
      <c r="BL123" s="3">
        <v>0.97533333300000002</v>
      </c>
      <c r="BM123" s="3">
        <v>0.01</v>
      </c>
      <c r="BN123" s="3">
        <v>0.70899999999999996</v>
      </c>
      <c r="BO123" s="3">
        <v>0.96599999999999997</v>
      </c>
      <c r="BP123" s="48" t="s">
        <v>319</v>
      </c>
      <c r="BQ123" s="49" t="s">
        <v>329</v>
      </c>
      <c r="BR123" s="3">
        <v>8.9280000000000008</v>
      </c>
      <c r="BS123" s="3">
        <v>9.5410000000000004</v>
      </c>
      <c r="BT123" s="3">
        <v>9.4290000000000003</v>
      </c>
      <c r="BU123" s="3">
        <v>10.347</v>
      </c>
      <c r="BV123" s="3">
        <v>8.5399999999999991</v>
      </c>
      <c r="BW123" s="3">
        <v>13.704000000000001</v>
      </c>
      <c r="BX123" s="3">
        <v>10.664</v>
      </c>
      <c r="BY123" s="3">
        <v>11.974</v>
      </c>
      <c r="BZ123" s="3">
        <v>10.891999999999999</v>
      </c>
      <c r="CA123" s="3">
        <v>9.8030000000000008</v>
      </c>
      <c r="CB123" s="3">
        <v>9.9220000000000006</v>
      </c>
      <c r="CC123" s="3">
        <v>12.313000000000001</v>
      </c>
      <c r="CD123" s="3">
        <v>11.911</v>
      </c>
    </row>
    <row r="124" spans="1:82" x14ac:dyDescent="0.3">
      <c r="A124" s="48" t="s">
        <v>319</v>
      </c>
      <c r="B124" s="49" t="s">
        <v>330</v>
      </c>
      <c r="C124" s="3">
        <v>30.322887170000001</v>
      </c>
      <c r="D124" s="3">
        <v>37.467678329999998</v>
      </c>
      <c r="E124" s="3">
        <v>22.972426169999999</v>
      </c>
      <c r="F124" s="3">
        <v>22.239168500000002</v>
      </c>
      <c r="G124" s="3">
        <v>9.8721519999999998</v>
      </c>
      <c r="H124" s="3">
        <v>24.05442833</v>
      </c>
      <c r="I124" s="48" t="s">
        <v>319</v>
      </c>
      <c r="J124" s="49" t="s">
        <v>330</v>
      </c>
      <c r="K124" s="3">
        <v>21939</v>
      </c>
      <c r="L124" s="48" t="s">
        <v>319</v>
      </c>
      <c r="M124" s="49" t="s">
        <v>330</v>
      </c>
      <c r="N124" s="3">
        <v>811.07691169999998</v>
      </c>
      <c r="O124" s="3">
        <v>911.74068139999997</v>
      </c>
      <c r="P124" s="3">
        <v>597.19347700000003</v>
      </c>
      <c r="Q124" s="3">
        <v>733.50565449999999</v>
      </c>
      <c r="R124" s="3">
        <v>1137.843406</v>
      </c>
      <c r="S124" s="3">
        <v>1135.839013</v>
      </c>
      <c r="T124" s="3">
        <v>861.00252079999996</v>
      </c>
      <c r="U124" s="3">
        <v>949.07296610000003</v>
      </c>
      <c r="V124" s="3">
        <v>697.78852700000004</v>
      </c>
      <c r="W124" s="3">
        <v>337.32687449999997</v>
      </c>
      <c r="X124" s="3">
        <v>640.99097259999996</v>
      </c>
      <c r="Y124" s="3">
        <v>81.345855940000007</v>
      </c>
      <c r="Z124" s="3">
        <v>75.595894999999999</v>
      </c>
      <c r="AA124" s="48" t="s">
        <v>319</v>
      </c>
      <c r="AB124" s="49" t="s">
        <v>330</v>
      </c>
      <c r="AC124" s="3">
        <v>0</v>
      </c>
      <c r="AD124" s="3">
        <v>0.47899999999999998</v>
      </c>
      <c r="AE124" s="3">
        <v>0</v>
      </c>
      <c r="AF124" s="3">
        <v>0.55000000000000004</v>
      </c>
      <c r="AG124" s="3">
        <v>0</v>
      </c>
      <c r="AH124" s="3">
        <v>0.56899999999999995</v>
      </c>
      <c r="AI124" s="3">
        <v>0</v>
      </c>
      <c r="AJ124" s="3">
        <v>0.46600000000000003</v>
      </c>
      <c r="AK124" s="3">
        <v>0</v>
      </c>
      <c r="AL124" s="3">
        <v>0.91900000000000004</v>
      </c>
      <c r="AM124" s="3">
        <v>0</v>
      </c>
      <c r="AN124" s="3">
        <v>0.82099999999999995</v>
      </c>
      <c r="AO124" s="3">
        <v>0</v>
      </c>
      <c r="AP124" s="3">
        <v>0.82099999999999995</v>
      </c>
      <c r="AQ124" s="3">
        <v>0</v>
      </c>
      <c r="AR124" s="3">
        <v>0.63100000000000001</v>
      </c>
      <c r="AS124" s="3">
        <v>0</v>
      </c>
      <c r="AT124" s="3">
        <v>0.54900000000000004</v>
      </c>
      <c r="AU124" s="3">
        <v>0</v>
      </c>
      <c r="AV124" s="3">
        <v>0.60099999999999998</v>
      </c>
      <c r="AW124" s="3">
        <v>0</v>
      </c>
      <c r="AX124" s="3">
        <v>0.52400000000000002</v>
      </c>
      <c r="AY124" s="3">
        <v>0</v>
      </c>
      <c r="AZ124" s="3">
        <v>0.69399999999999995</v>
      </c>
      <c r="BA124" s="3">
        <v>0</v>
      </c>
      <c r="BB124" s="3">
        <v>0.68500000000000005</v>
      </c>
      <c r="BC124" s="3">
        <v>0.46750000000000003</v>
      </c>
      <c r="BD124" s="3">
        <v>0.14399999999999999</v>
      </c>
      <c r="BE124" s="3">
        <v>0.152</v>
      </c>
      <c r="BF124" s="3">
        <v>0.36199999999999999</v>
      </c>
      <c r="BG124" s="3">
        <v>0.56025000000000003</v>
      </c>
      <c r="BH124" s="3">
        <v>0.41499999999999998</v>
      </c>
      <c r="BI124" s="3">
        <v>0.23649999999999999</v>
      </c>
      <c r="BJ124" s="3">
        <v>0.65300000000000002</v>
      </c>
      <c r="BK124" s="3">
        <v>0.8135</v>
      </c>
      <c r="BL124" s="3">
        <v>0.95899999999999996</v>
      </c>
      <c r="BM124" s="3">
        <v>0.01</v>
      </c>
      <c r="BN124" s="3">
        <v>0.69766666700000002</v>
      </c>
      <c r="BO124" s="3">
        <v>0.96099999999999997</v>
      </c>
      <c r="BP124" s="48" t="s">
        <v>319</v>
      </c>
      <c r="BQ124" s="49" t="s">
        <v>330</v>
      </c>
      <c r="BR124" s="3">
        <v>8.9559999999999995</v>
      </c>
      <c r="BS124" s="3">
        <v>9.6370000000000005</v>
      </c>
      <c r="BT124" s="3">
        <v>9.4450000000000003</v>
      </c>
      <c r="BU124" s="3">
        <v>11.403</v>
      </c>
      <c r="BV124" s="3">
        <v>8.5419999999999998</v>
      </c>
      <c r="BW124" s="3">
        <v>13.73</v>
      </c>
      <c r="BX124" s="3">
        <v>11.03</v>
      </c>
      <c r="BY124" s="3">
        <v>11.968</v>
      </c>
      <c r="BZ124" s="3">
        <v>10.872999999999999</v>
      </c>
      <c r="CA124" s="3">
        <v>10.545999999999999</v>
      </c>
      <c r="CB124" s="3">
        <v>10.013999999999999</v>
      </c>
      <c r="CC124" s="3">
        <v>12.661</v>
      </c>
      <c r="CD124" s="3">
        <v>12.288</v>
      </c>
    </row>
    <row r="125" spans="1:82" x14ac:dyDescent="0.3">
      <c r="A125" s="48" t="s">
        <v>319</v>
      </c>
      <c r="B125" s="49" t="s">
        <v>331</v>
      </c>
      <c r="C125" s="3">
        <v>30.179812500000001</v>
      </c>
      <c r="D125" s="3">
        <v>32.129204829999999</v>
      </c>
      <c r="E125" s="3">
        <v>31.90565067</v>
      </c>
      <c r="F125" s="3">
        <v>22.36435883</v>
      </c>
      <c r="G125" s="3">
        <v>8.0479500000000002</v>
      </c>
      <c r="H125" s="3">
        <v>31.90565067</v>
      </c>
      <c r="I125" s="48" t="s">
        <v>319</v>
      </c>
      <c r="J125" s="49" t="s">
        <v>331</v>
      </c>
      <c r="K125" s="3">
        <v>20932.5</v>
      </c>
      <c r="L125" s="48" t="s">
        <v>319</v>
      </c>
      <c r="M125" s="49" t="s">
        <v>331</v>
      </c>
      <c r="N125" s="3">
        <v>679.47020259999999</v>
      </c>
      <c r="O125" s="3">
        <v>777.77549320000003</v>
      </c>
      <c r="P125" s="3">
        <v>522.35944259999997</v>
      </c>
      <c r="Q125" s="3">
        <v>662.60902299999998</v>
      </c>
      <c r="R125" s="3">
        <v>897.72382279999999</v>
      </c>
      <c r="S125" s="3">
        <v>923.90560849999997</v>
      </c>
      <c r="T125" s="3">
        <v>652.61199869999996</v>
      </c>
      <c r="U125" s="3">
        <v>770.64187230000005</v>
      </c>
      <c r="V125" s="3">
        <v>593.87699150000003</v>
      </c>
      <c r="W125" s="3">
        <v>308.63419959999999</v>
      </c>
      <c r="X125" s="3">
        <v>489.69521880000002</v>
      </c>
      <c r="Y125" s="3">
        <v>63.059153530000003</v>
      </c>
      <c r="Z125" s="3">
        <v>111.7653279</v>
      </c>
      <c r="AA125" s="48" t="s">
        <v>319</v>
      </c>
      <c r="AB125" s="49" t="s">
        <v>331</v>
      </c>
      <c r="AC125" s="3">
        <v>0</v>
      </c>
      <c r="AD125" s="3">
        <v>0.505</v>
      </c>
      <c r="AE125" s="3">
        <v>0</v>
      </c>
      <c r="AF125" s="3">
        <v>0.57899999999999996</v>
      </c>
      <c r="AG125" s="3">
        <v>0</v>
      </c>
      <c r="AH125" s="3">
        <v>0.59599999999999997</v>
      </c>
      <c r="AI125" s="3">
        <v>0</v>
      </c>
      <c r="AJ125" s="3">
        <v>0.51300000000000001</v>
      </c>
      <c r="AK125" s="3">
        <v>0</v>
      </c>
      <c r="AL125" s="3">
        <v>0.95299999999999996</v>
      </c>
      <c r="AM125" s="3">
        <v>0</v>
      </c>
      <c r="AN125" s="3">
        <v>0.86099999999999999</v>
      </c>
      <c r="AO125" s="3">
        <v>0</v>
      </c>
      <c r="AP125" s="3">
        <v>0.86099999999999999</v>
      </c>
      <c r="AQ125" s="3">
        <v>0</v>
      </c>
      <c r="AR125" s="3">
        <v>0.69399999999999995</v>
      </c>
      <c r="AS125" s="3">
        <v>0</v>
      </c>
      <c r="AT125" s="3">
        <v>0.6</v>
      </c>
      <c r="AU125" s="3">
        <v>0</v>
      </c>
      <c r="AV125" s="3">
        <v>0.63100000000000001</v>
      </c>
      <c r="AW125" s="3">
        <v>0</v>
      </c>
      <c r="AX125" s="3">
        <v>0.56599999999999995</v>
      </c>
      <c r="AY125" s="3">
        <v>0</v>
      </c>
      <c r="AZ125" s="3">
        <v>0.72299999999999998</v>
      </c>
      <c r="BA125" s="3">
        <v>0</v>
      </c>
      <c r="BB125" s="3">
        <v>0.71599999999999997</v>
      </c>
      <c r="BC125" s="3">
        <v>0.47399999999999998</v>
      </c>
      <c r="BD125" s="3">
        <v>0.1305</v>
      </c>
      <c r="BE125" s="3">
        <v>0.1255</v>
      </c>
      <c r="BF125" s="3">
        <v>0.44400000000000001</v>
      </c>
      <c r="BG125" s="3">
        <v>0.56533333399999997</v>
      </c>
      <c r="BH125" s="3">
        <v>0.57099999999999995</v>
      </c>
      <c r="BI125" s="3">
        <v>0.30199999999999999</v>
      </c>
      <c r="BJ125" s="3">
        <v>0.65666666699999998</v>
      </c>
      <c r="BK125" s="3">
        <v>0.86750000000000005</v>
      </c>
      <c r="BL125" s="3">
        <v>0.93700000000000006</v>
      </c>
      <c r="BM125" s="3">
        <v>0.01</v>
      </c>
      <c r="BN125" s="3">
        <v>0.67533333299999998</v>
      </c>
      <c r="BO125" s="3">
        <v>0.95</v>
      </c>
      <c r="BP125" s="48" t="s">
        <v>319</v>
      </c>
      <c r="BQ125" s="49" t="s">
        <v>331</v>
      </c>
      <c r="BR125" s="3">
        <v>8.8849999999999998</v>
      </c>
      <c r="BS125" s="3">
        <v>9.7059999999999995</v>
      </c>
      <c r="BT125" s="3">
        <v>9.68</v>
      </c>
      <c r="BU125" s="3">
        <v>12.239000000000001</v>
      </c>
      <c r="BV125" s="3">
        <v>8.8689999999999998</v>
      </c>
      <c r="BW125" s="3">
        <v>13.465</v>
      </c>
      <c r="BX125" s="3">
        <v>11.028</v>
      </c>
      <c r="BY125" s="3">
        <v>12.02</v>
      </c>
      <c r="BZ125" s="3">
        <v>11.29</v>
      </c>
      <c r="CA125" s="3">
        <v>11.167</v>
      </c>
      <c r="CB125" s="3">
        <v>10.331</v>
      </c>
      <c r="CC125" s="3">
        <v>13.016</v>
      </c>
      <c r="CD125" s="3">
        <v>12.59</v>
      </c>
    </row>
    <row r="126" spans="1:82" x14ac:dyDescent="0.3">
      <c r="A126" s="48" t="s">
        <v>319</v>
      </c>
      <c r="B126" s="49" t="s">
        <v>332</v>
      </c>
      <c r="C126" s="3">
        <v>30.179812500000001</v>
      </c>
      <c r="D126" s="3">
        <v>34.50782117</v>
      </c>
      <c r="E126" s="3">
        <v>27.541873330000001</v>
      </c>
      <c r="F126" s="3">
        <v>23.428476669999998</v>
      </c>
      <c r="G126" s="3">
        <v>7.9942970000000004</v>
      </c>
      <c r="H126" s="3">
        <v>27.541873330000001</v>
      </c>
      <c r="I126" s="48" t="s">
        <v>319</v>
      </c>
      <c r="J126" s="49" t="s">
        <v>332</v>
      </c>
      <c r="K126" s="3">
        <v>20726</v>
      </c>
      <c r="L126" s="48" t="s">
        <v>319</v>
      </c>
      <c r="M126" s="49" t="s">
        <v>332</v>
      </c>
      <c r="N126" s="3">
        <v>636.44678780000004</v>
      </c>
      <c r="O126" s="3">
        <v>609.46813069999996</v>
      </c>
      <c r="P126" s="3">
        <v>480.48943989999998</v>
      </c>
      <c r="Q126" s="3">
        <v>642.18963870000005</v>
      </c>
      <c r="R126" s="3">
        <v>739.89739599999996</v>
      </c>
      <c r="S126" s="3">
        <v>781.48802260000002</v>
      </c>
      <c r="T126" s="3">
        <v>510.99668380000003</v>
      </c>
      <c r="U126" s="3">
        <v>662.58033939999996</v>
      </c>
      <c r="V126" s="3">
        <v>506.67072999999999</v>
      </c>
      <c r="W126" s="3">
        <v>292.63639189999998</v>
      </c>
      <c r="X126" s="3">
        <v>404.05523269999998</v>
      </c>
      <c r="Y126" s="3">
        <v>62.954811040000003</v>
      </c>
      <c r="Z126" s="3">
        <v>131.5391013</v>
      </c>
      <c r="AA126" s="48" t="s">
        <v>319</v>
      </c>
      <c r="AB126" s="49" t="s">
        <v>332</v>
      </c>
      <c r="AC126" s="3">
        <v>0</v>
      </c>
      <c r="AD126" s="3">
        <v>0.64</v>
      </c>
      <c r="AE126" s="3">
        <v>0</v>
      </c>
      <c r="AF126" s="3">
        <v>0.625</v>
      </c>
      <c r="AG126" s="3">
        <v>0</v>
      </c>
      <c r="AH126" s="3">
        <v>0.71099999999999997</v>
      </c>
      <c r="AI126" s="3">
        <v>0</v>
      </c>
      <c r="AJ126" s="3">
        <v>0.65100000000000002</v>
      </c>
      <c r="AK126" s="3">
        <v>0</v>
      </c>
      <c r="AL126" s="3">
        <v>0.96699999999999997</v>
      </c>
      <c r="AM126" s="3">
        <v>0</v>
      </c>
      <c r="AN126" s="3">
        <v>0.874</v>
      </c>
      <c r="AO126" s="3">
        <v>0</v>
      </c>
      <c r="AP126" s="3">
        <v>0.874</v>
      </c>
      <c r="AQ126" s="3">
        <v>0</v>
      </c>
      <c r="AR126" s="3">
        <v>0.75700000000000001</v>
      </c>
      <c r="AS126" s="3">
        <v>0</v>
      </c>
      <c r="AT126" s="3">
        <v>0.7</v>
      </c>
      <c r="AU126" s="3">
        <v>0</v>
      </c>
      <c r="AV126" s="3">
        <v>0.67700000000000005</v>
      </c>
      <c r="AW126" s="3">
        <v>0</v>
      </c>
      <c r="AX126" s="3">
        <v>0.624</v>
      </c>
      <c r="AY126" s="3">
        <v>0</v>
      </c>
      <c r="AZ126" s="3">
        <v>0.746</v>
      </c>
      <c r="BA126" s="3">
        <v>0</v>
      </c>
      <c r="BB126" s="3">
        <v>0.69599999999999995</v>
      </c>
      <c r="BC126" s="3">
        <v>0.47</v>
      </c>
      <c r="BD126" s="3">
        <v>0.113</v>
      </c>
      <c r="BE126" s="3">
        <v>9.6500000000000002E-2</v>
      </c>
      <c r="BF126" s="3">
        <v>0.49733333299999999</v>
      </c>
      <c r="BG126" s="3">
        <v>0.58083333400000003</v>
      </c>
      <c r="BH126" s="3">
        <v>0.68400000000000005</v>
      </c>
      <c r="BI126" s="3">
        <v>0.38300000000000001</v>
      </c>
      <c r="BJ126" s="3">
        <v>0.69166666700000001</v>
      </c>
      <c r="BK126" s="3">
        <v>0.89649999999999996</v>
      </c>
      <c r="BL126" s="3">
        <v>0.91766666699999999</v>
      </c>
      <c r="BM126" s="3">
        <v>0.01</v>
      </c>
      <c r="BN126" s="3">
        <v>0.65033333299999996</v>
      </c>
      <c r="BO126" s="3">
        <v>0.93700000000000006</v>
      </c>
      <c r="BP126" s="48" t="s">
        <v>319</v>
      </c>
      <c r="BQ126" s="49" t="s">
        <v>332</v>
      </c>
      <c r="BR126" s="3">
        <v>9.0990000000000002</v>
      </c>
      <c r="BS126" s="3">
        <v>10.050000000000001</v>
      </c>
      <c r="BT126" s="3">
        <v>10.554</v>
      </c>
      <c r="BU126" s="3">
        <v>12.364000000000001</v>
      </c>
      <c r="BV126" s="3">
        <v>9.4030000000000005</v>
      </c>
      <c r="BW126" s="3">
        <v>13.026</v>
      </c>
      <c r="BX126" s="3">
        <v>10.762</v>
      </c>
      <c r="BY126" s="3">
        <v>12.214</v>
      </c>
      <c r="BZ126" s="3">
        <v>11.778</v>
      </c>
      <c r="CA126" s="3">
        <v>11.66</v>
      </c>
      <c r="CB126" s="3">
        <v>11</v>
      </c>
      <c r="CC126" s="3">
        <v>13.237</v>
      </c>
      <c r="CD126" s="3">
        <v>12.571999999999999</v>
      </c>
    </row>
    <row r="127" spans="1:82" x14ac:dyDescent="0.3">
      <c r="A127" s="48" t="s">
        <v>319</v>
      </c>
      <c r="B127" s="49" t="s">
        <v>333</v>
      </c>
      <c r="C127" s="3">
        <v>30.000969170000001</v>
      </c>
      <c r="D127" s="3">
        <v>40.364940330000003</v>
      </c>
      <c r="E127" s="3">
        <v>28.275130999999998</v>
      </c>
      <c r="F127" s="3">
        <v>23.938180169999999</v>
      </c>
      <c r="G127" s="3">
        <v>9.7827303329999999</v>
      </c>
      <c r="H127" s="3">
        <v>28.275130999999998</v>
      </c>
      <c r="I127" s="48" t="s">
        <v>319</v>
      </c>
      <c r="J127" s="49" t="s">
        <v>333</v>
      </c>
      <c r="K127" s="3">
        <v>21016.5</v>
      </c>
      <c r="L127" s="48" t="s">
        <v>319</v>
      </c>
      <c r="M127" s="49" t="s">
        <v>333</v>
      </c>
      <c r="N127" s="3">
        <v>526.18329849999998</v>
      </c>
      <c r="O127" s="3">
        <v>535.42815789999997</v>
      </c>
      <c r="P127" s="3">
        <v>436.91795450000001</v>
      </c>
      <c r="Q127" s="3">
        <v>683.19574999999998</v>
      </c>
      <c r="R127" s="3">
        <v>501.9412964</v>
      </c>
      <c r="S127" s="3">
        <v>520.91200389999995</v>
      </c>
      <c r="T127" s="3">
        <v>362.72883230000002</v>
      </c>
      <c r="U127" s="3">
        <v>471.67087620000001</v>
      </c>
      <c r="V127" s="3">
        <v>420.24690090000001</v>
      </c>
      <c r="W127" s="3">
        <v>401.1171501</v>
      </c>
      <c r="X127" s="3">
        <v>137.7831845</v>
      </c>
      <c r="Y127" s="3">
        <v>27.583308970000001</v>
      </c>
      <c r="Z127" s="3">
        <v>193.03710430000001</v>
      </c>
      <c r="AA127" s="48" t="s">
        <v>319</v>
      </c>
      <c r="AB127" s="49" t="s">
        <v>333</v>
      </c>
      <c r="AC127" s="3">
        <v>0</v>
      </c>
      <c r="AD127" s="3">
        <v>0.69199999999999995</v>
      </c>
      <c r="AE127" s="3">
        <v>0</v>
      </c>
      <c r="AF127" s="3">
        <v>0.72899999999999998</v>
      </c>
      <c r="AG127" s="3">
        <v>0</v>
      </c>
      <c r="AH127" s="3">
        <v>0.72099999999999997</v>
      </c>
      <c r="AI127" s="3">
        <v>0</v>
      </c>
      <c r="AJ127" s="3">
        <v>0.70499999999999996</v>
      </c>
      <c r="AK127" s="3">
        <v>0</v>
      </c>
      <c r="AL127" s="3">
        <v>0.96799999999999997</v>
      </c>
      <c r="AM127" s="3">
        <v>0</v>
      </c>
      <c r="AN127" s="3">
        <v>0.86299999999999999</v>
      </c>
      <c r="AO127" s="3">
        <v>0</v>
      </c>
      <c r="AP127" s="3">
        <v>0.86299999999999999</v>
      </c>
      <c r="AQ127" s="3">
        <v>0</v>
      </c>
      <c r="AR127" s="3">
        <v>0.82599999999999996</v>
      </c>
      <c r="AS127" s="3">
        <v>0</v>
      </c>
      <c r="AT127" s="3">
        <v>0.74299999999999999</v>
      </c>
      <c r="AU127" s="3">
        <v>0</v>
      </c>
      <c r="AV127" s="3">
        <v>0.7</v>
      </c>
      <c r="AW127" s="3">
        <v>0</v>
      </c>
      <c r="AX127" s="3">
        <v>0.65500000000000003</v>
      </c>
      <c r="AY127" s="3">
        <v>0</v>
      </c>
      <c r="AZ127" s="3">
        <v>0.73799999999999999</v>
      </c>
      <c r="BA127" s="3">
        <v>0</v>
      </c>
      <c r="BB127" s="3">
        <v>0.64500000000000002</v>
      </c>
      <c r="BC127" s="3">
        <v>0.4955</v>
      </c>
      <c r="BD127" s="3">
        <v>8.2000000000000003E-2</v>
      </c>
      <c r="BE127" s="3">
        <v>6.8500000000000005E-2</v>
      </c>
      <c r="BF127" s="3">
        <v>0.53866666699999999</v>
      </c>
      <c r="BG127" s="3">
        <v>0.61258333399999998</v>
      </c>
      <c r="BH127" s="3">
        <v>0.79300000000000004</v>
      </c>
      <c r="BI127" s="3">
        <v>0.48</v>
      </c>
      <c r="BJ127" s="3">
        <v>0.72966666700000005</v>
      </c>
      <c r="BK127" s="3">
        <v>0.91500000000000004</v>
      </c>
      <c r="BL127" s="3">
        <v>0.90133333299999996</v>
      </c>
      <c r="BM127" s="3">
        <v>0.01</v>
      </c>
      <c r="BN127" s="3">
        <v>0.63700000000000001</v>
      </c>
      <c r="BO127" s="3">
        <v>0.92400000000000004</v>
      </c>
      <c r="BP127" s="48" t="s">
        <v>319</v>
      </c>
      <c r="BQ127" s="49" t="s">
        <v>333</v>
      </c>
      <c r="BR127" s="3">
        <v>9.3469999999999995</v>
      </c>
      <c r="BS127" s="3">
        <v>10.859</v>
      </c>
      <c r="BT127" s="3">
        <v>11.62</v>
      </c>
      <c r="BU127" s="3">
        <v>12.13</v>
      </c>
      <c r="BV127" s="3">
        <v>9.7889999999999997</v>
      </c>
      <c r="BW127" s="3">
        <v>12.848000000000001</v>
      </c>
      <c r="BX127" s="3">
        <v>10.465</v>
      </c>
      <c r="BY127" s="3">
        <v>12.574999999999999</v>
      </c>
      <c r="BZ127" s="3">
        <v>12.167</v>
      </c>
      <c r="CA127" s="3">
        <v>12.002000000000001</v>
      </c>
      <c r="CB127" s="3">
        <v>11.82</v>
      </c>
      <c r="CC127" s="3">
        <v>13.294</v>
      </c>
      <c r="CD127" s="3">
        <v>12.412000000000001</v>
      </c>
    </row>
    <row r="128" spans="1:82" x14ac:dyDescent="0.3">
      <c r="A128" s="48" t="s">
        <v>319</v>
      </c>
      <c r="B128" s="49" t="s">
        <v>334</v>
      </c>
      <c r="C128" s="3">
        <v>30.886243669999999</v>
      </c>
      <c r="D128" s="3">
        <v>44.174303330000001</v>
      </c>
      <c r="E128" s="3">
        <v>30.40336667</v>
      </c>
      <c r="F128" s="3">
        <v>24.117023499999998</v>
      </c>
      <c r="G128" s="3">
        <v>10.918385499999999</v>
      </c>
      <c r="H128" s="3">
        <v>33.577835829999998</v>
      </c>
      <c r="I128" s="48" t="s">
        <v>319</v>
      </c>
      <c r="J128" s="49" t="s">
        <v>334</v>
      </c>
      <c r="K128" s="3">
        <v>22623</v>
      </c>
      <c r="L128" s="48" t="s">
        <v>319</v>
      </c>
      <c r="M128" s="49" t="s">
        <v>334</v>
      </c>
      <c r="N128" s="3">
        <v>620.47069899999997</v>
      </c>
      <c r="O128" s="3">
        <v>638.09943940000005</v>
      </c>
      <c r="P128" s="3">
        <v>799.04528400000004</v>
      </c>
      <c r="Q128" s="3">
        <v>859.99608780000005</v>
      </c>
      <c r="R128" s="3">
        <v>561.30017889999999</v>
      </c>
      <c r="S128" s="3">
        <v>487.79739860000001</v>
      </c>
      <c r="T128" s="3">
        <v>360.86330349999997</v>
      </c>
      <c r="U128" s="3">
        <v>553.93639040000005</v>
      </c>
      <c r="V128" s="3">
        <v>475.07524969999997</v>
      </c>
      <c r="W128" s="3">
        <v>525.22827849999999</v>
      </c>
      <c r="X128" s="3">
        <v>163.29391380000001</v>
      </c>
      <c r="Y128" s="3">
        <v>60.342825249999997</v>
      </c>
      <c r="Z128" s="3">
        <v>69.95573693</v>
      </c>
      <c r="AA128" s="48" t="s">
        <v>319</v>
      </c>
      <c r="AB128" s="49" t="s">
        <v>334</v>
      </c>
      <c r="AC128" s="3">
        <v>0</v>
      </c>
      <c r="AD128" s="3">
        <v>0.67200000000000004</v>
      </c>
      <c r="AE128" s="3">
        <v>0</v>
      </c>
      <c r="AF128" s="3">
        <v>0.71499999999999997</v>
      </c>
      <c r="AG128" s="3">
        <v>0</v>
      </c>
      <c r="AH128" s="3">
        <v>0.754</v>
      </c>
      <c r="AI128" s="3">
        <v>0</v>
      </c>
      <c r="AJ128" s="3">
        <v>0.68600000000000005</v>
      </c>
      <c r="AK128" s="3">
        <v>0</v>
      </c>
      <c r="AL128" s="3">
        <v>0.97199999999999998</v>
      </c>
      <c r="AM128" s="3">
        <v>0</v>
      </c>
      <c r="AN128" s="3">
        <v>0.86</v>
      </c>
      <c r="AO128" s="3">
        <v>0</v>
      </c>
      <c r="AP128" s="3">
        <v>0.86</v>
      </c>
      <c r="AQ128" s="3">
        <v>0</v>
      </c>
      <c r="AR128" s="3">
        <v>0.85699999999999998</v>
      </c>
      <c r="AS128" s="3">
        <v>0</v>
      </c>
      <c r="AT128" s="3">
        <v>0.76600000000000001</v>
      </c>
      <c r="AU128" s="3">
        <v>0</v>
      </c>
      <c r="AV128" s="3">
        <v>0.69599999999999995</v>
      </c>
      <c r="AW128" s="3">
        <v>0</v>
      </c>
      <c r="AX128" s="3">
        <v>0.69199999999999995</v>
      </c>
      <c r="AY128" s="3">
        <v>0</v>
      </c>
      <c r="AZ128" s="3">
        <v>0.74</v>
      </c>
      <c r="BA128" s="3">
        <v>0</v>
      </c>
      <c r="BB128" s="3">
        <v>0.59299999999999997</v>
      </c>
      <c r="BC128" s="3">
        <v>0.504</v>
      </c>
      <c r="BD128" s="3">
        <v>9.9000000000000005E-2</v>
      </c>
      <c r="BE128" s="3">
        <v>4.8500000000000001E-2</v>
      </c>
      <c r="BF128" s="3">
        <v>0.572333333</v>
      </c>
      <c r="BG128" s="3">
        <v>0.624</v>
      </c>
      <c r="BH128" s="3">
        <v>0.85099999999999998</v>
      </c>
      <c r="BI128" s="3">
        <v>0.56950000000000001</v>
      </c>
      <c r="BJ128" s="3">
        <v>0.74399999999999999</v>
      </c>
      <c r="BK128" s="3">
        <v>0.92800000000000005</v>
      </c>
      <c r="BL128" s="3">
        <v>0.88333333300000005</v>
      </c>
      <c r="BM128" s="3">
        <v>0.01</v>
      </c>
      <c r="BN128" s="3">
        <v>0.62833333300000005</v>
      </c>
      <c r="BO128" s="3">
        <v>0.90400000000000003</v>
      </c>
      <c r="BP128" s="48" t="s">
        <v>319</v>
      </c>
      <c r="BQ128" s="49" t="s">
        <v>334</v>
      </c>
      <c r="BR128" s="3">
        <v>9.2319999999999993</v>
      </c>
      <c r="BS128" s="3">
        <v>11.605</v>
      </c>
      <c r="BT128" s="3">
        <v>12.276</v>
      </c>
      <c r="BU128" s="3">
        <v>11.688000000000001</v>
      </c>
      <c r="BV128" s="3">
        <v>9.9649999999999999</v>
      </c>
      <c r="BW128" s="3">
        <v>12.955</v>
      </c>
      <c r="BX128" s="3">
        <v>10.265000000000001</v>
      </c>
      <c r="BY128" s="3">
        <v>12.802</v>
      </c>
      <c r="BZ128" s="3">
        <v>12.414</v>
      </c>
      <c r="CA128" s="3">
        <v>12.316000000000001</v>
      </c>
      <c r="CB128" s="3">
        <v>12.303000000000001</v>
      </c>
      <c r="CC128" s="3">
        <v>13.319000000000001</v>
      </c>
      <c r="CD128" s="3">
        <v>12.291</v>
      </c>
    </row>
    <row r="129" spans="1:82" x14ac:dyDescent="0.3">
      <c r="A129" s="48" t="s">
        <v>319</v>
      </c>
      <c r="B129" s="49" t="s">
        <v>335</v>
      </c>
      <c r="C129" s="3">
        <v>30.886243669999999</v>
      </c>
      <c r="D129" s="3">
        <v>43.610946830000003</v>
      </c>
      <c r="E129" s="3">
        <v>36.57346167</v>
      </c>
      <c r="F129" s="3">
        <v>24.269040329999999</v>
      </c>
      <c r="G129" s="3">
        <v>22.283879330000001</v>
      </c>
      <c r="H129" s="3">
        <v>36.57346167</v>
      </c>
      <c r="I129" s="48" t="s">
        <v>319</v>
      </c>
      <c r="J129" s="49" t="s">
        <v>335</v>
      </c>
      <c r="K129" s="3">
        <v>26150</v>
      </c>
      <c r="L129" s="48" t="s">
        <v>319</v>
      </c>
      <c r="M129" s="49" t="s">
        <v>335</v>
      </c>
      <c r="N129" s="3">
        <v>1101.679609</v>
      </c>
      <c r="O129" s="3">
        <v>1171.67247</v>
      </c>
      <c r="P129" s="3">
        <v>1536.2318929999999</v>
      </c>
      <c r="Q129" s="3">
        <v>1608.857209</v>
      </c>
      <c r="R129" s="3">
        <v>1051.5593879999999</v>
      </c>
      <c r="S129" s="3">
        <v>795.18010379999998</v>
      </c>
      <c r="T129" s="3">
        <v>594.16272419999996</v>
      </c>
      <c r="U129" s="3">
        <v>1191.022727</v>
      </c>
      <c r="V129" s="3">
        <v>992.99014079999995</v>
      </c>
      <c r="W129" s="3">
        <v>1388.520651</v>
      </c>
      <c r="X129" s="3">
        <v>522.10938290000001</v>
      </c>
      <c r="Y129" s="3">
        <v>136.4304296</v>
      </c>
      <c r="Z129" s="3">
        <v>519.06040849999999</v>
      </c>
      <c r="AA129" s="48" t="s">
        <v>319</v>
      </c>
      <c r="AB129" s="49" t="s">
        <v>335</v>
      </c>
      <c r="AC129" s="3">
        <v>2E-3</v>
      </c>
      <c r="AD129" s="3">
        <v>0.78600000000000003</v>
      </c>
      <c r="AE129" s="3">
        <v>0</v>
      </c>
      <c r="AF129" s="3">
        <v>0.71099999999999997</v>
      </c>
      <c r="AG129" s="3">
        <v>0</v>
      </c>
      <c r="AH129" s="3">
        <v>0.73499999999999999</v>
      </c>
      <c r="AI129" s="3">
        <v>0</v>
      </c>
      <c r="AJ129" s="3">
        <v>0.67900000000000005</v>
      </c>
      <c r="AK129" s="3">
        <v>0</v>
      </c>
      <c r="AL129" s="3">
        <v>0.97899999999999998</v>
      </c>
      <c r="AM129" s="3">
        <v>0</v>
      </c>
      <c r="AN129" s="3">
        <v>0.85499999999999998</v>
      </c>
      <c r="AO129" s="3">
        <v>0</v>
      </c>
      <c r="AP129" s="3">
        <v>0.85499999999999998</v>
      </c>
      <c r="AQ129" s="3">
        <v>2E-3</v>
      </c>
      <c r="AR129" s="3">
        <v>0.87</v>
      </c>
      <c r="AS129" s="3">
        <v>0</v>
      </c>
      <c r="AT129" s="3">
        <v>0.79900000000000004</v>
      </c>
      <c r="AU129" s="3">
        <v>0</v>
      </c>
      <c r="AV129" s="3">
        <v>0.71299999999999997</v>
      </c>
      <c r="AW129" s="3">
        <v>0</v>
      </c>
      <c r="AX129" s="3">
        <v>0.66900000000000004</v>
      </c>
      <c r="AY129" s="3">
        <v>0</v>
      </c>
      <c r="AZ129" s="3">
        <v>0.71199999999999997</v>
      </c>
      <c r="BA129" s="3">
        <v>0</v>
      </c>
      <c r="BB129" s="3">
        <v>0.56100000000000005</v>
      </c>
      <c r="BC129" s="3">
        <v>0.52400000000000002</v>
      </c>
      <c r="BD129" s="3">
        <v>0.13350000000000001</v>
      </c>
      <c r="BE129" s="3">
        <v>3.7999999999999999E-2</v>
      </c>
      <c r="BF129" s="3">
        <v>0.60099999999999998</v>
      </c>
      <c r="BG129" s="3">
        <v>0.63566666699999996</v>
      </c>
      <c r="BH129" s="3">
        <v>0.88700000000000001</v>
      </c>
      <c r="BI129" s="3">
        <v>0.61550000000000005</v>
      </c>
      <c r="BJ129" s="3">
        <v>0.74733333300000004</v>
      </c>
      <c r="BK129" s="3">
        <v>0.94350000000000001</v>
      </c>
      <c r="BL129" s="3">
        <v>0.86066666700000005</v>
      </c>
      <c r="BM129" s="3">
        <v>0.01</v>
      </c>
      <c r="BN129" s="3">
        <v>0.62266666699999995</v>
      </c>
      <c r="BO129" s="3">
        <v>0.88900000000000001</v>
      </c>
      <c r="BP129" s="48" t="s">
        <v>319</v>
      </c>
      <c r="BQ129" s="49" t="s">
        <v>335</v>
      </c>
      <c r="BR129" s="3">
        <v>9.94</v>
      </c>
      <c r="BS129" s="3">
        <v>12.273999999999999</v>
      </c>
      <c r="BT129" s="3">
        <v>12.462</v>
      </c>
      <c r="BU129" s="3">
        <v>11.375999999999999</v>
      </c>
      <c r="BV129" s="3">
        <v>10.298999999999999</v>
      </c>
      <c r="BW129" s="3">
        <v>13.236000000000001</v>
      </c>
      <c r="BX129" s="3">
        <v>10.14</v>
      </c>
      <c r="BY129" s="3">
        <v>12.956</v>
      </c>
      <c r="BZ129" s="3">
        <v>12.739000000000001</v>
      </c>
      <c r="CA129" s="3">
        <v>12.670999999999999</v>
      </c>
      <c r="CB129" s="3">
        <v>12.555999999999999</v>
      </c>
      <c r="CC129" s="3">
        <v>13.363</v>
      </c>
      <c r="CD129" s="3">
        <v>12.224</v>
      </c>
    </row>
    <row r="130" spans="1:82" x14ac:dyDescent="0.3">
      <c r="A130" s="48" t="s">
        <v>319</v>
      </c>
      <c r="B130" s="49" t="s">
        <v>336</v>
      </c>
      <c r="C130" s="3">
        <v>38.66592867</v>
      </c>
      <c r="D130" s="3">
        <v>45.15794167</v>
      </c>
      <c r="E130" s="3">
        <v>42.645192829999999</v>
      </c>
      <c r="F130" s="3">
        <v>24.50153667</v>
      </c>
      <c r="G130" s="3">
        <v>15.55042783</v>
      </c>
      <c r="H130" s="3">
        <v>42.645192829999999</v>
      </c>
      <c r="I130" s="48" t="s">
        <v>319</v>
      </c>
      <c r="J130" s="49" t="s">
        <v>336</v>
      </c>
      <c r="K130" s="3">
        <v>28360</v>
      </c>
      <c r="L130" s="48" t="s">
        <v>319</v>
      </c>
      <c r="M130" s="49" t="s">
        <v>336</v>
      </c>
      <c r="N130" s="3">
        <v>2940.5265039999999</v>
      </c>
      <c r="O130" s="3">
        <v>2846.0236089999999</v>
      </c>
      <c r="P130" s="3">
        <v>2301.1036210000002</v>
      </c>
      <c r="Q130" s="3">
        <v>2206.6214100000002</v>
      </c>
      <c r="R130" s="3">
        <v>2793.3809550000001</v>
      </c>
      <c r="S130" s="3">
        <v>2543.192818</v>
      </c>
      <c r="T130" s="3">
        <v>2115.9632099999999</v>
      </c>
      <c r="U130" s="3">
        <v>3479.9161610000001</v>
      </c>
      <c r="V130" s="3">
        <v>2607.123795</v>
      </c>
      <c r="W130" s="3">
        <v>2175.0059419999998</v>
      </c>
      <c r="X130" s="3">
        <v>2037.9218100000001</v>
      </c>
      <c r="Y130" s="3">
        <v>314.16722279999999</v>
      </c>
      <c r="Z130" s="3">
        <v>892.261978</v>
      </c>
      <c r="AA130" s="48" t="s">
        <v>319</v>
      </c>
      <c r="AB130" s="49" t="s">
        <v>336</v>
      </c>
      <c r="AC130" s="3">
        <v>7.1999999999999995E-2</v>
      </c>
      <c r="AD130" s="3">
        <v>0.76800000000000002</v>
      </c>
      <c r="AE130" s="3">
        <v>3.4000000000000002E-2</v>
      </c>
      <c r="AF130" s="3">
        <v>0.68200000000000005</v>
      </c>
      <c r="AG130" s="3">
        <v>3.1E-2</v>
      </c>
      <c r="AH130" s="3">
        <v>0.746</v>
      </c>
      <c r="AI130" s="3">
        <v>4.0000000000000001E-3</v>
      </c>
      <c r="AJ130" s="3">
        <v>0.69199999999999995</v>
      </c>
      <c r="AK130" s="3">
        <v>4.1000000000000002E-2</v>
      </c>
      <c r="AL130" s="3">
        <v>0.98199999999999998</v>
      </c>
      <c r="AM130" s="3">
        <v>7.0000000000000001E-3</v>
      </c>
      <c r="AN130" s="3">
        <v>0.85199999999999998</v>
      </c>
      <c r="AO130" s="3">
        <v>0.01</v>
      </c>
      <c r="AP130" s="3">
        <v>0.85199999999999998</v>
      </c>
      <c r="AQ130" s="3">
        <v>4.9000000000000002E-2</v>
      </c>
      <c r="AR130" s="3">
        <v>0.86399999999999999</v>
      </c>
      <c r="AS130" s="3">
        <v>3.1E-2</v>
      </c>
      <c r="AT130" s="3">
        <v>0.79700000000000004</v>
      </c>
      <c r="AU130" s="3">
        <v>3.1E-2</v>
      </c>
      <c r="AV130" s="3">
        <v>0.70799999999999996</v>
      </c>
      <c r="AW130" s="3">
        <v>9.0999999999999998E-2</v>
      </c>
      <c r="AX130" s="3">
        <v>0.58299999999999996</v>
      </c>
      <c r="AY130" s="3">
        <v>1.4999999999999999E-2</v>
      </c>
      <c r="AZ130" s="3">
        <v>0.67300000000000004</v>
      </c>
      <c r="BA130" s="3">
        <v>5.2999999999999999E-2</v>
      </c>
      <c r="BB130" s="3">
        <v>0.52</v>
      </c>
      <c r="BC130" s="3">
        <v>0.55049999999999999</v>
      </c>
      <c r="BD130" s="3">
        <v>0.17499999999999999</v>
      </c>
      <c r="BE130" s="3">
        <v>4.3499999999999997E-2</v>
      </c>
      <c r="BF130" s="3">
        <v>0.61666666699999995</v>
      </c>
      <c r="BG130" s="3">
        <v>0.637583334</v>
      </c>
      <c r="BH130" s="3">
        <v>0.90200000000000002</v>
      </c>
      <c r="BI130" s="3">
        <v>0.57799999999999996</v>
      </c>
      <c r="BJ130" s="3">
        <v>0.72466666700000004</v>
      </c>
      <c r="BK130" s="3">
        <v>0.9415</v>
      </c>
      <c r="BL130" s="3">
        <v>0.828333333</v>
      </c>
      <c r="BM130" s="3">
        <v>0.01</v>
      </c>
      <c r="BN130" s="3">
        <v>0.61766666699999995</v>
      </c>
      <c r="BO130" s="3">
        <v>0.871</v>
      </c>
      <c r="BP130" s="48" t="s">
        <v>319</v>
      </c>
      <c r="BQ130" s="49" t="s">
        <v>336</v>
      </c>
      <c r="BR130" s="3">
        <v>10.65</v>
      </c>
      <c r="BS130" s="3">
        <v>12.882</v>
      </c>
      <c r="BT130" s="3">
        <v>12.676</v>
      </c>
      <c r="BU130" s="3">
        <v>11.401</v>
      </c>
      <c r="BV130" s="3">
        <v>11.186999999999999</v>
      </c>
      <c r="BW130" s="3">
        <v>13.522</v>
      </c>
      <c r="BX130" s="3">
        <v>10.32</v>
      </c>
      <c r="BY130" s="3">
        <v>13.394</v>
      </c>
      <c r="BZ130" s="3">
        <v>13.285</v>
      </c>
      <c r="CA130" s="3">
        <v>13.282999999999999</v>
      </c>
      <c r="CB130" s="3">
        <v>12.743</v>
      </c>
      <c r="CC130" s="3">
        <v>13.51</v>
      </c>
      <c r="CD130" s="3">
        <v>12.25</v>
      </c>
    </row>
    <row r="131" spans="1:82" x14ac:dyDescent="0.3">
      <c r="A131" s="48" t="s">
        <v>319</v>
      </c>
      <c r="B131" s="49" t="s">
        <v>337</v>
      </c>
      <c r="C131" s="3">
        <v>53.429445829999999</v>
      </c>
      <c r="D131" s="3">
        <v>41.527422000000001</v>
      </c>
      <c r="E131" s="3">
        <v>33.542067170000003</v>
      </c>
      <c r="F131" s="3">
        <v>24.582016169999999</v>
      </c>
      <c r="G131" s="3">
        <v>9.6307135000000006</v>
      </c>
      <c r="H131" s="3">
        <v>33.542067170000003</v>
      </c>
      <c r="I131" s="48" t="s">
        <v>319</v>
      </c>
      <c r="J131" s="49" t="s">
        <v>337</v>
      </c>
      <c r="K131" s="3">
        <v>29926</v>
      </c>
      <c r="L131" s="48" t="s">
        <v>319</v>
      </c>
      <c r="M131" s="49" t="s">
        <v>337</v>
      </c>
      <c r="N131" s="3">
        <v>3848.7627969999999</v>
      </c>
      <c r="O131" s="3">
        <v>4231.6805169999998</v>
      </c>
      <c r="P131" s="3">
        <v>2374.412382</v>
      </c>
      <c r="Q131" s="3">
        <v>2267.241704</v>
      </c>
      <c r="R131" s="3">
        <v>3733.1857220000002</v>
      </c>
      <c r="S131" s="3">
        <v>4001.7901160000001</v>
      </c>
      <c r="T131" s="3">
        <v>3552.4280950000002</v>
      </c>
      <c r="U131" s="3">
        <v>4566.3638490000003</v>
      </c>
      <c r="V131" s="3">
        <v>3586.8626949999998</v>
      </c>
      <c r="W131" s="3">
        <v>2008.3592639999999</v>
      </c>
      <c r="X131" s="3">
        <v>3084.8437530000001</v>
      </c>
      <c r="Y131" s="3">
        <v>346.93830159999999</v>
      </c>
      <c r="Z131" s="3">
        <v>1074.80744</v>
      </c>
      <c r="AA131" s="48" t="s">
        <v>319</v>
      </c>
      <c r="AB131" s="49" t="s">
        <v>337</v>
      </c>
      <c r="AC131" s="3">
        <v>0.16700000000000001</v>
      </c>
      <c r="AD131" s="3">
        <v>0.81200000000000006</v>
      </c>
      <c r="AE131" s="3">
        <v>8.3000000000000004E-2</v>
      </c>
      <c r="AF131" s="3">
        <v>0.63100000000000001</v>
      </c>
      <c r="AG131" s="3">
        <v>5.8000000000000003E-2</v>
      </c>
      <c r="AH131" s="3">
        <v>0.71</v>
      </c>
      <c r="AI131" s="3">
        <v>0.02</v>
      </c>
      <c r="AJ131" s="3">
        <v>0.76500000000000001</v>
      </c>
      <c r="AK131" s="3">
        <v>0.107</v>
      </c>
      <c r="AL131" s="3">
        <v>0.97799999999999998</v>
      </c>
      <c r="AM131" s="3">
        <v>3.1E-2</v>
      </c>
      <c r="AN131" s="3">
        <v>0.84599999999999997</v>
      </c>
      <c r="AO131" s="3">
        <v>4.5999999999999999E-2</v>
      </c>
      <c r="AP131" s="3">
        <v>0.84599999999999997</v>
      </c>
      <c r="AQ131" s="3">
        <v>0.113</v>
      </c>
      <c r="AR131" s="3">
        <v>0.86799999999999999</v>
      </c>
      <c r="AS131" s="3">
        <v>0.114</v>
      </c>
      <c r="AT131" s="3">
        <v>0.82599999999999996</v>
      </c>
      <c r="AU131" s="3">
        <v>0.115</v>
      </c>
      <c r="AV131" s="3">
        <v>0.73899999999999999</v>
      </c>
      <c r="AW131" s="3">
        <v>0.28499999999999998</v>
      </c>
      <c r="AX131" s="3">
        <v>0.48699999999999999</v>
      </c>
      <c r="AY131" s="3">
        <v>6.4000000000000001E-2</v>
      </c>
      <c r="AZ131" s="3">
        <v>0.60899999999999999</v>
      </c>
      <c r="BA131" s="3">
        <v>0.19</v>
      </c>
      <c r="BB131" s="3">
        <v>0.48699999999999999</v>
      </c>
      <c r="BC131" s="3">
        <v>0.57750000000000001</v>
      </c>
      <c r="BD131" s="3">
        <v>0.22700000000000001</v>
      </c>
      <c r="BE131" s="3">
        <v>5.6500000000000002E-2</v>
      </c>
      <c r="BF131" s="3">
        <v>0.62933333300000005</v>
      </c>
      <c r="BG131" s="3">
        <v>0.63991666700000005</v>
      </c>
      <c r="BH131" s="3">
        <v>0.91</v>
      </c>
      <c r="BI131" s="3">
        <v>0.52349999999999997</v>
      </c>
      <c r="BJ131" s="3">
        <v>0.702333333</v>
      </c>
      <c r="BK131" s="3">
        <v>0.9335</v>
      </c>
      <c r="BL131" s="3">
        <v>0.78833333299999997</v>
      </c>
      <c r="BM131" s="3">
        <v>0.01</v>
      </c>
      <c r="BN131" s="3">
        <v>0.61166666700000005</v>
      </c>
      <c r="BO131" s="3">
        <v>0.84699999999999998</v>
      </c>
      <c r="BP131" s="48" t="s">
        <v>319</v>
      </c>
      <c r="BQ131" s="49" t="s">
        <v>337</v>
      </c>
      <c r="BR131" s="3">
        <v>11.885999999999999</v>
      </c>
      <c r="BS131" s="3">
        <v>13.557</v>
      </c>
      <c r="BT131" s="3">
        <v>12.96</v>
      </c>
      <c r="BU131" s="3">
        <v>11.689</v>
      </c>
      <c r="BV131" s="3">
        <v>12.542</v>
      </c>
      <c r="BW131" s="3">
        <v>13.779</v>
      </c>
      <c r="BX131" s="3">
        <v>10.786</v>
      </c>
      <c r="BY131" s="3">
        <v>14.003</v>
      </c>
      <c r="BZ131" s="3">
        <v>14.082000000000001</v>
      </c>
      <c r="CA131" s="3">
        <v>13.891999999999999</v>
      </c>
      <c r="CB131" s="3">
        <v>13.462999999999999</v>
      </c>
      <c r="CC131" s="3">
        <v>13.939</v>
      </c>
      <c r="CD131" s="3">
        <v>12.321999999999999</v>
      </c>
    </row>
    <row r="132" spans="1:82" x14ac:dyDescent="0.3">
      <c r="A132" s="48" t="s">
        <v>319</v>
      </c>
      <c r="B132" s="49" t="s">
        <v>338</v>
      </c>
      <c r="C132" s="3">
        <v>53.053874829999998</v>
      </c>
      <c r="D132" s="3">
        <v>40.025137999999998</v>
      </c>
      <c r="E132" s="3">
        <v>40.561667999999997</v>
      </c>
      <c r="F132" s="3">
        <v>24.537305329999999</v>
      </c>
      <c r="G132" s="3">
        <v>24.161734330000002</v>
      </c>
      <c r="H132" s="3">
        <v>46.821184670000001</v>
      </c>
      <c r="I132" s="48" t="s">
        <v>319</v>
      </c>
      <c r="J132" s="49" t="s">
        <v>338</v>
      </c>
      <c r="K132" s="3">
        <v>30113</v>
      </c>
      <c r="L132" s="48" t="s">
        <v>319</v>
      </c>
      <c r="M132" s="49" t="s">
        <v>338</v>
      </c>
      <c r="N132" s="3">
        <v>3523.1601169999999</v>
      </c>
      <c r="O132" s="3">
        <v>3958.8167010000002</v>
      </c>
      <c r="P132" s="3">
        <v>2050.2757780000002</v>
      </c>
      <c r="Q132" s="3">
        <v>2049.144436</v>
      </c>
      <c r="R132" s="3">
        <v>3824.9756849999999</v>
      </c>
      <c r="S132" s="3">
        <v>4327.8873960000001</v>
      </c>
      <c r="T132" s="3">
        <v>3802.393345</v>
      </c>
      <c r="U132" s="3">
        <v>4208.1144430000004</v>
      </c>
      <c r="V132" s="3">
        <v>3082.9699759999999</v>
      </c>
      <c r="W132" s="3">
        <v>1570.7951399999999</v>
      </c>
      <c r="X132" s="3">
        <v>3127.5864409999999</v>
      </c>
      <c r="Y132" s="3">
        <v>264.97561610000002</v>
      </c>
      <c r="Z132" s="3">
        <v>1157.094216</v>
      </c>
      <c r="AA132" s="48" t="s">
        <v>319</v>
      </c>
      <c r="AB132" s="49" t="s">
        <v>338</v>
      </c>
      <c r="AC132" s="3">
        <v>0.24099999999999999</v>
      </c>
      <c r="AD132" s="3">
        <v>0.73299999999999998</v>
      </c>
      <c r="AE132" s="3">
        <v>0.11799999999999999</v>
      </c>
      <c r="AF132" s="3">
        <v>0.66300000000000003</v>
      </c>
      <c r="AG132" s="3">
        <v>8.8999999999999996E-2</v>
      </c>
      <c r="AH132" s="3">
        <v>0.68500000000000005</v>
      </c>
      <c r="AI132" s="3">
        <v>3.6999999999999998E-2</v>
      </c>
      <c r="AJ132" s="3">
        <v>0.68</v>
      </c>
      <c r="AK132" s="3">
        <v>0.18</v>
      </c>
      <c r="AL132" s="3">
        <v>0.97299999999999998</v>
      </c>
      <c r="AM132" s="3">
        <v>6.4000000000000001E-2</v>
      </c>
      <c r="AN132" s="3">
        <v>0.83699999999999997</v>
      </c>
      <c r="AO132" s="3">
        <v>8.5000000000000006E-2</v>
      </c>
      <c r="AP132" s="3">
        <v>0.83699999999999997</v>
      </c>
      <c r="AQ132" s="3">
        <v>0.191</v>
      </c>
      <c r="AR132" s="3">
        <v>0.90200000000000002</v>
      </c>
      <c r="AS132" s="3">
        <v>0.20699999999999999</v>
      </c>
      <c r="AT132" s="3">
        <v>0.82199999999999995</v>
      </c>
      <c r="AU132" s="3">
        <v>0.20799999999999999</v>
      </c>
      <c r="AV132" s="3">
        <v>0.71399999999999997</v>
      </c>
      <c r="AW132" s="3">
        <v>0.47199999999999998</v>
      </c>
      <c r="AX132" s="3">
        <v>0.58699999999999997</v>
      </c>
      <c r="AY132" s="3">
        <v>0.15</v>
      </c>
      <c r="AZ132" s="3">
        <v>0.63</v>
      </c>
      <c r="BA132" s="3">
        <v>0.36099999999999999</v>
      </c>
      <c r="BB132" s="3">
        <v>0.55100000000000005</v>
      </c>
      <c r="BC132" s="3">
        <v>0.64200000000000002</v>
      </c>
      <c r="BD132" s="3">
        <v>0.35949999999999999</v>
      </c>
      <c r="BE132" s="3">
        <v>7.8E-2</v>
      </c>
      <c r="BF132" s="3">
        <v>0.64100000000000001</v>
      </c>
      <c r="BG132" s="3">
        <v>0.67133333399999995</v>
      </c>
      <c r="BH132" s="3">
        <v>0.90700000000000003</v>
      </c>
      <c r="BI132" s="3">
        <v>0.4945</v>
      </c>
      <c r="BJ132" s="3">
        <v>0.70066666700000002</v>
      </c>
      <c r="BK132" s="3">
        <v>0.92600000000000005</v>
      </c>
      <c r="BL132" s="3">
        <v>0.72533333300000002</v>
      </c>
      <c r="BM132" s="3">
        <v>0.01</v>
      </c>
      <c r="BN132" s="3">
        <v>0.62266666699999995</v>
      </c>
      <c r="BO132" s="3">
        <v>0.81</v>
      </c>
      <c r="BP132" s="48" t="s">
        <v>319</v>
      </c>
      <c r="BQ132" s="49" t="s">
        <v>338</v>
      </c>
      <c r="BR132" s="3">
        <v>13.422000000000001</v>
      </c>
      <c r="BS132" s="3">
        <v>14.26</v>
      </c>
      <c r="BT132" s="3">
        <v>13.242000000000001</v>
      </c>
      <c r="BU132" s="3">
        <v>12.015000000000001</v>
      </c>
      <c r="BV132" s="3">
        <v>13.6</v>
      </c>
      <c r="BW132" s="3">
        <v>14.082000000000001</v>
      </c>
      <c r="BX132" s="3">
        <v>11.398</v>
      </c>
      <c r="BY132" s="3">
        <v>14.705</v>
      </c>
      <c r="BZ132" s="3">
        <v>14.670999999999999</v>
      </c>
      <c r="CA132" s="3">
        <v>14.452999999999999</v>
      </c>
      <c r="CB132" s="3">
        <v>14.45</v>
      </c>
      <c r="CC132" s="3">
        <v>14.513</v>
      </c>
      <c r="CD132" s="3">
        <v>12.234999999999999</v>
      </c>
    </row>
    <row r="133" spans="1:82" x14ac:dyDescent="0.3">
      <c r="A133" s="48" t="s">
        <v>319</v>
      </c>
      <c r="B133" s="49" t="s">
        <v>339</v>
      </c>
      <c r="C133" s="3">
        <v>53.813958999999997</v>
      </c>
      <c r="D133" s="3">
        <v>39.345533330000002</v>
      </c>
      <c r="E133" s="3">
        <v>39.345533330000002</v>
      </c>
      <c r="F133" s="3">
        <v>24.421057170000001</v>
      </c>
      <c r="G133" s="3">
        <v>24.206445169999999</v>
      </c>
      <c r="H133" s="3">
        <v>39.345533330000002</v>
      </c>
      <c r="I133" s="48" t="s">
        <v>319</v>
      </c>
      <c r="J133" s="49" t="s">
        <v>339</v>
      </c>
      <c r="K133" s="3">
        <v>29850</v>
      </c>
      <c r="L133" s="48" t="s">
        <v>319</v>
      </c>
      <c r="M133" s="49" t="s">
        <v>339</v>
      </c>
      <c r="N133" s="3">
        <v>2606.842157</v>
      </c>
      <c r="O133" s="3">
        <v>3147.6638419999999</v>
      </c>
      <c r="P133" s="3">
        <v>1810.0818340000001</v>
      </c>
      <c r="Q133" s="3">
        <v>1997.1206360000001</v>
      </c>
      <c r="R133" s="3">
        <v>3405.7821629999999</v>
      </c>
      <c r="S133" s="3">
        <v>3755.2295479999998</v>
      </c>
      <c r="T133" s="3">
        <v>3185.2040320000001</v>
      </c>
      <c r="U133" s="3">
        <v>3542.2212570000002</v>
      </c>
      <c r="V133" s="3">
        <v>2365.578649</v>
      </c>
      <c r="W133" s="3">
        <v>1223.248497</v>
      </c>
      <c r="X133" s="3">
        <v>2496.5803350000001</v>
      </c>
      <c r="Y133" s="3">
        <v>186.2018917</v>
      </c>
      <c r="Z133" s="3">
        <v>884.68762790000005</v>
      </c>
      <c r="AA133" s="48" t="s">
        <v>319</v>
      </c>
      <c r="AB133" s="49" t="s">
        <v>339</v>
      </c>
      <c r="AC133" s="3">
        <v>0.29699999999999999</v>
      </c>
      <c r="AD133" s="3">
        <v>0.73499999999999999</v>
      </c>
      <c r="AE133" s="3">
        <v>0.14000000000000001</v>
      </c>
      <c r="AF133" s="3">
        <v>0.72599999999999998</v>
      </c>
      <c r="AG133" s="3">
        <v>0.108</v>
      </c>
      <c r="AH133" s="3">
        <v>0.70599999999999996</v>
      </c>
      <c r="AI133" s="3">
        <v>5.1999999999999998E-2</v>
      </c>
      <c r="AJ133" s="3">
        <v>0.76</v>
      </c>
      <c r="AK133" s="3">
        <v>0.23</v>
      </c>
      <c r="AL133" s="3">
        <v>0.97199999999999998</v>
      </c>
      <c r="AM133" s="3">
        <v>0.122</v>
      </c>
      <c r="AN133" s="3">
        <v>0.86299999999999999</v>
      </c>
      <c r="AO133" s="3">
        <v>0.13300000000000001</v>
      </c>
      <c r="AP133" s="3">
        <v>0.86299999999999999</v>
      </c>
      <c r="AQ133" s="3">
        <v>0.254</v>
      </c>
      <c r="AR133" s="3">
        <v>0.91100000000000003</v>
      </c>
      <c r="AS133" s="3">
        <v>0.29299999999999998</v>
      </c>
      <c r="AT133" s="3">
        <v>0.86399999999999999</v>
      </c>
      <c r="AU133" s="3">
        <v>0.29599999999999999</v>
      </c>
      <c r="AV133" s="3">
        <v>0.73499999999999999</v>
      </c>
      <c r="AW133" s="3">
        <v>0.58599999999999997</v>
      </c>
      <c r="AX133" s="3">
        <v>0.65100000000000002</v>
      </c>
      <c r="AY133" s="3">
        <v>0.27300000000000002</v>
      </c>
      <c r="AZ133" s="3">
        <v>0.67600000000000005</v>
      </c>
      <c r="BA133" s="3">
        <v>0.52400000000000002</v>
      </c>
      <c r="BB133" s="3">
        <v>0.59399999999999997</v>
      </c>
      <c r="BC133" s="3">
        <v>0.70899999999999996</v>
      </c>
      <c r="BD133" s="3">
        <v>0.51</v>
      </c>
      <c r="BE133" s="3">
        <v>0.1235</v>
      </c>
      <c r="BF133" s="3">
        <v>0.65400000000000003</v>
      </c>
      <c r="BG133" s="3">
        <v>0.71683333400000004</v>
      </c>
      <c r="BH133" s="3">
        <v>0.89500000000000002</v>
      </c>
      <c r="BI133" s="3">
        <v>0.51049999999999995</v>
      </c>
      <c r="BJ133" s="3">
        <v>0.72466666700000004</v>
      </c>
      <c r="BK133" s="3">
        <v>0.90300000000000002</v>
      </c>
      <c r="BL133" s="3">
        <v>0.63866666699999997</v>
      </c>
      <c r="BM133" s="3">
        <v>0.01</v>
      </c>
      <c r="BN133" s="3">
        <v>0.61533333300000004</v>
      </c>
      <c r="BO133" s="3">
        <v>0.74</v>
      </c>
      <c r="BP133" s="48" t="s">
        <v>319</v>
      </c>
      <c r="BQ133" s="49" t="s">
        <v>339</v>
      </c>
      <c r="BR133" s="3">
        <v>14.974</v>
      </c>
      <c r="BS133" s="3">
        <v>14.675000000000001</v>
      </c>
      <c r="BT133" s="3">
        <v>13.477</v>
      </c>
      <c r="BU133" s="3">
        <v>12.379</v>
      </c>
      <c r="BV133" s="3">
        <v>15.073</v>
      </c>
      <c r="BW133" s="3">
        <v>14.33</v>
      </c>
      <c r="BX133" s="3">
        <v>11.967000000000001</v>
      </c>
      <c r="BY133" s="3">
        <v>15.254</v>
      </c>
      <c r="BZ133" s="3">
        <v>15.278</v>
      </c>
      <c r="CA133" s="3">
        <v>15.138</v>
      </c>
      <c r="CB133" s="3">
        <v>15.096</v>
      </c>
      <c r="CC133" s="3">
        <v>14.831</v>
      </c>
      <c r="CD133" s="3">
        <v>12.34</v>
      </c>
    </row>
    <row r="134" spans="1:82" x14ac:dyDescent="0.3">
      <c r="A134" s="48" t="s">
        <v>319</v>
      </c>
      <c r="B134" s="49" t="s">
        <v>340</v>
      </c>
      <c r="C134" s="3">
        <v>44.478337000000003</v>
      </c>
      <c r="D134" s="3">
        <v>36.850668829999996</v>
      </c>
      <c r="E134" s="3">
        <v>36.591346000000001</v>
      </c>
      <c r="F134" s="3">
        <v>24.340577669999998</v>
      </c>
      <c r="G134" s="3">
        <v>24.340577669999998</v>
      </c>
      <c r="H134" s="3">
        <v>36.591346000000001</v>
      </c>
      <c r="I134" s="48" t="s">
        <v>319</v>
      </c>
      <c r="J134" s="49" t="s">
        <v>340</v>
      </c>
      <c r="K134" s="3">
        <v>29598</v>
      </c>
      <c r="L134" s="48" t="s">
        <v>319</v>
      </c>
      <c r="M134" s="49" t="s">
        <v>340</v>
      </c>
      <c r="N134" s="3">
        <v>2158.0938310000001</v>
      </c>
      <c r="O134" s="3">
        <v>2609.1699090000002</v>
      </c>
      <c r="P134" s="3">
        <v>1724.0983940000001</v>
      </c>
      <c r="Q134" s="3">
        <v>1934.9999929999999</v>
      </c>
      <c r="R134" s="3">
        <v>3044.9896399999998</v>
      </c>
      <c r="S134" s="3">
        <v>3318.9156379999999</v>
      </c>
      <c r="T134" s="3">
        <v>2573.4969209999999</v>
      </c>
      <c r="U134" s="3">
        <v>2851.7800499999998</v>
      </c>
      <c r="V134" s="3">
        <v>1830.7292</v>
      </c>
      <c r="W134" s="3">
        <v>1083.1251549999999</v>
      </c>
      <c r="X134" s="3">
        <v>1802.10358</v>
      </c>
      <c r="Y134" s="3">
        <v>175.692239</v>
      </c>
      <c r="Z134" s="3">
        <v>435.89901650000002</v>
      </c>
      <c r="AA134" s="48" t="s">
        <v>319</v>
      </c>
      <c r="AB134" s="49" t="s">
        <v>340</v>
      </c>
      <c r="AC134" s="3">
        <v>0.36199999999999999</v>
      </c>
      <c r="AD134" s="3">
        <v>0.78</v>
      </c>
      <c r="AE134" s="3">
        <v>0.14499999999999999</v>
      </c>
      <c r="AF134" s="3">
        <v>0.69</v>
      </c>
      <c r="AG134" s="3">
        <v>0.114</v>
      </c>
      <c r="AH134" s="3">
        <v>0.69299999999999995</v>
      </c>
      <c r="AI134" s="3">
        <v>6.8000000000000005E-2</v>
      </c>
      <c r="AJ134" s="3">
        <v>0.80300000000000005</v>
      </c>
      <c r="AK134" s="3">
        <v>0.23899999999999999</v>
      </c>
      <c r="AL134" s="3">
        <v>0.97699999999999998</v>
      </c>
      <c r="AM134" s="3">
        <v>0.19</v>
      </c>
      <c r="AN134" s="3">
        <v>0.86799999999999999</v>
      </c>
      <c r="AO134" s="3">
        <v>0.153</v>
      </c>
      <c r="AP134" s="3">
        <v>0.86799999999999999</v>
      </c>
      <c r="AQ134" s="3">
        <v>0.24199999999999999</v>
      </c>
      <c r="AR134" s="3">
        <v>0.92600000000000005</v>
      </c>
      <c r="AS134" s="3">
        <v>0.35799999999999998</v>
      </c>
      <c r="AT134" s="3">
        <v>0.89200000000000002</v>
      </c>
      <c r="AU134" s="3">
        <v>0.36599999999999999</v>
      </c>
      <c r="AV134" s="3">
        <v>0.76800000000000002</v>
      </c>
      <c r="AW134" s="3">
        <v>0.63700000000000001</v>
      </c>
      <c r="AX134" s="3">
        <v>0.64700000000000002</v>
      </c>
      <c r="AY134" s="3">
        <v>0.40400000000000003</v>
      </c>
      <c r="AZ134" s="3">
        <v>0.67500000000000004</v>
      </c>
      <c r="BA134" s="3">
        <v>0.58099999999999996</v>
      </c>
      <c r="BB134" s="3">
        <v>0.58799999999999997</v>
      </c>
      <c r="BC134" s="3">
        <v>0.747</v>
      </c>
      <c r="BD134" s="3">
        <v>0.63349999999999995</v>
      </c>
      <c r="BE134" s="3">
        <v>0.22800000000000001</v>
      </c>
      <c r="BF134" s="3">
        <v>0.69399999999999995</v>
      </c>
      <c r="BG134" s="3">
        <v>0.75249999999999995</v>
      </c>
      <c r="BH134" s="3">
        <v>0.878</v>
      </c>
      <c r="BI134" s="3">
        <v>0.50149999999999995</v>
      </c>
      <c r="BJ134" s="3">
        <v>0.75800000000000001</v>
      </c>
      <c r="BK134" s="3">
        <v>0.87649999999999995</v>
      </c>
      <c r="BL134" s="3">
        <v>0.55200000000000005</v>
      </c>
      <c r="BM134" s="3">
        <v>0.01</v>
      </c>
      <c r="BN134" s="3">
        <v>0.59099999999999997</v>
      </c>
      <c r="BO134" s="3">
        <v>0.66200000000000003</v>
      </c>
      <c r="BP134" s="48" t="s">
        <v>319</v>
      </c>
      <c r="BQ134" s="49" t="s">
        <v>340</v>
      </c>
      <c r="BR134" s="3">
        <v>16.268999999999998</v>
      </c>
      <c r="BS134" s="3">
        <v>14.493</v>
      </c>
      <c r="BT134" s="3">
        <v>13.539</v>
      </c>
      <c r="BU134" s="3">
        <v>12.821999999999999</v>
      </c>
      <c r="BV134" s="3">
        <v>16.626999999999999</v>
      </c>
      <c r="BW134" s="3">
        <v>14.4</v>
      </c>
      <c r="BX134" s="3">
        <v>12.504</v>
      </c>
      <c r="BY134" s="3">
        <v>15.907</v>
      </c>
      <c r="BZ134" s="3">
        <v>16.021999999999998</v>
      </c>
      <c r="CA134" s="3">
        <v>15.863</v>
      </c>
      <c r="CB134" s="3">
        <v>15.042</v>
      </c>
      <c r="CC134" s="3">
        <v>14.724</v>
      </c>
      <c r="CD134" s="3">
        <v>12.353</v>
      </c>
    </row>
    <row r="135" spans="1:82" x14ac:dyDescent="0.3">
      <c r="A135" s="48" t="s">
        <v>319</v>
      </c>
      <c r="B135" s="49" t="s">
        <v>341</v>
      </c>
      <c r="C135" s="3">
        <v>42.457407330000002</v>
      </c>
      <c r="D135" s="3">
        <v>33.103901</v>
      </c>
      <c r="E135" s="3">
        <v>33.103901</v>
      </c>
      <c r="F135" s="3">
        <v>24.251156000000002</v>
      </c>
      <c r="G135" s="3">
        <v>24.251156000000002</v>
      </c>
      <c r="H135" s="3">
        <v>33.103901</v>
      </c>
      <c r="I135" s="48" t="s">
        <v>319</v>
      </c>
      <c r="J135" s="49" t="s">
        <v>341</v>
      </c>
      <c r="K135" s="3">
        <v>29081.5</v>
      </c>
      <c r="L135" s="48" t="s">
        <v>319</v>
      </c>
      <c r="M135" s="49" t="s">
        <v>341</v>
      </c>
      <c r="N135" s="3">
        <v>1974.768217</v>
      </c>
      <c r="O135" s="3">
        <v>2339.350136</v>
      </c>
      <c r="P135" s="3">
        <v>1778.599152</v>
      </c>
      <c r="Q135" s="3">
        <v>1911.627514</v>
      </c>
      <c r="R135" s="3">
        <v>2940.2136620000001</v>
      </c>
      <c r="S135" s="3">
        <v>3382.4170130000002</v>
      </c>
      <c r="T135" s="3">
        <v>2380.4126590000001</v>
      </c>
      <c r="U135" s="3">
        <v>2693.48711</v>
      </c>
      <c r="V135" s="3">
        <v>1671.3118730000001</v>
      </c>
      <c r="W135" s="3">
        <v>1104.3021220000001</v>
      </c>
      <c r="X135" s="3">
        <v>1632.6340700000001</v>
      </c>
      <c r="Y135" s="3">
        <v>204.88113490000001</v>
      </c>
      <c r="Z135" s="3">
        <v>349.95843769999999</v>
      </c>
      <c r="AA135" s="48" t="s">
        <v>319</v>
      </c>
      <c r="AB135" s="49" t="s">
        <v>341</v>
      </c>
      <c r="AC135" s="3">
        <v>0.318</v>
      </c>
      <c r="AD135" s="3">
        <v>0.73899999999999999</v>
      </c>
      <c r="AE135" s="3">
        <v>0.155</v>
      </c>
      <c r="AF135" s="3">
        <v>0.628</v>
      </c>
      <c r="AG135" s="3">
        <v>0.10199999999999999</v>
      </c>
      <c r="AH135" s="3">
        <v>0.67600000000000005</v>
      </c>
      <c r="AI135" s="3">
        <v>8.1000000000000003E-2</v>
      </c>
      <c r="AJ135" s="3">
        <v>0.76400000000000001</v>
      </c>
      <c r="AK135" s="3">
        <v>0.23</v>
      </c>
      <c r="AL135" s="3">
        <v>0.97599999999999998</v>
      </c>
      <c r="AM135" s="3">
        <v>0.308</v>
      </c>
      <c r="AN135" s="3">
        <v>0.85899999999999999</v>
      </c>
      <c r="AO135" s="3">
        <v>0.14599999999999999</v>
      </c>
      <c r="AP135" s="3">
        <v>0.85899999999999999</v>
      </c>
      <c r="AQ135" s="3">
        <v>0.19900000000000001</v>
      </c>
      <c r="AR135" s="3">
        <v>0.92</v>
      </c>
      <c r="AS135" s="3">
        <v>0.377</v>
      </c>
      <c r="AT135" s="3">
        <v>0.879</v>
      </c>
      <c r="AU135" s="3">
        <v>0.38600000000000001</v>
      </c>
      <c r="AV135" s="3">
        <v>0.77500000000000002</v>
      </c>
      <c r="AW135" s="3">
        <v>0.60199999999999998</v>
      </c>
      <c r="AX135" s="3">
        <v>0.61799999999999999</v>
      </c>
      <c r="AY135" s="3">
        <v>0.38200000000000001</v>
      </c>
      <c r="AZ135" s="3">
        <v>0.66100000000000003</v>
      </c>
      <c r="BA135" s="3">
        <v>0.56799999999999995</v>
      </c>
      <c r="BB135" s="3">
        <v>0.58499999999999996</v>
      </c>
      <c r="BC135" s="3">
        <v>0.77200000000000002</v>
      </c>
      <c r="BD135" s="3">
        <v>0.74150000000000005</v>
      </c>
      <c r="BE135" s="3">
        <v>0.39250000000000002</v>
      </c>
      <c r="BF135" s="3">
        <v>0.73966666700000006</v>
      </c>
      <c r="BG135" s="3">
        <v>0.78166666699999998</v>
      </c>
      <c r="BH135" s="3">
        <v>0.86199999999999999</v>
      </c>
      <c r="BI135" s="3">
        <v>0.50900000000000001</v>
      </c>
      <c r="BJ135" s="3">
        <v>0.79133333299999997</v>
      </c>
      <c r="BK135" s="3">
        <v>0.84699999999999998</v>
      </c>
      <c r="BL135" s="3">
        <v>0.489666667</v>
      </c>
      <c r="BM135" s="3">
        <v>0.01</v>
      </c>
      <c r="BN135" s="3">
        <v>0.56766666700000001</v>
      </c>
      <c r="BO135" s="3">
        <v>0.59899999999999998</v>
      </c>
      <c r="BP135" s="48" t="s">
        <v>319</v>
      </c>
      <c r="BQ135" s="49" t="s">
        <v>341</v>
      </c>
      <c r="BR135" s="3">
        <v>16.465</v>
      </c>
      <c r="BS135" s="3">
        <v>13.988</v>
      </c>
      <c r="BT135" s="3">
        <v>13.361000000000001</v>
      </c>
      <c r="BU135" s="3">
        <v>13.329000000000001</v>
      </c>
      <c r="BV135" s="3">
        <v>17.113</v>
      </c>
      <c r="BW135" s="3">
        <v>14.356999999999999</v>
      </c>
      <c r="BX135" s="3">
        <v>13.071999999999999</v>
      </c>
      <c r="BY135" s="3">
        <v>16.5</v>
      </c>
      <c r="BZ135" s="3">
        <v>16.516999999999999</v>
      </c>
      <c r="CA135" s="3">
        <v>16.436</v>
      </c>
      <c r="CB135" s="3">
        <v>14.539</v>
      </c>
      <c r="CC135" s="3">
        <v>14.45</v>
      </c>
      <c r="CD135" s="3">
        <v>12.422000000000001</v>
      </c>
    </row>
    <row r="136" spans="1:82" x14ac:dyDescent="0.3">
      <c r="A136" s="48" t="s">
        <v>319</v>
      </c>
      <c r="B136" s="49" t="s">
        <v>342</v>
      </c>
      <c r="C136" s="3">
        <v>33.407934670000003</v>
      </c>
      <c r="D136" s="3">
        <v>31.297583329999998</v>
      </c>
      <c r="E136" s="3">
        <v>31.297583329999998</v>
      </c>
      <c r="F136" s="3">
        <v>24.412115</v>
      </c>
      <c r="G136" s="3">
        <v>24.412115</v>
      </c>
      <c r="H136" s="3">
        <v>31.297583329999998</v>
      </c>
      <c r="I136" s="48" t="s">
        <v>319</v>
      </c>
      <c r="J136" s="49" t="s">
        <v>342</v>
      </c>
      <c r="K136" s="3">
        <v>28700</v>
      </c>
      <c r="L136" s="48" t="s">
        <v>319</v>
      </c>
      <c r="M136" s="49" t="s">
        <v>342</v>
      </c>
      <c r="N136" s="3">
        <v>1999.5524350000001</v>
      </c>
      <c r="O136" s="3">
        <v>2505.9350020000002</v>
      </c>
      <c r="P136" s="3">
        <v>1739.7612690000001</v>
      </c>
      <c r="Q136" s="3">
        <v>1735.1306509999999</v>
      </c>
      <c r="R136" s="3">
        <v>3069.1543689999999</v>
      </c>
      <c r="S136" s="3">
        <v>3523.7020889999999</v>
      </c>
      <c r="T136" s="3">
        <v>2293.8561049999998</v>
      </c>
      <c r="U136" s="3">
        <v>2810.250501</v>
      </c>
      <c r="V136" s="3">
        <v>1776.9087999999999</v>
      </c>
      <c r="W136" s="3">
        <v>947.27558290000002</v>
      </c>
      <c r="X136" s="3">
        <v>1653.353938</v>
      </c>
      <c r="Y136" s="3">
        <v>216.81124779999999</v>
      </c>
      <c r="Z136" s="3">
        <v>268.0818658</v>
      </c>
      <c r="AA136" s="48" t="s">
        <v>319</v>
      </c>
      <c r="AB136" s="49" t="s">
        <v>342</v>
      </c>
      <c r="AC136" s="3">
        <v>0.188</v>
      </c>
      <c r="AD136" s="3">
        <v>0.60899999999999999</v>
      </c>
      <c r="AE136" s="3">
        <v>0.159</v>
      </c>
      <c r="AF136" s="3">
        <v>0.62</v>
      </c>
      <c r="AG136" s="3">
        <v>7.6999999999999999E-2</v>
      </c>
      <c r="AH136" s="3">
        <v>0.67600000000000005</v>
      </c>
      <c r="AI136" s="3">
        <v>9.0999999999999998E-2</v>
      </c>
      <c r="AJ136" s="3">
        <v>0.68</v>
      </c>
      <c r="AK136" s="3">
        <v>0.22800000000000001</v>
      </c>
      <c r="AL136" s="3">
        <v>0.97299999999999998</v>
      </c>
      <c r="AM136" s="3">
        <v>0.371</v>
      </c>
      <c r="AN136" s="3">
        <v>0.84199999999999997</v>
      </c>
      <c r="AO136" s="3">
        <v>0.152</v>
      </c>
      <c r="AP136" s="3">
        <v>0.84199999999999997</v>
      </c>
      <c r="AQ136" s="3">
        <v>0.17399999999999999</v>
      </c>
      <c r="AR136" s="3">
        <v>0.88700000000000001</v>
      </c>
      <c r="AS136" s="3">
        <v>0.33700000000000002</v>
      </c>
      <c r="AT136" s="3">
        <v>0.83699999999999997</v>
      </c>
      <c r="AU136" s="3">
        <v>0.34799999999999998</v>
      </c>
      <c r="AV136" s="3">
        <v>0.75900000000000001</v>
      </c>
      <c r="AW136" s="3">
        <v>0.44</v>
      </c>
      <c r="AX136" s="3">
        <v>0.58799999999999997</v>
      </c>
      <c r="AY136" s="3">
        <v>0.33800000000000002</v>
      </c>
      <c r="AZ136" s="3">
        <v>0.63400000000000001</v>
      </c>
      <c r="BA136" s="3">
        <v>0.48699999999999999</v>
      </c>
      <c r="BB136" s="3">
        <v>0.54900000000000004</v>
      </c>
      <c r="BC136" s="3">
        <v>0.79849999999999999</v>
      </c>
      <c r="BD136" s="3">
        <v>0.82150000000000001</v>
      </c>
      <c r="BE136" s="3">
        <v>0.57550000000000001</v>
      </c>
      <c r="BF136" s="3">
        <v>0.79</v>
      </c>
      <c r="BG136" s="3">
        <v>0.80108333399999998</v>
      </c>
      <c r="BH136" s="3">
        <v>0.85299999999999998</v>
      </c>
      <c r="BI136" s="3">
        <v>0.53149999999999997</v>
      </c>
      <c r="BJ136" s="3">
        <v>0.803666667</v>
      </c>
      <c r="BK136" s="3">
        <v>0.81599999999999995</v>
      </c>
      <c r="BL136" s="3">
        <v>0.44500000000000001</v>
      </c>
      <c r="BM136" s="3">
        <v>0.01</v>
      </c>
      <c r="BN136" s="3">
        <v>0.56299999999999994</v>
      </c>
      <c r="BO136" s="3">
        <v>0.55600000000000005</v>
      </c>
      <c r="BP136" s="48" t="s">
        <v>319</v>
      </c>
      <c r="BQ136" s="49" t="s">
        <v>342</v>
      </c>
      <c r="BR136" s="3">
        <v>15.593</v>
      </c>
      <c r="BS136" s="3">
        <v>13.576000000000001</v>
      </c>
      <c r="BT136" s="3">
        <v>13.196999999999999</v>
      </c>
      <c r="BU136" s="3">
        <v>13.83</v>
      </c>
      <c r="BV136" s="3">
        <v>16.904</v>
      </c>
      <c r="BW136" s="3">
        <v>14.234999999999999</v>
      </c>
      <c r="BX136" s="3">
        <v>13.513</v>
      </c>
      <c r="BY136" s="3">
        <v>16.638999999999999</v>
      </c>
      <c r="BZ136" s="3">
        <v>16.547000000000001</v>
      </c>
      <c r="CA136" s="3">
        <v>16.751000000000001</v>
      </c>
      <c r="CB136" s="3">
        <v>14.194000000000001</v>
      </c>
      <c r="CC136" s="3">
        <v>14.186</v>
      </c>
      <c r="CD136" s="3">
        <v>12.303000000000001</v>
      </c>
    </row>
    <row r="137" spans="1:82" x14ac:dyDescent="0.3">
      <c r="A137" s="48" t="s">
        <v>319</v>
      </c>
      <c r="B137" s="49" t="s">
        <v>343</v>
      </c>
      <c r="C137" s="3">
        <v>33.774563499999999</v>
      </c>
      <c r="D137" s="3">
        <v>33.345339500000001</v>
      </c>
      <c r="E137" s="3">
        <v>33.345339500000001</v>
      </c>
      <c r="F137" s="3">
        <v>24.358461999999999</v>
      </c>
      <c r="G137" s="3">
        <v>24.358461999999999</v>
      </c>
      <c r="H137" s="3">
        <v>33.345339500000001</v>
      </c>
      <c r="I137" s="48" t="s">
        <v>319</v>
      </c>
      <c r="J137" s="49" t="s">
        <v>343</v>
      </c>
      <c r="K137" s="3">
        <v>29044</v>
      </c>
      <c r="L137" s="48" t="s">
        <v>319</v>
      </c>
      <c r="M137" s="49" t="s">
        <v>343</v>
      </c>
      <c r="N137" s="3">
        <v>1761.476889</v>
      </c>
      <c r="O137" s="3">
        <v>2564.4096070000001</v>
      </c>
      <c r="P137" s="3">
        <v>1832.413849</v>
      </c>
      <c r="Q137" s="3">
        <v>1649.7114999999999</v>
      </c>
      <c r="R137" s="3">
        <v>2730.4385459999999</v>
      </c>
      <c r="S137" s="3">
        <v>3605.5602600000002</v>
      </c>
      <c r="T137" s="3">
        <v>2017.9000129999999</v>
      </c>
      <c r="U137" s="3">
        <v>2537.5945240000001</v>
      </c>
      <c r="V137" s="3">
        <v>1527.074253</v>
      </c>
      <c r="W137" s="3">
        <v>898.26645489999999</v>
      </c>
      <c r="X137" s="3">
        <v>1709.894632</v>
      </c>
      <c r="Y137" s="3">
        <v>283.18690329999998</v>
      </c>
      <c r="Z137" s="3">
        <v>239.36910979999999</v>
      </c>
      <c r="AA137" s="48" t="s">
        <v>319</v>
      </c>
      <c r="AB137" s="49" t="s">
        <v>343</v>
      </c>
      <c r="AC137" s="3">
        <v>0.13100000000000001</v>
      </c>
      <c r="AD137" s="3">
        <v>0.56000000000000005</v>
      </c>
      <c r="AE137" s="3">
        <v>0.17599999999999999</v>
      </c>
      <c r="AF137" s="3">
        <v>0.61199999999999999</v>
      </c>
      <c r="AG137" s="3">
        <v>5.5E-2</v>
      </c>
      <c r="AH137" s="3">
        <v>0.66500000000000004</v>
      </c>
      <c r="AI137" s="3">
        <v>7.5999999999999998E-2</v>
      </c>
      <c r="AJ137" s="3">
        <v>0.57999999999999996</v>
      </c>
      <c r="AK137" s="3">
        <v>0.188</v>
      </c>
      <c r="AL137" s="3">
        <v>0.97</v>
      </c>
      <c r="AM137" s="3">
        <v>0.32800000000000001</v>
      </c>
      <c r="AN137" s="3">
        <v>0.80600000000000005</v>
      </c>
      <c r="AO137" s="3">
        <v>0.16400000000000001</v>
      </c>
      <c r="AP137" s="3">
        <v>0.80600000000000005</v>
      </c>
      <c r="AQ137" s="3">
        <v>0.13400000000000001</v>
      </c>
      <c r="AR137" s="3">
        <v>0.83799999999999997</v>
      </c>
      <c r="AS137" s="3">
        <v>0.26100000000000001</v>
      </c>
      <c r="AT137" s="3">
        <v>0.77500000000000002</v>
      </c>
      <c r="AU137" s="3">
        <v>0.26800000000000002</v>
      </c>
      <c r="AV137" s="3">
        <v>0.71199999999999997</v>
      </c>
      <c r="AW137" s="3">
        <v>0.22800000000000001</v>
      </c>
      <c r="AX137" s="3">
        <v>0.51</v>
      </c>
      <c r="AY137" s="3">
        <v>0.26900000000000002</v>
      </c>
      <c r="AZ137" s="3">
        <v>0.58899999999999997</v>
      </c>
      <c r="BA137" s="3">
        <v>0.36699999999999999</v>
      </c>
      <c r="BB137" s="3">
        <v>0.47599999999999998</v>
      </c>
      <c r="BC137" s="3">
        <v>0.81850000000000001</v>
      </c>
      <c r="BD137" s="3">
        <v>0.86350000000000005</v>
      </c>
      <c r="BE137" s="3">
        <v>0.70250000000000001</v>
      </c>
      <c r="BF137" s="3">
        <v>0.82199999999999995</v>
      </c>
      <c r="BG137" s="3">
        <v>0.80774999999999997</v>
      </c>
      <c r="BH137" s="3">
        <v>0.85099999999999998</v>
      </c>
      <c r="BI137" s="3">
        <v>0.55149999999999999</v>
      </c>
      <c r="BJ137" s="3">
        <v>0.79700000000000004</v>
      </c>
      <c r="BK137" s="3">
        <v>0.78049999999999997</v>
      </c>
      <c r="BL137" s="3">
        <v>0.39966666699999998</v>
      </c>
      <c r="BM137" s="3">
        <v>0.01</v>
      </c>
      <c r="BN137" s="3">
        <v>0.557666667</v>
      </c>
      <c r="BO137" s="3">
        <v>0.52100000000000002</v>
      </c>
      <c r="BP137" s="48" t="s">
        <v>319</v>
      </c>
      <c r="BQ137" s="49" t="s">
        <v>343</v>
      </c>
      <c r="BR137" s="3">
        <v>14.614000000000001</v>
      </c>
      <c r="BS137" s="3">
        <v>13.28</v>
      </c>
      <c r="BT137" s="3">
        <v>13.395</v>
      </c>
      <c r="BU137" s="3">
        <v>14.143000000000001</v>
      </c>
      <c r="BV137" s="3">
        <v>16.456</v>
      </c>
      <c r="BW137" s="3">
        <v>14.066000000000001</v>
      </c>
      <c r="BX137" s="3">
        <v>13.529</v>
      </c>
      <c r="BY137" s="3">
        <v>16.478999999999999</v>
      </c>
      <c r="BZ137" s="3">
        <v>16.456</v>
      </c>
      <c r="CA137" s="3">
        <v>16.571000000000002</v>
      </c>
      <c r="CB137" s="3">
        <v>13.84</v>
      </c>
      <c r="CC137" s="3">
        <v>13.797000000000001</v>
      </c>
      <c r="CD137" s="3">
        <v>11.994999999999999</v>
      </c>
    </row>
    <row r="138" spans="1:82" x14ac:dyDescent="0.3">
      <c r="A138" s="48" t="s">
        <v>319</v>
      </c>
      <c r="B138" s="49" t="s">
        <v>344</v>
      </c>
      <c r="C138" s="3">
        <v>33.229091330000003</v>
      </c>
      <c r="D138" s="3">
        <v>38.469200999999998</v>
      </c>
      <c r="E138" s="3">
        <v>38.469200999999998</v>
      </c>
      <c r="F138" s="3">
        <v>24.590958329999999</v>
      </c>
      <c r="G138" s="3">
        <v>24.590958329999999</v>
      </c>
      <c r="H138" s="3">
        <v>38.469200999999998</v>
      </c>
      <c r="I138" s="48" t="s">
        <v>319</v>
      </c>
      <c r="J138" s="49" t="s">
        <v>344</v>
      </c>
      <c r="K138" s="3">
        <v>30634</v>
      </c>
      <c r="L138" s="48" t="s">
        <v>319</v>
      </c>
      <c r="M138" s="49" t="s">
        <v>344</v>
      </c>
      <c r="N138" s="3">
        <v>1679.2256130000001</v>
      </c>
      <c r="O138" s="3">
        <v>2636.1468129999998</v>
      </c>
      <c r="P138" s="3">
        <v>2068.0289859999998</v>
      </c>
      <c r="Q138" s="3">
        <v>1600.956983</v>
      </c>
      <c r="R138" s="3">
        <v>2432.5690199999999</v>
      </c>
      <c r="S138" s="3">
        <v>3768.8255450000001</v>
      </c>
      <c r="T138" s="3">
        <v>1665.506834</v>
      </c>
      <c r="U138" s="3">
        <v>2204.0125889999999</v>
      </c>
      <c r="V138" s="3">
        <v>1471.9916000000001</v>
      </c>
      <c r="W138" s="3">
        <v>1027.141529</v>
      </c>
      <c r="X138" s="3">
        <v>1674.697007</v>
      </c>
      <c r="Y138" s="3">
        <v>320.23355129999999</v>
      </c>
      <c r="Z138" s="3">
        <v>399.03868510000001</v>
      </c>
      <c r="AA138" s="48" t="s">
        <v>319</v>
      </c>
      <c r="AB138" s="49" t="s">
        <v>344</v>
      </c>
      <c r="AC138" s="3">
        <v>9.7000000000000003E-2</v>
      </c>
      <c r="AD138" s="3">
        <v>0.56200000000000006</v>
      </c>
      <c r="AE138" s="3">
        <v>0.11700000000000001</v>
      </c>
      <c r="AF138" s="3">
        <v>0.625</v>
      </c>
      <c r="AG138" s="3">
        <v>3.5999999999999997E-2</v>
      </c>
      <c r="AH138" s="3">
        <v>0.63800000000000001</v>
      </c>
      <c r="AI138" s="3">
        <v>5.5E-2</v>
      </c>
      <c r="AJ138" s="3">
        <v>0.53300000000000003</v>
      </c>
      <c r="AK138" s="3">
        <v>0.105</v>
      </c>
      <c r="AL138" s="3">
        <v>0.97</v>
      </c>
      <c r="AM138" s="3">
        <v>0.187</v>
      </c>
      <c r="AN138" s="3">
        <v>0.72599999999999998</v>
      </c>
      <c r="AO138" s="3">
        <v>8.1000000000000003E-2</v>
      </c>
      <c r="AP138" s="3">
        <v>0.72599999999999998</v>
      </c>
      <c r="AQ138" s="3">
        <v>8.6999999999999994E-2</v>
      </c>
      <c r="AR138" s="3">
        <v>0.78200000000000003</v>
      </c>
      <c r="AS138" s="3">
        <v>0.128</v>
      </c>
      <c r="AT138" s="3">
        <v>0.70299999999999996</v>
      </c>
      <c r="AU138" s="3">
        <v>0.128</v>
      </c>
      <c r="AV138" s="3">
        <v>0.63100000000000001</v>
      </c>
      <c r="AW138" s="3">
        <v>0.11600000000000001</v>
      </c>
      <c r="AX138" s="3">
        <v>0.45100000000000001</v>
      </c>
      <c r="AY138" s="3">
        <v>0.16900000000000001</v>
      </c>
      <c r="AZ138" s="3">
        <v>0.49299999999999999</v>
      </c>
      <c r="BA138" s="3">
        <v>0.221</v>
      </c>
      <c r="BB138" s="3">
        <v>0.40600000000000003</v>
      </c>
      <c r="BC138" s="3">
        <v>0.82399999999999995</v>
      </c>
      <c r="BD138" s="3">
        <v>0.87649999999999995</v>
      </c>
      <c r="BE138" s="3">
        <v>0.76800000000000002</v>
      </c>
      <c r="BF138" s="3">
        <v>0.83299999999999996</v>
      </c>
      <c r="BG138" s="3">
        <v>0.79500000000000004</v>
      </c>
      <c r="BH138" s="3">
        <v>0.84299999999999997</v>
      </c>
      <c r="BI138" s="3">
        <v>0.57699999999999996</v>
      </c>
      <c r="BJ138" s="3">
        <v>0.76600000000000001</v>
      </c>
      <c r="BK138" s="3">
        <v>0.75</v>
      </c>
      <c r="BL138" s="3">
        <v>0.36633333299999998</v>
      </c>
      <c r="BM138" s="3">
        <v>0.01</v>
      </c>
      <c r="BN138" s="3">
        <v>0.54833333299999998</v>
      </c>
      <c r="BO138" s="3">
        <v>0.498</v>
      </c>
      <c r="BP138" s="48" t="s">
        <v>319</v>
      </c>
      <c r="BQ138" s="49" t="s">
        <v>344</v>
      </c>
      <c r="BR138" s="3">
        <v>13.888999999999999</v>
      </c>
      <c r="BS138" s="3">
        <v>13.074999999999999</v>
      </c>
      <c r="BT138" s="3">
        <v>13.590999999999999</v>
      </c>
      <c r="BU138" s="3">
        <v>14.013</v>
      </c>
      <c r="BV138" s="3">
        <v>15.879</v>
      </c>
      <c r="BW138" s="3">
        <v>13.885999999999999</v>
      </c>
      <c r="BX138" s="3">
        <v>13.185</v>
      </c>
      <c r="BY138" s="3">
        <v>16.298999999999999</v>
      </c>
      <c r="BZ138" s="3">
        <v>16.349</v>
      </c>
      <c r="CA138" s="3">
        <v>15.891999999999999</v>
      </c>
      <c r="CB138" s="3">
        <v>13.374000000000001</v>
      </c>
      <c r="CC138" s="3">
        <v>13.365</v>
      </c>
      <c r="CD138" s="3">
        <v>11.824999999999999</v>
      </c>
    </row>
    <row r="139" spans="1:82" x14ac:dyDescent="0.3">
      <c r="A139" s="48" t="s">
        <v>319</v>
      </c>
      <c r="B139" s="49" t="s">
        <v>345</v>
      </c>
      <c r="C139" s="3">
        <v>50.585836829999998</v>
      </c>
      <c r="D139" s="3">
        <v>47.375599000000001</v>
      </c>
      <c r="E139" s="3">
        <v>47.04473883</v>
      </c>
      <c r="F139" s="3">
        <v>24.8681655</v>
      </c>
      <c r="G139" s="3">
        <v>24.8681655</v>
      </c>
      <c r="H139" s="3">
        <v>47.04473883</v>
      </c>
      <c r="I139" s="48" t="s">
        <v>319</v>
      </c>
      <c r="J139" s="49" t="s">
        <v>345</v>
      </c>
      <c r="K139" s="3">
        <v>32901</v>
      </c>
      <c r="L139" s="48" t="s">
        <v>319</v>
      </c>
      <c r="M139" s="49" t="s">
        <v>345</v>
      </c>
      <c r="N139" s="3">
        <v>2136.5160470000001</v>
      </c>
      <c r="O139" s="3">
        <v>3409.145481</v>
      </c>
      <c r="P139" s="3">
        <v>2774.086186</v>
      </c>
      <c r="Q139" s="3">
        <v>1936.0477639999999</v>
      </c>
      <c r="R139" s="3">
        <v>2763.6601340000002</v>
      </c>
      <c r="S139" s="3">
        <v>4600.6420049999997</v>
      </c>
      <c r="T139" s="3">
        <v>1916.1435409999999</v>
      </c>
      <c r="U139" s="3">
        <v>2599.8516169999998</v>
      </c>
      <c r="V139" s="3">
        <v>1665.9502210000001</v>
      </c>
      <c r="W139" s="3">
        <v>1986.803782</v>
      </c>
      <c r="X139" s="3">
        <v>2267.9602719999998</v>
      </c>
      <c r="Y139" s="3">
        <v>487.97733310000001</v>
      </c>
      <c r="Z139" s="3">
        <v>1274.9904140000001</v>
      </c>
      <c r="AA139" s="48" t="s">
        <v>319</v>
      </c>
      <c r="AB139" s="49" t="s">
        <v>345</v>
      </c>
      <c r="AC139" s="3">
        <v>4.2000000000000003E-2</v>
      </c>
      <c r="AD139" s="3">
        <v>0.58599999999999997</v>
      </c>
      <c r="AE139" s="3">
        <v>5.8000000000000003E-2</v>
      </c>
      <c r="AF139" s="3">
        <v>0.63300000000000001</v>
      </c>
      <c r="AG139" s="3">
        <v>1.7999999999999999E-2</v>
      </c>
      <c r="AH139" s="3">
        <v>0.60899999999999999</v>
      </c>
      <c r="AI139" s="3">
        <v>2.7E-2</v>
      </c>
      <c r="AJ139" s="3">
        <v>0.54700000000000004</v>
      </c>
      <c r="AK139" s="3">
        <v>3.6999999999999998E-2</v>
      </c>
      <c r="AL139" s="3">
        <v>0.96299999999999997</v>
      </c>
      <c r="AM139" s="3">
        <v>6.5000000000000002E-2</v>
      </c>
      <c r="AN139" s="3">
        <v>0.64300000000000002</v>
      </c>
      <c r="AO139" s="3">
        <v>2.5000000000000001E-2</v>
      </c>
      <c r="AP139" s="3">
        <v>0.64300000000000002</v>
      </c>
      <c r="AQ139" s="3">
        <v>0.03</v>
      </c>
      <c r="AR139" s="3">
        <v>0.72899999999999998</v>
      </c>
      <c r="AS139" s="3">
        <v>3.6999999999999998E-2</v>
      </c>
      <c r="AT139" s="3">
        <v>0.64800000000000002</v>
      </c>
      <c r="AU139" s="3">
        <v>3.6999999999999998E-2</v>
      </c>
      <c r="AV139" s="3">
        <v>0.55600000000000005</v>
      </c>
      <c r="AW139" s="3">
        <v>4.9000000000000002E-2</v>
      </c>
      <c r="AX139" s="3">
        <v>0.42899999999999999</v>
      </c>
      <c r="AY139" s="3">
        <v>6.2E-2</v>
      </c>
      <c r="AZ139" s="3">
        <v>0.41499999999999998</v>
      </c>
      <c r="BA139" s="3">
        <v>9.5000000000000001E-2</v>
      </c>
      <c r="BB139" s="3">
        <v>0.377</v>
      </c>
      <c r="BC139" s="3">
        <v>0.80249999999999999</v>
      </c>
      <c r="BD139" s="3">
        <v>0.87450000000000006</v>
      </c>
      <c r="BE139" s="3">
        <v>0.80649999999999999</v>
      </c>
      <c r="BF139" s="3">
        <v>0.82899999999999996</v>
      </c>
      <c r="BG139" s="3">
        <v>0.76341666699999999</v>
      </c>
      <c r="BH139" s="3">
        <v>0.81499999999999995</v>
      </c>
      <c r="BI139" s="3">
        <v>0.61650000000000005</v>
      </c>
      <c r="BJ139" s="3">
        <v>0.72433333300000002</v>
      </c>
      <c r="BK139" s="3">
        <v>0.73750000000000004</v>
      </c>
      <c r="BL139" s="3">
        <v>0.34100000000000003</v>
      </c>
      <c r="BM139" s="3">
        <v>0.01</v>
      </c>
      <c r="BN139" s="3">
        <v>0.52</v>
      </c>
      <c r="BO139" s="3">
        <v>0.48399999999999999</v>
      </c>
      <c r="BP139" s="48" t="s">
        <v>319</v>
      </c>
      <c r="BQ139" s="49" t="s">
        <v>345</v>
      </c>
      <c r="BR139" s="3">
        <v>13.202999999999999</v>
      </c>
      <c r="BS139" s="3">
        <v>12.835000000000001</v>
      </c>
      <c r="BT139" s="3">
        <v>13.286</v>
      </c>
      <c r="BU139" s="3">
        <v>13.295</v>
      </c>
      <c r="BV139" s="3">
        <v>14.954000000000001</v>
      </c>
      <c r="BW139" s="3">
        <v>13.896000000000001</v>
      </c>
      <c r="BX139" s="3">
        <v>12.412000000000001</v>
      </c>
      <c r="BY139" s="3">
        <v>16.048999999999999</v>
      </c>
      <c r="BZ139" s="3">
        <v>15.997999999999999</v>
      </c>
      <c r="CA139" s="3">
        <v>15.013</v>
      </c>
      <c r="CB139" s="3">
        <v>12.859</v>
      </c>
      <c r="CC139" s="3">
        <v>12.999000000000001</v>
      </c>
      <c r="CD139" s="3">
        <v>11.651</v>
      </c>
    </row>
    <row r="140" spans="1:82" x14ac:dyDescent="0.3">
      <c r="A140" s="48" t="s">
        <v>319</v>
      </c>
      <c r="B140" s="49" t="s">
        <v>346</v>
      </c>
      <c r="C140" s="3">
        <v>67.513358330000003</v>
      </c>
      <c r="D140" s="3">
        <v>55.298358669999999</v>
      </c>
      <c r="E140" s="3">
        <v>55.298358669999999</v>
      </c>
      <c r="F140" s="3">
        <v>24.921818500000001</v>
      </c>
      <c r="G140" s="3">
        <v>24.921818500000001</v>
      </c>
      <c r="H140" s="3">
        <v>55.298358669999999</v>
      </c>
      <c r="I140" s="48" t="s">
        <v>319</v>
      </c>
      <c r="J140" s="49" t="s">
        <v>346</v>
      </c>
      <c r="K140" s="3">
        <v>34564.5</v>
      </c>
      <c r="L140" s="48" t="s">
        <v>319</v>
      </c>
      <c r="M140" s="49" t="s">
        <v>346</v>
      </c>
      <c r="N140" s="3">
        <v>3326.0563109999998</v>
      </c>
      <c r="O140" s="3">
        <v>4758.4823349999997</v>
      </c>
      <c r="P140" s="3">
        <v>2989.7140129999998</v>
      </c>
      <c r="Q140" s="3">
        <v>2255.753674</v>
      </c>
      <c r="R140" s="3">
        <v>3468.0147969999998</v>
      </c>
      <c r="S140" s="3">
        <v>5719.4586749999999</v>
      </c>
      <c r="T140" s="3">
        <v>2804.626475</v>
      </c>
      <c r="U140" s="3">
        <v>3900.7826340000001</v>
      </c>
      <c r="V140" s="3">
        <v>2836.9570749999998</v>
      </c>
      <c r="W140" s="3">
        <v>2511.4785750000001</v>
      </c>
      <c r="X140" s="3">
        <v>3440.6387110000001</v>
      </c>
      <c r="Y140" s="3">
        <v>570.16329810000002</v>
      </c>
      <c r="Z140" s="3">
        <v>1836.7523100000001</v>
      </c>
      <c r="AA140" s="48" t="s">
        <v>319</v>
      </c>
      <c r="AB140" s="49" t="s">
        <v>346</v>
      </c>
      <c r="AC140" s="3">
        <v>0</v>
      </c>
      <c r="AD140" s="3">
        <v>0.61599999999999999</v>
      </c>
      <c r="AE140" s="3">
        <v>2E-3</v>
      </c>
      <c r="AF140" s="3">
        <v>0.64300000000000002</v>
      </c>
      <c r="AG140" s="3">
        <v>0</v>
      </c>
      <c r="AH140" s="3">
        <v>0.58699999999999997</v>
      </c>
      <c r="AI140" s="3">
        <v>1E-3</v>
      </c>
      <c r="AJ140" s="3">
        <v>0.54300000000000004</v>
      </c>
      <c r="AK140" s="3">
        <v>0</v>
      </c>
      <c r="AL140" s="3">
        <v>0.96</v>
      </c>
      <c r="AM140" s="3">
        <v>4.0000000000000001E-3</v>
      </c>
      <c r="AN140" s="3">
        <v>0.64</v>
      </c>
      <c r="AO140" s="3">
        <v>1E-3</v>
      </c>
      <c r="AP140" s="3">
        <v>0.64</v>
      </c>
      <c r="AQ140" s="3">
        <v>0</v>
      </c>
      <c r="AR140" s="3">
        <v>0.67</v>
      </c>
      <c r="AS140" s="3">
        <v>1E-3</v>
      </c>
      <c r="AT140" s="3">
        <v>0.625</v>
      </c>
      <c r="AU140" s="3">
        <v>1E-3</v>
      </c>
      <c r="AV140" s="3">
        <v>0.47899999999999998</v>
      </c>
      <c r="AW140" s="3">
        <v>4.0000000000000001E-3</v>
      </c>
      <c r="AX140" s="3">
        <v>0.439</v>
      </c>
      <c r="AY140" s="3">
        <v>4.0000000000000001E-3</v>
      </c>
      <c r="AZ140" s="3">
        <v>0.377</v>
      </c>
      <c r="BA140" s="3">
        <v>1.0999999999999999E-2</v>
      </c>
      <c r="BB140" s="3">
        <v>0.37</v>
      </c>
      <c r="BC140" s="3">
        <v>0.77800000000000002</v>
      </c>
      <c r="BD140" s="3">
        <v>0.875</v>
      </c>
      <c r="BE140" s="3">
        <v>0.82299999999999995</v>
      </c>
      <c r="BF140" s="3">
        <v>0.81233333299999999</v>
      </c>
      <c r="BG140" s="3">
        <v>0.73566666700000005</v>
      </c>
      <c r="BH140" s="3">
        <v>0.77600000000000002</v>
      </c>
      <c r="BI140" s="3">
        <v>0.66500000000000004</v>
      </c>
      <c r="BJ140" s="3">
        <v>0.693333333</v>
      </c>
      <c r="BK140" s="3">
        <v>0.747</v>
      </c>
      <c r="BL140" s="3">
        <v>0.327333333</v>
      </c>
      <c r="BM140" s="3">
        <v>0.01</v>
      </c>
      <c r="BN140" s="3">
        <v>0.50433333300000005</v>
      </c>
      <c r="BO140" s="3">
        <v>0.48399999999999999</v>
      </c>
      <c r="BP140" s="48" t="s">
        <v>319</v>
      </c>
      <c r="BQ140" s="49" t="s">
        <v>346</v>
      </c>
      <c r="BR140" s="3">
        <v>12.558999999999999</v>
      </c>
      <c r="BS140" s="3">
        <v>12.21</v>
      </c>
      <c r="BT140" s="3">
        <v>12.173999999999999</v>
      </c>
      <c r="BU140" s="3">
        <v>11.996</v>
      </c>
      <c r="BV140" s="3">
        <v>13.8</v>
      </c>
      <c r="BW140" s="3">
        <v>14.018000000000001</v>
      </c>
      <c r="BX140" s="3">
        <v>11.247999999999999</v>
      </c>
      <c r="BY140" s="3">
        <v>15.55</v>
      </c>
      <c r="BZ140" s="3">
        <v>15.337999999999999</v>
      </c>
      <c r="CA140" s="3">
        <v>13.885999999999999</v>
      </c>
      <c r="CB140" s="3">
        <v>11.928000000000001</v>
      </c>
      <c r="CC140" s="3">
        <v>12.62</v>
      </c>
      <c r="CD140" s="3">
        <v>11.289</v>
      </c>
    </row>
    <row r="141" spans="1:82" x14ac:dyDescent="0.3">
      <c r="A141" s="48" t="s">
        <v>319</v>
      </c>
      <c r="B141" s="49" t="s">
        <v>347</v>
      </c>
      <c r="C141" s="3">
        <v>71.483680329999999</v>
      </c>
      <c r="D141" s="3">
        <v>51.024003</v>
      </c>
      <c r="E141" s="3">
        <v>51.024003</v>
      </c>
      <c r="F141" s="3">
        <v>24.590958329999999</v>
      </c>
      <c r="G141" s="3">
        <v>24.590958329999999</v>
      </c>
      <c r="H141" s="3">
        <v>51.024003</v>
      </c>
      <c r="I141" s="48" t="s">
        <v>319</v>
      </c>
      <c r="J141" s="49" t="s">
        <v>347</v>
      </c>
      <c r="K141" s="3">
        <v>34614.5</v>
      </c>
      <c r="L141" s="48" t="s">
        <v>319</v>
      </c>
      <c r="M141" s="49" t="s">
        <v>347</v>
      </c>
      <c r="N141" s="3">
        <v>4175.7995110000002</v>
      </c>
      <c r="O141" s="3">
        <v>5334.1569600000003</v>
      </c>
      <c r="P141" s="3">
        <v>3091.0833889999999</v>
      </c>
      <c r="Q141" s="3">
        <v>2708.4133630000001</v>
      </c>
      <c r="R141" s="3">
        <v>4049.87257</v>
      </c>
      <c r="S141" s="3">
        <v>6364.3938520000002</v>
      </c>
      <c r="T141" s="3">
        <v>3528.892879</v>
      </c>
      <c r="U141" s="3">
        <v>4525.6608159999996</v>
      </c>
      <c r="V141" s="3">
        <v>3402.1976960000002</v>
      </c>
      <c r="W141" s="3">
        <v>2676.8431230000001</v>
      </c>
      <c r="X141" s="3">
        <v>4144.4643669999996</v>
      </c>
      <c r="Y141" s="3">
        <v>605.28866440000002</v>
      </c>
      <c r="Z141" s="3">
        <v>1896.712399</v>
      </c>
      <c r="AA141" s="48" t="s">
        <v>319</v>
      </c>
      <c r="AB141" s="49" t="s">
        <v>347</v>
      </c>
      <c r="AC141" s="3">
        <v>0</v>
      </c>
      <c r="AD141" s="3">
        <v>0.621</v>
      </c>
      <c r="AE141" s="3">
        <v>0</v>
      </c>
      <c r="AF141" s="3">
        <v>0.61199999999999999</v>
      </c>
      <c r="AG141" s="3">
        <v>0</v>
      </c>
      <c r="AH141" s="3">
        <v>0.54600000000000004</v>
      </c>
      <c r="AI141" s="3">
        <v>0</v>
      </c>
      <c r="AJ141" s="3">
        <v>0.48299999999999998</v>
      </c>
      <c r="AK141" s="3">
        <v>0</v>
      </c>
      <c r="AL141" s="3">
        <v>0.95</v>
      </c>
      <c r="AM141" s="3">
        <v>0</v>
      </c>
      <c r="AN141" s="3">
        <v>0.63</v>
      </c>
      <c r="AO141" s="3">
        <v>0</v>
      </c>
      <c r="AP141" s="3">
        <v>0.63</v>
      </c>
      <c r="AQ141" s="3">
        <v>0</v>
      </c>
      <c r="AR141" s="3">
        <v>0.626</v>
      </c>
      <c r="AS141" s="3">
        <v>0</v>
      </c>
      <c r="AT141" s="3">
        <v>0.60399999999999998</v>
      </c>
      <c r="AU141" s="3">
        <v>0</v>
      </c>
      <c r="AV141" s="3">
        <v>0.41099999999999998</v>
      </c>
      <c r="AW141" s="3">
        <v>0</v>
      </c>
      <c r="AX141" s="3">
        <v>0.45400000000000001</v>
      </c>
      <c r="AY141" s="3">
        <v>0</v>
      </c>
      <c r="AZ141" s="3">
        <v>0.35199999999999998</v>
      </c>
      <c r="BA141" s="3">
        <v>0</v>
      </c>
      <c r="BB141" s="3">
        <v>0.32300000000000001</v>
      </c>
      <c r="BC141" s="3">
        <v>0.75600000000000001</v>
      </c>
      <c r="BD141" s="3">
        <v>0.86150000000000004</v>
      </c>
      <c r="BE141" s="3">
        <v>0.81599999999999995</v>
      </c>
      <c r="BF141" s="3">
        <v>0.77800000000000002</v>
      </c>
      <c r="BG141" s="3">
        <v>0.71183333400000004</v>
      </c>
      <c r="BH141" s="3">
        <v>0.73699999999999999</v>
      </c>
      <c r="BI141" s="3">
        <v>0.68799999999999994</v>
      </c>
      <c r="BJ141" s="3">
        <v>0.66766666699999999</v>
      </c>
      <c r="BK141" s="3">
        <v>0.73399999999999999</v>
      </c>
      <c r="BL141" s="3">
        <v>0.30533333299999998</v>
      </c>
      <c r="BM141" s="3">
        <v>0.01</v>
      </c>
      <c r="BN141" s="3">
        <v>0.49566666700000001</v>
      </c>
      <c r="BO141" s="3">
        <v>0.47299999999999998</v>
      </c>
      <c r="BP141" s="48" t="s">
        <v>319</v>
      </c>
      <c r="BQ141" s="49" t="s">
        <v>347</v>
      </c>
      <c r="BR141" s="3">
        <v>12.066000000000001</v>
      </c>
      <c r="BS141" s="3">
        <v>11.548999999999999</v>
      </c>
      <c r="BT141" s="3">
        <v>11.329000000000001</v>
      </c>
      <c r="BU141" s="3">
        <v>11.004</v>
      </c>
      <c r="BV141" s="3">
        <v>12.557</v>
      </c>
      <c r="BW141" s="3">
        <v>14.147</v>
      </c>
      <c r="BX141" s="3">
        <v>10.513999999999999</v>
      </c>
      <c r="BY141" s="3">
        <v>14.959</v>
      </c>
      <c r="BZ141" s="3">
        <v>14.721</v>
      </c>
      <c r="CA141" s="3">
        <v>13.052</v>
      </c>
      <c r="CB141" s="3">
        <v>11.238</v>
      </c>
      <c r="CC141" s="3">
        <v>12.256</v>
      </c>
      <c r="CD141" s="3">
        <v>11.010999999999999</v>
      </c>
    </row>
    <row r="142" spans="1:82" x14ac:dyDescent="0.3">
      <c r="A142" s="48" t="s">
        <v>319</v>
      </c>
      <c r="B142" s="49" t="s">
        <v>348</v>
      </c>
      <c r="C142" s="3">
        <v>62.863431669999997</v>
      </c>
      <c r="D142" s="3">
        <v>47.205697829999998</v>
      </c>
      <c r="E142" s="3">
        <v>37.914786669999998</v>
      </c>
      <c r="F142" s="3">
        <v>24.331635500000001</v>
      </c>
      <c r="G142" s="3">
        <v>24.331635500000001</v>
      </c>
      <c r="H142" s="3">
        <v>37.914786669999998</v>
      </c>
      <c r="I142" s="48" t="s">
        <v>319</v>
      </c>
      <c r="J142" s="49" t="s">
        <v>348</v>
      </c>
      <c r="K142" s="3">
        <v>32535</v>
      </c>
      <c r="L142" s="48" t="s">
        <v>319</v>
      </c>
      <c r="M142" s="49" t="s">
        <v>348</v>
      </c>
      <c r="N142" s="3">
        <v>4401.4590289999996</v>
      </c>
      <c r="O142" s="3">
        <v>5403.6174899999996</v>
      </c>
      <c r="P142" s="3">
        <v>3018.1110570000001</v>
      </c>
      <c r="Q142" s="3">
        <v>2567.7745070000001</v>
      </c>
      <c r="R142" s="3">
        <v>4585.9256340000002</v>
      </c>
      <c r="S142" s="3">
        <v>6470.1335879999997</v>
      </c>
      <c r="T142" s="3">
        <v>4003.5698379999999</v>
      </c>
      <c r="U142" s="3">
        <v>4886.067059</v>
      </c>
      <c r="V142" s="3">
        <v>3543.4170439999998</v>
      </c>
      <c r="W142" s="3">
        <v>2452.1164349999999</v>
      </c>
      <c r="X142" s="3">
        <v>4282.0485200000003</v>
      </c>
      <c r="Y142" s="3">
        <v>554.17891610000004</v>
      </c>
      <c r="Z142" s="3">
        <v>1997.2756879999999</v>
      </c>
      <c r="AA142" s="48" t="s">
        <v>319</v>
      </c>
      <c r="AB142" s="49" t="s">
        <v>348</v>
      </c>
      <c r="AC142" s="3">
        <v>0</v>
      </c>
      <c r="AD142" s="3">
        <v>0.65800000000000003</v>
      </c>
      <c r="AE142" s="3">
        <v>0</v>
      </c>
      <c r="AF142" s="3">
        <v>0.54100000000000004</v>
      </c>
      <c r="AG142" s="3">
        <v>0</v>
      </c>
      <c r="AH142" s="3">
        <v>0.54300000000000004</v>
      </c>
      <c r="AI142" s="3">
        <v>0</v>
      </c>
      <c r="AJ142" s="3">
        <v>0.46899999999999997</v>
      </c>
      <c r="AK142" s="3">
        <v>0</v>
      </c>
      <c r="AL142" s="3">
        <v>0.93600000000000005</v>
      </c>
      <c r="AM142" s="3">
        <v>0</v>
      </c>
      <c r="AN142" s="3">
        <v>0.60599999999999998</v>
      </c>
      <c r="AO142" s="3">
        <v>0</v>
      </c>
      <c r="AP142" s="3">
        <v>0.60599999999999998</v>
      </c>
      <c r="AQ142" s="3">
        <v>0</v>
      </c>
      <c r="AR142" s="3">
        <v>0.59699999999999998</v>
      </c>
      <c r="AS142" s="3">
        <v>0</v>
      </c>
      <c r="AT142" s="3">
        <v>0.52600000000000002</v>
      </c>
      <c r="AU142" s="3">
        <v>0</v>
      </c>
      <c r="AV142" s="3">
        <v>0.38500000000000001</v>
      </c>
      <c r="AW142" s="3">
        <v>0</v>
      </c>
      <c r="AX142" s="3">
        <v>0.42299999999999999</v>
      </c>
      <c r="AY142" s="3">
        <v>0</v>
      </c>
      <c r="AZ142" s="3">
        <v>0.34</v>
      </c>
      <c r="BA142" s="3">
        <v>0</v>
      </c>
      <c r="BB142" s="3">
        <v>0.26900000000000002</v>
      </c>
      <c r="BC142" s="3">
        <v>0.71250000000000002</v>
      </c>
      <c r="BD142" s="3">
        <v>0.84250000000000003</v>
      </c>
      <c r="BE142" s="3">
        <v>0.80500000000000005</v>
      </c>
      <c r="BF142" s="3">
        <v>0.71799999999999997</v>
      </c>
      <c r="BG142" s="3">
        <v>0.67474999999999996</v>
      </c>
      <c r="BH142" s="3">
        <v>0.67700000000000005</v>
      </c>
      <c r="BI142" s="3">
        <v>0.68100000000000005</v>
      </c>
      <c r="BJ142" s="3">
        <v>0.63700000000000001</v>
      </c>
      <c r="BK142" s="3">
        <v>0.71499999999999997</v>
      </c>
      <c r="BL142" s="3">
        <v>0.28999999999999998</v>
      </c>
      <c r="BM142" s="3">
        <v>0.01</v>
      </c>
      <c r="BN142" s="3">
        <v>0.48633333299999998</v>
      </c>
      <c r="BO142" s="3">
        <v>0.45300000000000001</v>
      </c>
      <c r="BP142" s="48" t="s">
        <v>319</v>
      </c>
      <c r="BQ142" s="49" t="s">
        <v>348</v>
      </c>
      <c r="BR142" s="3">
        <v>11.698</v>
      </c>
      <c r="BS142" s="3">
        <v>10.898999999999999</v>
      </c>
      <c r="BT142" s="3">
        <v>10.824</v>
      </c>
      <c r="BU142" s="3">
        <v>10.487</v>
      </c>
      <c r="BV142" s="3">
        <v>11.57</v>
      </c>
      <c r="BW142" s="3">
        <v>14.250999999999999</v>
      </c>
      <c r="BX142" s="3">
        <v>10.045999999999999</v>
      </c>
      <c r="BY142" s="3">
        <v>14.23</v>
      </c>
      <c r="BZ142" s="3">
        <v>13.805</v>
      </c>
      <c r="CA142" s="3">
        <v>12.528</v>
      </c>
      <c r="CB142" s="3">
        <v>10.976000000000001</v>
      </c>
      <c r="CC142" s="3">
        <v>11.656000000000001</v>
      </c>
      <c r="CD142" s="3">
        <v>10.875999999999999</v>
      </c>
    </row>
    <row r="143" spans="1:82" x14ac:dyDescent="0.3">
      <c r="A143" s="48" t="s">
        <v>319</v>
      </c>
      <c r="B143" s="49" t="s">
        <v>349</v>
      </c>
      <c r="C143" s="3">
        <v>36.072700330000004</v>
      </c>
      <c r="D143" s="3">
        <v>47.715401329999999</v>
      </c>
      <c r="E143" s="3">
        <v>41.13396667</v>
      </c>
      <c r="F143" s="3">
        <v>24.117023499999998</v>
      </c>
      <c r="G143" s="3">
        <v>24.117023499999998</v>
      </c>
      <c r="H143" s="3">
        <v>47.715401329999999</v>
      </c>
      <c r="I143" s="48" t="s">
        <v>319</v>
      </c>
      <c r="J143" s="49" t="s">
        <v>349</v>
      </c>
      <c r="K143" s="3">
        <v>30177.5</v>
      </c>
      <c r="L143" s="48" t="s">
        <v>319</v>
      </c>
      <c r="M143" s="49" t="s">
        <v>349</v>
      </c>
      <c r="N143" s="3">
        <v>3724.9503629999999</v>
      </c>
      <c r="O143" s="3">
        <v>4710.7508909999997</v>
      </c>
      <c r="P143" s="3">
        <v>2547.939034</v>
      </c>
      <c r="Q143" s="3">
        <v>2158.8515040000002</v>
      </c>
      <c r="R143" s="3">
        <v>4298.6148400000002</v>
      </c>
      <c r="S143" s="3">
        <v>5818.2809509999997</v>
      </c>
      <c r="T143" s="3">
        <v>4003.0787789999999</v>
      </c>
      <c r="U143" s="3">
        <v>4242.7020990000001</v>
      </c>
      <c r="V143" s="3">
        <v>3050.837352</v>
      </c>
      <c r="W143" s="3">
        <v>1945.5211589999999</v>
      </c>
      <c r="X143" s="3">
        <v>3782.4563560000001</v>
      </c>
      <c r="Y143" s="3">
        <v>459.89047620000002</v>
      </c>
      <c r="Z143" s="3">
        <v>1656.258677</v>
      </c>
      <c r="AA143" s="48" t="s">
        <v>319</v>
      </c>
      <c r="AB143" s="49" t="s">
        <v>349</v>
      </c>
      <c r="AC143" s="3">
        <v>0</v>
      </c>
      <c r="AD143" s="3">
        <v>0.55900000000000005</v>
      </c>
      <c r="AE143" s="3">
        <v>0</v>
      </c>
      <c r="AF143" s="3">
        <v>0.52</v>
      </c>
      <c r="AG143" s="3">
        <v>0</v>
      </c>
      <c r="AH143" s="3">
        <v>0.55100000000000005</v>
      </c>
      <c r="AI143" s="3">
        <v>0</v>
      </c>
      <c r="AJ143" s="3">
        <v>0.46700000000000003</v>
      </c>
      <c r="AK143" s="3">
        <v>0</v>
      </c>
      <c r="AL143" s="3">
        <v>0.91500000000000004</v>
      </c>
      <c r="AM143" s="3">
        <v>0</v>
      </c>
      <c r="AN143" s="3">
        <v>0.57999999999999996</v>
      </c>
      <c r="AO143" s="3">
        <v>0</v>
      </c>
      <c r="AP143" s="3">
        <v>0.57999999999999996</v>
      </c>
      <c r="AQ143" s="3">
        <v>0</v>
      </c>
      <c r="AR143" s="3">
        <v>0.54200000000000004</v>
      </c>
      <c r="AS143" s="3">
        <v>0</v>
      </c>
      <c r="AT143" s="3">
        <v>0.45</v>
      </c>
      <c r="AU143" s="3">
        <v>0</v>
      </c>
      <c r="AV143" s="3">
        <v>0.40300000000000002</v>
      </c>
      <c r="AW143" s="3">
        <v>0</v>
      </c>
      <c r="AX143" s="3">
        <v>0.40300000000000002</v>
      </c>
      <c r="AY143" s="3">
        <v>0</v>
      </c>
      <c r="AZ143" s="3">
        <v>0.32400000000000001</v>
      </c>
      <c r="BA143" s="3">
        <v>0</v>
      </c>
      <c r="BB143" s="3">
        <v>0.26100000000000001</v>
      </c>
      <c r="BC143" s="3">
        <v>0.66549999999999998</v>
      </c>
      <c r="BD143" s="3">
        <v>0.80400000000000005</v>
      </c>
      <c r="BE143" s="3">
        <v>0.755</v>
      </c>
      <c r="BF143" s="3">
        <v>0.64166666699999997</v>
      </c>
      <c r="BG143" s="3">
        <v>0.62975000000000003</v>
      </c>
      <c r="BH143" s="3">
        <v>0.61199999999999999</v>
      </c>
      <c r="BI143" s="3">
        <v>0.65849999999999997</v>
      </c>
      <c r="BJ143" s="3">
        <v>0.59399999999999997</v>
      </c>
      <c r="BK143" s="3">
        <v>0.69350000000000001</v>
      </c>
      <c r="BL143" s="3">
        <v>0.27900000000000003</v>
      </c>
      <c r="BM143" s="3">
        <v>0.01</v>
      </c>
      <c r="BN143" s="3">
        <v>0.47599999999999998</v>
      </c>
      <c r="BO143" s="3">
        <v>0.43</v>
      </c>
      <c r="BP143" s="48" t="s">
        <v>319</v>
      </c>
      <c r="BQ143" s="49" t="s">
        <v>349</v>
      </c>
      <c r="BR143" s="3">
        <v>10.933</v>
      </c>
      <c r="BS143" s="3">
        <v>10.458</v>
      </c>
      <c r="BT143" s="3">
        <v>10.523999999999999</v>
      </c>
      <c r="BU143" s="3">
        <v>10.132999999999999</v>
      </c>
      <c r="BV143" s="3">
        <v>11.090999999999999</v>
      </c>
      <c r="BW143" s="3">
        <v>14.364000000000001</v>
      </c>
      <c r="BX143" s="3">
        <v>9.4659999999999993</v>
      </c>
      <c r="BY143" s="3">
        <v>13.627000000000001</v>
      </c>
      <c r="BZ143" s="3">
        <v>12.488</v>
      </c>
      <c r="CA143" s="3">
        <v>11</v>
      </c>
      <c r="CB143" s="3">
        <v>10.554</v>
      </c>
      <c r="CC143" s="3">
        <v>11.358000000000001</v>
      </c>
      <c r="CD143" s="3">
        <v>10.859</v>
      </c>
    </row>
    <row r="144" spans="1:82" x14ac:dyDescent="0.3">
      <c r="A144" s="48" t="s">
        <v>319</v>
      </c>
      <c r="B144" s="49" t="s">
        <v>350</v>
      </c>
      <c r="C144" s="3">
        <v>36.734420669999999</v>
      </c>
      <c r="D144" s="3">
        <v>42.761440999999998</v>
      </c>
      <c r="E144" s="3">
        <v>42.4663495</v>
      </c>
      <c r="F144" s="3">
        <v>23.830874170000001</v>
      </c>
      <c r="G144" s="3">
        <v>2.6021705000000002</v>
      </c>
      <c r="H144" s="3">
        <v>42.761440999999998</v>
      </c>
      <c r="I144" s="48" t="s">
        <v>319</v>
      </c>
      <c r="J144" s="49" t="s">
        <v>350</v>
      </c>
      <c r="K144" s="3">
        <v>27511</v>
      </c>
      <c r="L144" s="48" t="s">
        <v>319</v>
      </c>
      <c r="M144" s="49" t="s">
        <v>350</v>
      </c>
      <c r="N144" s="3">
        <v>3106.1413889999999</v>
      </c>
      <c r="O144" s="3">
        <v>3969.9560339999998</v>
      </c>
      <c r="P144" s="3">
        <v>1976.073752</v>
      </c>
      <c r="Q144" s="3">
        <v>1728.8947479999999</v>
      </c>
      <c r="R144" s="3">
        <v>3809.5631680000001</v>
      </c>
      <c r="S144" s="3">
        <v>4896.7055410000003</v>
      </c>
      <c r="T144" s="3">
        <v>3386.6890720000001</v>
      </c>
      <c r="U144" s="3">
        <v>3531.6449729999999</v>
      </c>
      <c r="V144" s="3">
        <v>2480.756085</v>
      </c>
      <c r="W144" s="3">
        <v>1514.3517609999999</v>
      </c>
      <c r="X144" s="3">
        <v>3194.3398999999999</v>
      </c>
      <c r="Y144" s="3">
        <v>357.10004099999998</v>
      </c>
      <c r="Z144" s="3">
        <v>1416.3321539999999</v>
      </c>
      <c r="AA144" s="48" t="s">
        <v>319</v>
      </c>
      <c r="AB144" s="49" t="s">
        <v>350</v>
      </c>
      <c r="AC144" s="3">
        <v>0</v>
      </c>
      <c r="AD144" s="3">
        <v>0.53300000000000003</v>
      </c>
      <c r="AE144" s="3">
        <v>0</v>
      </c>
      <c r="AF144" s="3">
        <v>0.51300000000000001</v>
      </c>
      <c r="AG144" s="3">
        <v>0</v>
      </c>
      <c r="AH144" s="3">
        <v>0.54600000000000004</v>
      </c>
      <c r="AI144" s="3">
        <v>0</v>
      </c>
      <c r="AJ144" s="3">
        <v>0.44800000000000001</v>
      </c>
      <c r="AK144" s="3">
        <v>0</v>
      </c>
      <c r="AL144" s="3">
        <v>0.89700000000000002</v>
      </c>
      <c r="AM144" s="3">
        <v>0</v>
      </c>
      <c r="AN144" s="3">
        <v>0.53300000000000003</v>
      </c>
      <c r="AO144" s="3">
        <v>0</v>
      </c>
      <c r="AP144" s="3">
        <v>0.53300000000000003</v>
      </c>
      <c r="AQ144" s="3">
        <v>0</v>
      </c>
      <c r="AR144" s="3">
        <v>0.52300000000000002</v>
      </c>
      <c r="AS144" s="3">
        <v>0</v>
      </c>
      <c r="AT144" s="3">
        <v>0.44700000000000001</v>
      </c>
      <c r="AU144" s="3">
        <v>0</v>
      </c>
      <c r="AV144" s="3">
        <v>0.433</v>
      </c>
      <c r="AW144" s="3">
        <v>0</v>
      </c>
      <c r="AX144" s="3">
        <v>0.41599999999999998</v>
      </c>
      <c r="AY144" s="3">
        <v>0</v>
      </c>
      <c r="AZ144" s="3">
        <v>0.311</v>
      </c>
      <c r="BA144" s="3">
        <v>0</v>
      </c>
      <c r="BB144" s="3">
        <v>0.254</v>
      </c>
      <c r="BC144" s="3">
        <v>0.62350000000000005</v>
      </c>
      <c r="BD144" s="3">
        <v>0.76249999999999996</v>
      </c>
      <c r="BE144" s="3">
        <v>0.69399999999999995</v>
      </c>
      <c r="BF144" s="3">
        <v>0.55533333299999998</v>
      </c>
      <c r="BG144" s="3">
        <v>0.58408333400000001</v>
      </c>
      <c r="BH144" s="3">
        <v>0.52100000000000002</v>
      </c>
      <c r="BI144" s="3">
        <v>0.65400000000000003</v>
      </c>
      <c r="BJ144" s="3">
        <v>0.54466666699999999</v>
      </c>
      <c r="BK144" s="3">
        <v>0.66600000000000004</v>
      </c>
      <c r="BL144" s="3">
        <v>0.24766666700000001</v>
      </c>
      <c r="BM144" s="3">
        <v>0.01</v>
      </c>
      <c r="BN144" s="3">
        <v>0.45600000000000002</v>
      </c>
      <c r="BO144" s="3">
        <v>0.39200000000000002</v>
      </c>
      <c r="BP144" s="48" t="s">
        <v>319</v>
      </c>
      <c r="BQ144" s="49" t="s">
        <v>350</v>
      </c>
      <c r="BR144" s="3">
        <v>10.315</v>
      </c>
      <c r="BS144" s="3">
        <v>10.199</v>
      </c>
      <c r="BT144" s="3">
        <v>10.257999999999999</v>
      </c>
      <c r="BU144" s="3">
        <v>9.7710000000000008</v>
      </c>
      <c r="BV144" s="3">
        <v>10.638</v>
      </c>
      <c r="BW144" s="3">
        <v>14.37</v>
      </c>
      <c r="BX144" s="3">
        <v>8.891</v>
      </c>
      <c r="BY144" s="3">
        <v>13.113</v>
      </c>
      <c r="BZ144" s="3">
        <v>11.776</v>
      </c>
      <c r="CA144" s="3">
        <v>10.403</v>
      </c>
      <c r="CB144" s="3">
        <v>10.260999999999999</v>
      </c>
      <c r="CC144" s="3">
        <v>11.228</v>
      </c>
      <c r="CD144" s="3">
        <v>10.818</v>
      </c>
    </row>
    <row r="145" spans="1:82" x14ac:dyDescent="0.3">
      <c r="A145" s="48" t="s">
        <v>319</v>
      </c>
      <c r="B145" s="49" t="s">
        <v>351</v>
      </c>
      <c r="C145" s="3">
        <v>53.196949500000002</v>
      </c>
      <c r="D145" s="3">
        <v>40.59743667</v>
      </c>
      <c r="E145" s="3">
        <v>35.679245000000002</v>
      </c>
      <c r="F145" s="3">
        <v>24.474710170000002</v>
      </c>
      <c r="G145" s="3">
        <v>24.474710170000002</v>
      </c>
      <c r="H145" s="3">
        <v>35.983278669999997</v>
      </c>
      <c r="I145" s="48" t="s">
        <v>319</v>
      </c>
      <c r="J145" s="49" t="s">
        <v>351</v>
      </c>
      <c r="K145" s="3">
        <v>24849.5</v>
      </c>
      <c r="L145" s="48" t="s">
        <v>319</v>
      </c>
      <c r="M145" s="49" t="s">
        <v>351</v>
      </c>
      <c r="N145" s="3">
        <v>2493.094165</v>
      </c>
      <c r="O145" s="3">
        <v>3138.0127029999999</v>
      </c>
      <c r="P145" s="3">
        <v>1421.89031</v>
      </c>
      <c r="Q145" s="3">
        <v>1246.9051549999999</v>
      </c>
      <c r="R145" s="3">
        <v>3256.0620429999999</v>
      </c>
      <c r="S145" s="3">
        <v>3968.8553099999999</v>
      </c>
      <c r="T145" s="3">
        <v>2803.284255</v>
      </c>
      <c r="U145" s="3">
        <v>2875.533148</v>
      </c>
      <c r="V145" s="3">
        <v>1971.9387320000001</v>
      </c>
      <c r="W145" s="3">
        <v>1022.428031</v>
      </c>
      <c r="X145" s="3">
        <v>2591.0545689999999</v>
      </c>
      <c r="Y145" s="3">
        <v>234.20947340000001</v>
      </c>
      <c r="Z145" s="3">
        <v>966.00609489999999</v>
      </c>
      <c r="AA145" s="48" t="s">
        <v>319</v>
      </c>
      <c r="AB145" s="49" t="s">
        <v>351</v>
      </c>
      <c r="AC145" s="3">
        <v>0</v>
      </c>
      <c r="AD145" s="3">
        <v>0.53</v>
      </c>
      <c r="AE145" s="3">
        <v>0</v>
      </c>
      <c r="AF145" s="3">
        <v>0.5</v>
      </c>
      <c r="AG145" s="3">
        <v>0</v>
      </c>
      <c r="AH145" s="3">
        <v>0.52</v>
      </c>
      <c r="AI145" s="3">
        <v>0</v>
      </c>
      <c r="AJ145" s="3">
        <v>0.41299999999999998</v>
      </c>
      <c r="AK145" s="3">
        <v>0</v>
      </c>
      <c r="AL145" s="3">
        <v>0.88</v>
      </c>
      <c r="AM145" s="3">
        <v>0</v>
      </c>
      <c r="AN145" s="3">
        <v>0.502</v>
      </c>
      <c r="AO145" s="3">
        <v>0</v>
      </c>
      <c r="AP145" s="3">
        <v>0.502</v>
      </c>
      <c r="AQ145" s="3">
        <v>0</v>
      </c>
      <c r="AR145" s="3">
        <v>0.51900000000000002</v>
      </c>
      <c r="AS145" s="3">
        <v>0</v>
      </c>
      <c r="AT145" s="3">
        <v>0.439</v>
      </c>
      <c r="AU145" s="3">
        <v>0</v>
      </c>
      <c r="AV145" s="3">
        <v>0.42699999999999999</v>
      </c>
      <c r="AW145" s="3">
        <v>0</v>
      </c>
      <c r="AX145" s="3">
        <v>0.39200000000000002</v>
      </c>
      <c r="AY145" s="3">
        <v>0</v>
      </c>
      <c r="AZ145" s="3">
        <v>0.29299999999999998</v>
      </c>
      <c r="BA145" s="3">
        <v>0</v>
      </c>
      <c r="BB145" s="3">
        <v>0.24199999999999999</v>
      </c>
      <c r="BC145" s="3">
        <v>0.58150000000000002</v>
      </c>
      <c r="BD145" s="3">
        <v>0.73199999999999998</v>
      </c>
      <c r="BE145" s="3">
        <v>0.65500000000000003</v>
      </c>
      <c r="BF145" s="3">
        <v>0.47333333300000002</v>
      </c>
      <c r="BG145" s="3">
        <v>0.54341666700000002</v>
      </c>
      <c r="BH145" s="3">
        <v>0.41799999999999998</v>
      </c>
      <c r="BI145" s="3">
        <v>0.65300000000000002</v>
      </c>
      <c r="BJ145" s="3">
        <v>0.50533333300000005</v>
      </c>
      <c r="BK145" s="3">
        <v>0.60550000000000004</v>
      </c>
      <c r="BL145" s="3">
        <v>0.20699999999999999</v>
      </c>
      <c r="BM145" s="3">
        <v>0.01</v>
      </c>
      <c r="BN145" s="3">
        <v>0.43966666700000001</v>
      </c>
      <c r="BO145" s="3">
        <v>0.34499999999999997</v>
      </c>
      <c r="BP145" s="48" t="s">
        <v>319</v>
      </c>
      <c r="BQ145" s="49" t="s">
        <v>351</v>
      </c>
      <c r="BR145" s="3">
        <v>9.9870000000000001</v>
      </c>
      <c r="BS145" s="3">
        <v>9.9749999999999996</v>
      </c>
      <c r="BT145" s="3">
        <v>9.9649999999999999</v>
      </c>
      <c r="BU145" s="3">
        <v>9.4280000000000008</v>
      </c>
      <c r="BV145" s="3">
        <v>9.9410000000000007</v>
      </c>
      <c r="BW145" s="3">
        <v>14.292999999999999</v>
      </c>
      <c r="BX145" s="3">
        <v>8.5180000000000007</v>
      </c>
      <c r="BY145" s="3">
        <v>12.702</v>
      </c>
      <c r="BZ145" s="3">
        <v>11.397</v>
      </c>
      <c r="CA145" s="3">
        <v>10.137</v>
      </c>
      <c r="CB145" s="3">
        <v>9.9480000000000004</v>
      </c>
      <c r="CC145" s="3">
        <v>11.144</v>
      </c>
      <c r="CD145" s="3">
        <v>10.696</v>
      </c>
    </row>
    <row r="146" spans="1:82" x14ac:dyDescent="0.3">
      <c r="A146" s="48" t="s">
        <v>319</v>
      </c>
      <c r="B146" s="49" t="s">
        <v>352</v>
      </c>
      <c r="C146" s="3">
        <v>46.552919670000001</v>
      </c>
      <c r="D146" s="3">
        <v>36.457213500000002</v>
      </c>
      <c r="E146" s="3">
        <v>36.19789067</v>
      </c>
      <c r="F146" s="3">
        <v>24.099139170000001</v>
      </c>
      <c r="G146" s="3">
        <v>24.099139170000001</v>
      </c>
      <c r="H146" s="3">
        <v>36.457213500000002</v>
      </c>
      <c r="I146" s="48" t="s">
        <v>319</v>
      </c>
      <c r="J146" s="49" t="s">
        <v>352</v>
      </c>
      <c r="K146" s="3">
        <v>23118.5</v>
      </c>
      <c r="L146" s="48" t="s">
        <v>319</v>
      </c>
      <c r="M146" s="49" t="s">
        <v>352</v>
      </c>
      <c r="N146" s="3">
        <v>1724.54537</v>
      </c>
      <c r="O146" s="3">
        <v>2146.9789879999998</v>
      </c>
      <c r="P146" s="3">
        <v>956.93423640000003</v>
      </c>
      <c r="Q146" s="3">
        <v>881.03194389999999</v>
      </c>
      <c r="R146" s="3">
        <v>2554.1652279999998</v>
      </c>
      <c r="S146" s="3">
        <v>2845.9222500000001</v>
      </c>
      <c r="T146" s="3">
        <v>1913.3685599999999</v>
      </c>
      <c r="U146" s="3">
        <v>1960.053214</v>
      </c>
      <c r="V146" s="3">
        <v>1361.6012410000001</v>
      </c>
      <c r="W146" s="3">
        <v>623.25239799999997</v>
      </c>
      <c r="X146" s="3">
        <v>1845.9773909999999</v>
      </c>
      <c r="Y146" s="3">
        <v>155.24418879999999</v>
      </c>
      <c r="Z146" s="3">
        <v>469.48442890000001</v>
      </c>
      <c r="AA146" s="48" t="s">
        <v>319</v>
      </c>
      <c r="AB146" s="49" t="s">
        <v>352</v>
      </c>
      <c r="AC146" s="3">
        <v>0</v>
      </c>
      <c r="AD146" s="3">
        <v>0.51</v>
      </c>
      <c r="AE146" s="3">
        <v>0</v>
      </c>
      <c r="AF146" s="3">
        <v>0.47299999999999998</v>
      </c>
      <c r="AG146" s="3">
        <v>0</v>
      </c>
      <c r="AH146" s="3">
        <v>0.48699999999999999</v>
      </c>
      <c r="AI146" s="3">
        <v>0</v>
      </c>
      <c r="AJ146" s="3">
        <v>0.42</v>
      </c>
      <c r="AK146" s="3">
        <v>0</v>
      </c>
      <c r="AL146" s="3">
        <v>0.86399999999999999</v>
      </c>
      <c r="AM146" s="3">
        <v>0</v>
      </c>
      <c r="AN146" s="3">
        <v>0.47699999999999998</v>
      </c>
      <c r="AO146" s="3">
        <v>0</v>
      </c>
      <c r="AP146" s="3">
        <v>0.47699999999999998</v>
      </c>
      <c r="AQ146" s="3">
        <v>0</v>
      </c>
      <c r="AR146" s="3">
        <v>0.51</v>
      </c>
      <c r="AS146" s="3">
        <v>0</v>
      </c>
      <c r="AT146" s="3">
        <v>0.42299999999999999</v>
      </c>
      <c r="AU146" s="3">
        <v>0</v>
      </c>
      <c r="AV146" s="3">
        <v>0.41299999999999998</v>
      </c>
      <c r="AW146" s="3">
        <v>0</v>
      </c>
      <c r="AX146" s="3">
        <v>0.36699999999999999</v>
      </c>
      <c r="AY146" s="3">
        <v>0</v>
      </c>
      <c r="AZ146" s="3">
        <v>0.28499999999999998</v>
      </c>
      <c r="BA146" s="3">
        <v>0</v>
      </c>
      <c r="BB146" s="3">
        <v>0.245</v>
      </c>
      <c r="BC146" s="3">
        <v>0.54449999999999998</v>
      </c>
      <c r="BD146" s="3">
        <v>0.69699999999999995</v>
      </c>
      <c r="BE146" s="3">
        <v>0.624</v>
      </c>
      <c r="BF146" s="3">
        <v>0.40933333300000002</v>
      </c>
      <c r="BG146" s="3">
        <v>0.50708333400000005</v>
      </c>
      <c r="BH146" s="3">
        <v>0.33600000000000002</v>
      </c>
      <c r="BI146" s="3">
        <v>0.65500000000000003</v>
      </c>
      <c r="BJ146" s="3">
        <v>0.46966666699999998</v>
      </c>
      <c r="BK146" s="3">
        <v>0.53849999999999998</v>
      </c>
      <c r="BL146" s="3">
        <v>0.17899999999999999</v>
      </c>
      <c r="BM146" s="3">
        <v>0.01</v>
      </c>
      <c r="BN146" s="3">
        <v>0.41433333300000003</v>
      </c>
      <c r="BO146" s="3">
        <v>0.29599999999999999</v>
      </c>
      <c r="BP146" s="48" t="s">
        <v>319</v>
      </c>
      <c r="BQ146" s="49" t="s">
        <v>352</v>
      </c>
      <c r="BR146" s="3">
        <v>9.7029999999999994</v>
      </c>
      <c r="BS146" s="3">
        <v>9.7029999999999994</v>
      </c>
      <c r="BT146" s="3">
        <v>9.6150000000000002</v>
      </c>
      <c r="BU146" s="3">
        <v>9.0640000000000001</v>
      </c>
      <c r="BV146" s="3">
        <v>9.5470000000000006</v>
      </c>
      <c r="BW146" s="3">
        <v>14.196999999999999</v>
      </c>
      <c r="BX146" s="3">
        <v>8.2739999999999991</v>
      </c>
      <c r="BY146" s="3">
        <v>12.38</v>
      </c>
      <c r="BZ146" s="3">
        <v>11.079000000000001</v>
      </c>
      <c r="CA146" s="3">
        <v>9.8650000000000002</v>
      </c>
      <c r="CB146" s="3">
        <v>9.7140000000000004</v>
      </c>
      <c r="CC146" s="3">
        <v>11.048</v>
      </c>
      <c r="CD146" s="3">
        <v>10.500999999999999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C46A-93CC-41EE-BD47-C2DEF58D9415}">
  <dimension ref="A1:T17"/>
  <sheetViews>
    <sheetView workbookViewId="0">
      <selection activeCell="H8" sqref="H4:H8"/>
    </sheetView>
  </sheetViews>
  <sheetFormatPr defaultRowHeight="14.4" x14ac:dyDescent="0.3"/>
  <cols>
    <col min="13" max="13" width="10.6640625" bestFit="1" customWidth="1"/>
  </cols>
  <sheetData>
    <row r="1" spans="1:20" x14ac:dyDescent="0.3">
      <c r="A1" s="1" t="s">
        <v>794</v>
      </c>
    </row>
    <row r="2" spans="1:20" x14ac:dyDescent="0.3">
      <c r="A2" s="1" t="s">
        <v>35</v>
      </c>
    </row>
    <row r="3" spans="1:20" x14ac:dyDescent="0.3">
      <c r="A3" s="12"/>
      <c r="B3" s="28">
        <v>1</v>
      </c>
      <c r="C3" s="28">
        <v>2</v>
      </c>
      <c r="D3" s="28">
        <v>3</v>
      </c>
      <c r="E3" s="28">
        <v>4</v>
      </c>
      <c r="F3" s="28">
        <v>5</v>
      </c>
      <c r="G3" s="28">
        <v>6</v>
      </c>
      <c r="N3" t="s">
        <v>431</v>
      </c>
    </row>
    <row r="4" spans="1:20" x14ac:dyDescent="0.3">
      <c r="A4" s="10" t="s">
        <v>186</v>
      </c>
      <c r="B4" s="100">
        <v>39</v>
      </c>
      <c r="C4" s="76">
        <v>46</v>
      </c>
      <c r="D4" s="100">
        <v>46</v>
      </c>
      <c r="E4" s="76">
        <v>46</v>
      </c>
      <c r="F4" s="100">
        <v>51</v>
      </c>
      <c r="G4" s="76">
        <v>56</v>
      </c>
      <c r="H4" s="4"/>
      <c r="N4" s="37">
        <v>2025</v>
      </c>
      <c r="O4" s="37">
        <v>2030</v>
      </c>
      <c r="P4" s="37">
        <v>2035</v>
      </c>
      <c r="Q4" s="37">
        <v>2040</v>
      </c>
      <c r="R4" s="37">
        <v>2045</v>
      </c>
      <c r="S4" s="37">
        <v>2050</v>
      </c>
    </row>
    <row r="5" spans="1:20" x14ac:dyDescent="0.3">
      <c r="A5" t="s">
        <v>455</v>
      </c>
      <c r="B5">
        <v>127</v>
      </c>
      <c r="C5">
        <v>127</v>
      </c>
      <c r="D5">
        <v>120</v>
      </c>
      <c r="E5">
        <v>120</v>
      </c>
      <c r="F5">
        <v>100</v>
      </c>
      <c r="G5">
        <v>100</v>
      </c>
      <c r="H5" s="4"/>
      <c r="M5" t="s">
        <v>430</v>
      </c>
      <c r="N5" s="104">
        <v>58.269100000000002</v>
      </c>
      <c r="O5" s="104">
        <v>40.297330000000002</v>
      </c>
      <c r="P5" s="104">
        <v>41.890140000000002</v>
      </c>
      <c r="Q5" s="104">
        <v>43.362920000000003</v>
      </c>
      <c r="R5" s="104">
        <v>45.076169999999998</v>
      </c>
      <c r="S5" s="104">
        <v>47.355179999999997</v>
      </c>
      <c r="T5" t="s">
        <v>683</v>
      </c>
    </row>
    <row r="6" spans="1:20" x14ac:dyDescent="0.3">
      <c r="A6" s="10" t="s">
        <v>188</v>
      </c>
      <c r="B6" s="101">
        <v>21.96</v>
      </c>
      <c r="C6" s="101">
        <v>23.04</v>
      </c>
      <c r="D6" s="101">
        <v>24.12</v>
      </c>
      <c r="E6" s="101">
        <v>24.84</v>
      </c>
      <c r="F6" s="101">
        <v>25.56</v>
      </c>
      <c r="G6" s="101">
        <v>26.64</v>
      </c>
      <c r="H6" s="4"/>
      <c r="N6" s="104">
        <v>33.589559999999999</v>
      </c>
      <c r="O6" s="104">
        <v>19.305430000000001</v>
      </c>
      <c r="P6" s="104">
        <v>17.48319</v>
      </c>
      <c r="Q6" s="104">
        <v>16.10436</v>
      </c>
      <c r="R6" s="104">
        <v>15.33182</v>
      </c>
      <c r="S6" s="104">
        <v>14.83798</v>
      </c>
      <c r="T6" t="s">
        <v>684</v>
      </c>
    </row>
    <row r="7" spans="1:20" x14ac:dyDescent="0.3">
      <c r="A7" s="10" t="s">
        <v>190</v>
      </c>
      <c r="B7" s="102">
        <v>28.86080758821489</v>
      </c>
      <c r="C7" s="103">
        <v>17.232572455216349</v>
      </c>
      <c r="D7" s="103">
        <v>15.609997622052573</v>
      </c>
      <c r="E7" s="103">
        <v>14.378920331151347</v>
      </c>
      <c r="F7" s="103">
        <v>13.689170100926493</v>
      </c>
      <c r="G7" s="103">
        <v>13.248299339468085</v>
      </c>
      <c r="H7" s="4"/>
      <c r="M7" t="s">
        <v>433</v>
      </c>
      <c r="N7" s="105">
        <v>1.1638468500000001</v>
      </c>
      <c r="O7" s="105">
        <v>1.12028718</v>
      </c>
      <c r="P7" s="105">
        <v>1.1199995300000001</v>
      </c>
      <c r="Q7" s="105">
        <v>1.11999786</v>
      </c>
      <c r="R7" s="105">
        <v>1.1199963100000001</v>
      </c>
      <c r="S7" s="105">
        <v>1.1199912999999999</v>
      </c>
    </row>
    <row r="8" spans="1:20" x14ac:dyDescent="0.3">
      <c r="A8" s="10" t="s">
        <v>427</v>
      </c>
      <c r="B8" s="76">
        <v>5</v>
      </c>
      <c r="C8" s="76">
        <v>5</v>
      </c>
      <c r="D8" s="76">
        <v>5</v>
      </c>
      <c r="E8" s="76">
        <v>5</v>
      </c>
      <c r="F8" s="76">
        <v>5</v>
      </c>
      <c r="G8" s="76">
        <v>5</v>
      </c>
      <c r="H8" s="4"/>
      <c r="M8" t="s">
        <v>434</v>
      </c>
      <c r="N8" s="40">
        <f t="shared" ref="N8:S8" si="0">N5/N7</f>
        <v>50.065951546803596</v>
      </c>
      <c r="O8" s="40">
        <f t="shared" si="0"/>
        <v>35.970535697819912</v>
      </c>
      <c r="P8" s="40">
        <f t="shared" si="0"/>
        <v>37.401926409736973</v>
      </c>
      <c r="Q8" s="40">
        <f t="shared" si="0"/>
        <v>38.716966834204491</v>
      </c>
      <c r="R8" s="40">
        <f t="shared" si="0"/>
        <v>40.246712955688217</v>
      </c>
      <c r="S8" s="40">
        <f t="shared" si="0"/>
        <v>42.281739152795204</v>
      </c>
    </row>
    <row r="9" spans="1:20" x14ac:dyDescent="0.3">
      <c r="N9" s="40">
        <f t="shared" ref="N9:R9" si="1">N6/N7</f>
        <v>28.86080758821489</v>
      </c>
      <c r="O9" s="40">
        <f t="shared" si="1"/>
        <v>17.232572455216349</v>
      </c>
      <c r="P9" s="40">
        <f t="shared" si="1"/>
        <v>15.609997622052573</v>
      </c>
      <c r="Q9" s="40">
        <f t="shared" si="1"/>
        <v>14.378920331151347</v>
      </c>
      <c r="R9" s="40">
        <f t="shared" si="1"/>
        <v>13.689170100926493</v>
      </c>
      <c r="S9" s="40">
        <f>S6/S7</f>
        <v>13.248299339468085</v>
      </c>
    </row>
    <row r="11" spans="1:20" x14ac:dyDescent="0.3">
      <c r="N11" t="s">
        <v>432</v>
      </c>
    </row>
    <row r="12" spans="1:20" x14ac:dyDescent="0.3">
      <c r="N12" s="38">
        <v>2025</v>
      </c>
      <c r="O12" s="38">
        <v>2030</v>
      </c>
      <c r="P12" s="38">
        <v>2035</v>
      </c>
      <c r="Q12" s="38">
        <v>2040</v>
      </c>
      <c r="R12" s="38">
        <v>2045</v>
      </c>
      <c r="S12" s="38">
        <v>2050</v>
      </c>
    </row>
    <row r="13" spans="1:20" x14ac:dyDescent="0.3">
      <c r="M13" t="s">
        <v>430</v>
      </c>
      <c r="N13" s="106">
        <v>10.38</v>
      </c>
      <c r="O13" s="106">
        <v>8.93</v>
      </c>
      <c r="P13" s="106">
        <v>7.57</v>
      </c>
      <c r="Q13" s="106">
        <v>6.89</v>
      </c>
      <c r="R13" s="106">
        <v>6.36</v>
      </c>
      <c r="S13" s="106">
        <v>5.96</v>
      </c>
    </row>
    <row r="14" spans="1:20" x14ac:dyDescent="0.3">
      <c r="M14" t="s">
        <v>433</v>
      </c>
      <c r="N14" s="105">
        <v>1.1638468500000001</v>
      </c>
      <c r="O14" s="105">
        <v>1.12028718</v>
      </c>
      <c r="P14" s="105">
        <v>1.1199995300000001</v>
      </c>
      <c r="Q14" s="105">
        <v>1.11999786</v>
      </c>
      <c r="R14" s="105">
        <v>1.1199963100000001</v>
      </c>
      <c r="S14" s="105">
        <v>1.1199912999999999</v>
      </c>
    </row>
    <row r="15" spans="1:20" x14ac:dyDescent="0.3">
      <c r="M15" t="s">
        <v>434</v>
      </c>
      <c r="N15" s="39">
        <f>N13/N14</f>
        <v>8.9186992257615341</v>
      </c>
      <c r="O15" s="39">
        <f t="shared" ref="O15:S15" si="2">O13/O14</f>
        <v>7.9711703922203228</v>
      </c>
      <c r="P15" s="39">
        <f t="shared" si="2"/>
        <v>6.758931407765858</v>
      </c>
      <c r="Q15" s="39">
        <f t="shared" si="2"/>
        <v>6.1517974686130197</v>
      </c>
      <c r="R15" s="39">
        <f t="shared" si="2"/>
        <v>5.6785901374978636</v>
      </c>
      <c r="S15" s="39">
        <f t="shared" si="2"/>
        <v>5.3214699078466063</v>
      </c>
    </row>
    <row r="17" spans="2:2" x14ac:dyDescent="0.3">
      <c r="B17" s="4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F71C-2CCF-4409-AA12-ED8E4700687F}">
  <sheetPr>
    <tabColor theme="9" tint="-0.499984740745262"/>
  </sheetPr>
  <dimension ref="B2:G29"/>
  <sheetViews>
    <sheetView workbookViewId="0">
      <selection activeCell="F2" sqref="F2"/>
    </sheetView>
  </sheetViews>
  <sheetFormatPr defaultRowHeight="14.4" x14ac:dyDescent="0.3"/>
  <sheetData>
    <row r="2" spans="2:6" x14ac:dyDescent="0.3">
      <c r="B2" s="1" t="s">
        <v>642</v>
      </c>
      <c r="C2" s="1" t="s">
        <v>635</v>
      </c>
      <c r="F2" s="4"/>
    </row>
    <row r="4" spans="2:6" x14ac:dyDescent="0.3">
      <c r="B4" s="97" t="s">
        <v>90</v>
      </c>
      <c r="C4" s="3">
        <v>0.122</v>
      </c>
    </row>
    <row r="5" spans="2:6" x14ac:dyDescent="0.3">
      <c r="B5" s="97" t="s">
        <v>87</v>
      </c>
      <c r="C5" s="3">
        <v>5.8000000000000003E-2</v>
      </c>
    </row>
    <row r="6" spans="2:6" x14ac:dyDescent="0.3">
      <c r="B6" s="97" t="s">
        <v>86</v>
      </c>
      <c r="C6" s="3">
        <v>8.3000000000000004E-2</v>
      </c>
    </row>
    <row r="7" spans="2:6" x14ac:dyDescent="0.3">
      <c r="B7" s="97" t="s">
        <v>89</v>
      </c>
      <c r="C7" s="3">
        <v>3.7999999999999999E-2</v>
      </c>
    </row>
    <row r="8" spans="2:6" x14ac:dyDescent="0.3">
      <c r="B8" s="97" t="s">
        <v>94</v>
      </c>
      <c r="C8" s="3">
        <v>8.5999999999999993E-2</v>
      </c>
    </row>
    <row r="9" spans="2:6" x14ac:dyDescent="0.3">
      <c r="B9" s="97" t="s">
        <v>85</v>
      </c>
      <c r="C9" s="3">
        <v>0.12</v>
      </c>
    </row>
    <row r="10" spans="2:6" x14ac:dyDescent="0.3">
      <c r="B10" s="97" t="s">
        <v>84</v>
      </c>
      <c r="C10" s="3">
        <v>0.13</v>
      </c>
    </row>
    <row r="11" spans="2:6" x14ac:dyDescent="0.3">
      <c r="B11" s="97" t="s">
        <v>88</v>
      </c>
      <c r="C11" s="3">
        <v>4.0000000000000001E-3</v>
      </c>
    </row>
    <row r="12" spans="2:6" x14ac:dyDescent="0.3">
      <c r="B12" s="97" t="s">
        <v>95</v>
      </c>
      <c r="C12" s="3">
        <v>2.7E-2</v>
      </c>
    </row>
    <row r="13" spans="2:6" x14ac:dyDescent="0.3">
      <c r="B13" s="97" t="s">
        <v>96</v>
      </c>
      <c r="C13" s="3">
        <v>4.8000000000000001E-2</v>
      </c>
    </row>
    <row r="14" spans="2:6" x14ac:dyDescent="0.3">
      <c r="B14" s="97" t="s">
        <v>93</v>
      </c>
      <c r="C14" s="3">
        <v>0.16600000000000001</v>
      </c>
    </row>
    <row r="15" spans="2:6" x14ac:dyDescent="0.3">
      <c r="B15" s="97" t="s">
        <v>92</v>
      </c>
      <c r="C15" s="3">
        <v>7.0000000000000007E-2</v>
      </c>
    </row>
    <row r="16" spans="2:6" x14ac:dyDescent="0.3">
      <c r="B16" s="97" t="s">
        <v>91</v>
      </c>
      <c r="C16" s="3">
        <v>4.9000000000000002E-2</v>
      </c>
    </row>
    <row r="19" spans="2:7" x14ac:dyDescent="0.3">
      <c r="B19" s="1" t="s">
        <v>636</v>
      </c>
      <c r="D19" s="1" t="s">
        <v>637</v>
      </c>
    </row>
    <row r="20" spans="2:7" x14ac:dyDescent="0.3">
      <c r="B20" t="s">
        <v>543</v>
      </c>
    </row>
    <row r="21" spans="2:7" x14ac:dyDescent="0.3">
      <c r="B21" s="28">
        <v>1</v>
      </c>
      <c r="C21" s="28">
        <v>2</v>
      </c>
      <c r="D21" s="28">
        <v>3</v>
      </c>
      <c r="E21" s="28">
        <v>4</v>
      </c>
      <c r="F21" s="28">
        <v>5</v>
      </c>
      <c r="G21" s="28">
        <v>6</v>
      </c>
    </row>
    <row r="22" spans="2:7" x14ac:dyDescent="0.3">
      <c r="B22" s="3">
        <v>70.709999999999994</v>
      </c>
      <c r="C22" s="3">
        <v>84.57</v>
      </c>
      <c r="D22" s="3">
        <v>98.43</v>
      </c>
      <c r="E22" s="3">
        <v>112.29</v>
      </c>
      <c r="F22" s="3">
        <v>126.14</v>
      </c>
      <c r="G22" s="3">
        <v>140</v>
      </c>
    </row>
    <row r="24" spans="2:7" x14ac:dyDescent="0.3">
      <c r="B24">
        <v>1</v>
      </c>
      <c r="C24">
        <v>70.709999999999994</v>
      </c>
    </row>
    <row r="25" spans="2:7" x14ac:dyDescent="0.3">
      <c r="B25">
        <v>2</v>
      </c>
      <c r="C25">
        <v>84.57</v>
      </c>
    </row>
    <row r="26" spans="2:7" x14ac:dyDescent="0.3">
      <c r="B26">
        <v>3</v>
      </c>
      <c r="C26">
        <v>98.43</v>
      </c>
    </row>
    <row r="27" spans="2:7" x14ac:dyDescent="0.3">
      <c r="B27">
        <v>4</v>
      </c>
      <c r="C27">
        <v>112.29</v>
      </c>
    </row>
    <row r="28" spans="2:7" x14ac:dyDescent="0.3">
      <c r="B28">
        <v>5</v>
      </c>
      <c r="C28">
        <v>126.14</v>
      </c>
    </row>
    <row r="29" spans="2:7" x14ac:dyDescent="0.3">
      <c r="B29">
        <v>6</v>
      </c>
      <c r="C29">
        <v>140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0898-51AE-4D79-8D35-39287593A7E2}">
  <sheetPr>
    <tabColor theme="4" tint="0.79998168889431442"/>
  </sheetPr>
  <dimension ref="A1:K64"/>
  <sheetViews>
    <sheetView topLeftCell="A43" workbookViewId="0">
      <selection activeCell="E61" sqref="E61"/>
    </sheetView>
  </sheetViews>
  <sheetFormatPr defaultRowHeight="14.4" x14ac:dyDescent="0.3"/>
  <sheetData>
    <row r="1" spans="1:9" x14ac:dyDescent="0.3">
      <c r="A1" s="1" t="s">
        <v>386</v>
      </c>
      <c r="I1" s="4"/>
    </row>
    <row r="3" spans="1:9" x14ac:dyDescent="0.3">
      <c r="A3" s="32" t="s">
        <v>398</v>
      </c>
      <c r="B3" s="33"/>
    </row>
    <row r="4" spans="1:9" x14ac:dyDescent="0.3">
      <c r="A4" s="33" t="s">
        <v>387</v>
      </c>
      <c r="B4" s="34">
        <v>16.62</v>
      </c>
    </row>
    <row r="7" spans="1:9" x14ac:dyDescent="0.3">
      <c r="A7" s="1" t="s">
        <v>388</v>
      </c>
      <c r="H7" s="4"/>
    </row>
    <row r="9" spans="1:9" x14ac:dyDescent="0.3">
      <c r="A9" s="32" t="s">
        <v>399</v>
      </c>
      <c r="B9" s="33"/>
    </row>
    <row r="10" spans="1:9" x14ac:dyDescent="0.3">
      <c r="A10" s="33" t="s">
        <v>387</v>
      </c>
      <c r="B10" s="34">
        <v>1.63</v>
      </c>
    </row>
    <row r="13" spans="1:9" x14ac:dyDescent="0.3">
      <c r="A13" s="1" t="s">
        <v>389</v>
      </c>
      <c r="I13" s="4"/>
    </row>
    <row r="15" spans="1:9" x14ac:dyDescent="0.3">
      <c r="A15" s="32" t="s">
        <v>400</v>
      </c>
      <c r="B15" s="33"/>
    </row>
    <row r="16" spans="1:9" x14ac:dyDescent="0.3">
      <c r="A16" s="33" t="s">
        <v>387</v>
      </c>
      <c r="B16" s="34">
        <v>0.25</v>
      </c>
    </row>
    <row r="17" spans="1:10" x14ac:dyDescent="0.3">
      <c r="B17" s="27"/>
    </row>
    <row r="19" spans="1:10" x14ac:dyDescent="0.3">
      <c r="A19" s="1" t="s">
        <v>390</v>
      </c>
    </row>
    <row r="21" spans="1:10" x14ac:dyDescent="0.3">
      <c r="A21" s="32" t="s">
        <v>401</v>
      </c>
      <c r="B21" s="33"/>
    </row>
    <row r="22" spans="1:10" x14ac:dyDescent="0.3">
      <c r="A22" s="33" t="s">
        <v>387</v>
      </c>
      <c r="B22" s="34">
        <v>2.2999999999999998</v>
      </c>
    </row>
    <row r="25" spans="1:10" x14ac:dyDescent="0.3">
      <c r="A25" s="1" t="s">
        <v>391</v>
      </c>
      <c r="I25" s="4"/>
    </row>
    <row r="27" spans="1:10" x14ac:dyDescent="0.3">
      <c r="A27" s="32" t="s">
        <v>402</v>
      </c>
      <c r="B27" s="33"/>
    </row>
    <row r="28" spans="1:10" x14ac:dyDescent="0.3">
      <c r="A28" s="33" t="s">
        <v>387</v>
      </c>
      <c r="B28" s="34">
        <v>2</v>
      </c>
    </row>
    <row r="31" spans="1:10" x14ac:dyDescent="0.3">
      <c r="A31" s="1" t="s">
        <v>392</v>
      </c>
      <c r="J31" s="4"/>
    </row>
    <row r="33" spans="1:9" x14ac:dyDescent="0.3">
      <c r="A33" s="32" t="s">
        <v>403</v>
      </c>
      <c r="B33" s="33"/>
    </row>
    <row r="34" spans="1:9" x14ac:dyDescent="0.3">
      <c r="A34" s="33" t="s">
        <v>387</v>
      </c>
      <c r="B34" s="3">
        <v>7.0000000000000007E-2</v>
      </c>
    </row>
    <row r="37" spans="1:9" x14ac:dyDescent="0.3">
      <c r="A37" s="1" t="s">
        <v>393</v>
      </c>
    </row>
    <row r="39" spans="1:9" x14ac:dyDescent="0.3">
      <c r="A39" s="32" t="s">
        <v>404</v>
      </c>
      <c r="B39" s="33"/>
    </row>
    <row r="40" spans="1:9" x14ac:dyDescent="0.3">
      <c r="A40" s="33" t="s">
        <v>387</v>
      </c>
      <c r="B40" s="35">
        <v>55</v>
      </c>
    </row>
    <row r="43" spans="1:9" x14ac:dyDescent="0.3">
      <c r="A43" s="1" t="s">
        <v>394</v>
      </c>
      <c r="I43" s="4"/>
    </row>
    <row r="45" spans="1:9" x14ac:dyDescent="0.3">
      <c r="A45" s="32" t="s">
        <v>405</v>
      </c>
      <c r="B45" s="33"/>
    </row>
    <row r="46" spans="1:9" x14ac:dyDescent="0.3">
      <c r="A46" s="33" t="s">
        <v>387</v>
      </c>
      <c r="B46" s="35">
        <v>21.66</v>
      </c>
    </row>
    <row r="49" spans="1:11" x14ac:dyDescent="0.3">
      <c r="A49" s="1" t="s">
        <v>395</v>
      </c>
      <c r="K49" s="4"/>
    </row>
    <row r="51" spans="1:11" x14ac:dyDescent="0.3">
      <c r="A51" s="32" t="s">
        <v>406</v>
      </c>
      <c r="B51" s="33"/>
    </row>
    <row r="52" spans="1:11" x14ac:dyDescent="0.3">
      <c r="A52" s="33" t="s">
        <v>387</v>
      </c>
      <c r="B52" s="35">
        <v>18</v>
      </c>
    </row>
    <row r="55" spans="1:11" x14ac:dyDescent="0.3">
      <c r="A55" s="1" t="s">
        <v>396</v>
      </c>
      <c r="J55" s="4"/>
    </row>
    <row r="57" spans="1:11" x14ac:dyDescent="0.3">
      <c r="A57" s="32" t="s">
        <v>407</v>
      </c>
      <c r="B57" s="33"/>
    </row>
    <row r="58" spans="1:11" x14ac:dyDescent="0.3">
      <c r="A58" s="33" t="s">
        <v>387</v>
      </c>
      <c r="B58" s="35">
        <v>253000</v>
      </c>
    </row>
    <row r="61" spans="1:11" x14ac:dyDescent="0.3">
      <c r="A61" s="1" t="s">
        <v>397</v>
      </c>
      <c r="E61" s="4"/>
    </row>
    <row r="63" spans="1:11" x14ac:dyDescent="0.3">
      <c r="A63" s="32" t="s">
        <v>418</v>
      </c>
      <c r="B63" s="33"/>
    </row>
    <row r="64" spans="1:11" x14ac:dyDescent="0.3">
      <c r="A64" s="33" t="s">
        <v>387</v>
      </c>
      <c r="B64" s="35">
        <v>15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E249-9E13-4129-B872-8B7E27AD9709}">
  <sheetPr>
    <tabColor rgb="FFA18C77"/>
  </sheetPr>
  <dimension ref="A1:B14"/>
  <sheetViews>
    <sheetView workbookViewId="0">
      <selection activeCell="C3" sqref="C3"/>
    </sheetView>
  </sheetViews>
  <sheetFormatPr defaultRowHeight="14.4" x14ac:dyDescent="0.3"/>
  <cols>
    <col min="2" max="2" width="12" bestFit="1" customWidth="1"/>
  </cols>
  <sheetData>
    <row r="1" spans="1:2" x14ac:dyDescent="0.3">
      <c r="A1" s="1" t="s">
        <v>632</v>
      </c>
    </row>
    <row r="2" spans="1:2" x14ac:dyDescent="0.3">
      <c r="A2" s="42" t="s">
        <v>467</v>
      </c>
      <c r="B2" s="43"/>
    </row>
    <row r="3" spans="1:2" x14ac:dyDescent="0.3">
      <c r="A3" s="42" t="s">
        <v>137</v>
      </c>
      <c r="B3" s="96">
        <f>11*(10^(12))/1000</f>
        <v>11000000000</v>
      </c>
    </row>
    <row r="4" spans="1:2" x14ac:dyDescent="0.3">
      <c r="A4" s="42" t="s">
        <v>138</v>
      </c>
      <c r="B4" s="96">
        <f>1*(10^(12))/1000</f>
        <v>1000000000</v>
      </c>
    </row>
    <row r="5" spans="1:2" x14ac:dyDescent="0.3">
      <c r="A5" s="42" t="s">
        <v>136</v>
      </c>
      <c r="B5" s="96">
        <v>0</v>
      </c>
    </row>
    <row r="6" spans="1:2" x14ac:dyDescent="0.3">
      <c r="A6" s="42" t="s">
        <v>135</v>
      </c>
      <c r="B6" s="96">
        <f>7.1*(10^(12))/1000</f>
        <v>7100000000</v>
      </c>
    </row>
    <row r="9" spans="1:2" x14ac:dyDescent="0.3">
      <c r="A9" s="1" t="s">
        <v>633</v>
      </c>
    </row>
    <row r="10" spans="1:2" x14ac:dyDescent="0.3">
      <c r="A10" s="42" t="s">
        <v>468</v>
      </c>
      <c r="B10" s="43"/>
    </row>
    <row r="11" spans="1:2" x14ac:dyDescent="0.3">
      <c r="A11" s="42" t="s">
        <v>137</v>
      </c>
      <c r="B11" s="3">
        <v>0</v>
      </c>
    </row>
    <row r="12" spans="1:2" x14ac:dyDescent="0.3">
      <c r="A12" s="42" t="s">
        <v>138</v>
      </c>
      <c r="B12" s="3">
        <v>0</v>
      </c>
    </row>
    <row r="13" spans="1:2" x14ac:dyDescent="0.3">
      <c r="A13" s="42" t="s">
        <v>136</v>
      </c>
      <c r="B13" s="3">
        <v>0</v>
      </c>
    </row>
    <row r="14" spans="1:2" x14ac:dyDescent="0.3">
      <c r="A14" s="42" t="s">
        <v>135</v>
      </c>
      <c r="B14" s="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52BC-10F5-4E95-9A02-18584C2D6111}">
  <sheetPr>
    <tabColor theme="9" tint="0.79998168889431442"/>
  </sheetPr>
  <dimension ref="A1:AS44"/>
  <sheetViews>
    <sheetView topLeftCell="A16" zoomScale="91" zoomScaleNormal="91" workbookViewId="0">
      <selection activeCell="T38" sqref="T38"/>
    </sheetView>
  </sheetViews>
  <sheetFormatPr defaultRowHeight="14.4" x14ac:dyDescent="0.3"/>
  <cols>
    <col min="2" max="2" width="12" bestFit="1" customWidth="1"/>
    <col min="5" max="5" width="10.109375" customWidth="1"/>
    <col min="6" max="6" width="9.5546875" customWidth="1"/>
    <col min="10" max="10" width="12" bestFit="1" customWidth="1"/>
    <col min="16" max="17" width="9.5546875" bestFit="1" customWidth="1"/>
    <col min="18" max="18" width="11.33203125" customWidth="1"/>
  </cols>
  <sheetData>
    <row r="1" spans="1:21" x14ac:dyDescent="0.3">
      <c r="A1" s="47" t="s">
        <v>625</v>
      </c>
      <c r="B1" s="75"/>
      <c r="C1" s="75"/>
      <c r="D1" s="4"/>
    </row>
    <row r="2" spans="1:21" x14ac:dyDescent="0.3">
      <c r="A2" s="47" t="s">
        <v>294</v>
      </c>
    </row>
    <row r="3" spans="1:21" x14ac:dyDescent="0.3">
      <c r="A3" s="28">
        <v>1</v>
      </c>
      <c r="B3" s="28">
        <v>2</v>
      </c>
      <c r="C3" s="28">
        <v>3</v>
      </c>
      <c r="D3" s="28">
        <v>4</v>
      </c>
      <c r="E3" s="28">
        <v>5</v>
      </c>
      <c r="F3" s="28">
        <v>6</v>
      </c>
      <c r="I3" s="28">
        <v>1</v>
      </c>
      <c r="J3">
        <v>98</v>
      </c>
    </row>
    <row r="4" spans="1:21" x14ac:dyDescent="0.3">
      <c r="A4" s="90">
        <v>98.335618642607471</v>
      </c>
      <c r="B4" s="90">
        <v>99.414330529070227</v>
      </c>
      <c r="C4" s="90">
        <v>108.0980810768733</v>
      </c>
      <c r="D4" s="90">
        <v>115.31897034160406</v>
      </c>
      <c r="E4" s="90">
        <v>121.90459806068468</v>
      </c>
      <c r="F4" s="90">
        <v>127.39634673947913</v>
      </c>
      <c r="I4" s="28">
        <v>2</v>
      </c>
      <c r="J4">
        <v>99</v>
      </c>
    </row>
    <row r="5" spans="1:21" x14ac:dyDescent="0.3">
      <c r="A5" s="3"/>
      <c r="B5" s="3"/>
      <c r="C5" s="3"/>
      <c r="D5" s="3"/>
      <c r="E5" s="3"/>
      <c r="F5" s="3"/>
      <c r="I5" s="28">
        <v>3</v>
      </c>
      <c r="J5">
        <v>108</v>
      </c>
    </row>
    <row r="6" spans="1:21" x14ac:dyDescent="0.3">
      <c r="I6" s="28">
        <v>4</v>
      </c>
      <c r="J6">
        <v>115</v>
      </c>
      <c r="M6" t="s">
        <v>560</v>
      </c>
    </row>
    <row r="7" spans="1:21" x14ac:dyDescent="0.3">
      <c r="A7" s="47" t="s">
        <v>622</v>
      </c>
      <c r="B7" s="75"/>
      <c r="C7" s="75"/>
      <c r="D7" s="75"/>
      <c r="E7" s="75"/>
      <c r="F7" s="75"/>
      <c r="G7" s="75"/>
      <c r="H7" s="75"/>
      <c r="I7" s="28">
        <v>5</v>
      </c>
      <c r="J7">
        <v>122</v>
      </c>
    </row>
    <row r="8" spans="1:21" x14ac:dyDescent="0.3">
      <c r="A8" s="46" t="s">
        <v>559</v>
      </c>
      <c r="B8" s="47"/>
      <c r="I8" s="28">
        <v>6</v>
      </c>
      <c r="J8">
        <v>127</v>
      </c>
    </row>
    <row r="9" spans="1:21" x14ac:dyDescent="0.3">
      <c r="A9" s="86" t="s">
        <v>130</v>
      </c>
      <c r="B9" s="89">
        <f>S12*1000/O10*P10/1000</f>
        <v>0.25588235294117645</v>
      </c>
      <c r="O9" s="75" t="s">
        <v>474</v>
      </c>
      <c r="P9" s="75" t="s">
        <v>475</v>
      </c>
      <c r="R9" s="75" t="s">
        <v>575</v>
      </c>
      <c r="S9" s="75" t="s">
        <v>488</v>
      </c>
      <c r="T9" s="75"/>
      <c r="U9" s="4" t="s">
        <v>577</v>
      </c>
    </row>
    <row r="10" spans="1:21" x14ac:dyDescent="0.3">
      <c r="A10" s="86" t="s">
        <v>131</v>
      </c>
      <c r="B10" s="89">
        <f>S12*1000/O11*P11/1000</f>
        <v>0.23234939759036144</v>
      </c>
      <c r="N10" s="86" t="s">
        <v>130</v>
      </c>
      <c r="O10" s="3">
        <v>0.71399999999999997</v>
      </c>
      <c r="P10" s="3">
        <v>0.9</v>
      </c>
      <c r="R10" s="29" t="s">
        <v>489</v>
      </c>
      <c r="S10" s="3">
        <v>0.28000000000000003</v>
      </c>
    </row>
    <row r="11" spans="1:21" x14ac:dyDescent="0.3">
      <c r="A11" s="86" t="s">
        <v>213</v>
      </c>
      <c r="B11" s="89">
        <f>S14*1000/O12*P12/1000</f>
        <v>0.45257142857142862</v>
      </c>
      <c r="N11" s="86" t="s">
        <v>131</v>
      </c>
      <c r="O11" s="3">
        <v>0.83</v>
      </c>
      <c r="P11" s="3">
        <v>0.95</v>
      </c>
      <c r="R11" s="29" t="s">
        <v>490</v>
      </c>
      <c r="S11" s="3">
        <v>0.32100000000000001</v>
      </c>
    </row>
    <row r="12" spans="1:21" x14ac:dyDescent="0.3">
      <c r="A12" s="86" t="s">
        <v>133</v>
      </c>
      <c r="B12" s="89">
        <f>0</f>
        <v>0</v>
      </c>
      <c r="N12" s="86" t="s">
        <v>213</v>
      </c>
      <c r="O12" s="3">
        <v>0.7</v>
      </c>
      <c r="P12" s="3">
        <v>0.9</v>
      </c>
      <c r="R12" s="29" t="s">
        <v>190</v>
      </c>
      <c r="S12" s="3">
        <v>0.20300000000000001</v>
      </c>
    </row>
    <row r="13" spans="1:21" x14ac:dyDescent="0.3">
      <c r="A13" s="86" t="s">
        <v>214</v>
      </c>
      <c r="B13" s="89">
        <f>0</f>
        <v>0</v>
      </c>
      <c r="N13" s="86" t="s">
        <v>133</v>
      </c>
      <c r="O13" s="3">
        <v>0.8</v>
      </c>
      <c r="P13" s="3">
        <v>0</v>
      </c>
      <c r="R13" s="29" t="s">
        <v>427</v>
      </c>
      <c r="S13" s="3">
        <v>0</v>
      </c>
    </row>
    <row r="14" spans="1:21" x14ac:dyDescent="0.3">
      <c r="A14" s="86" t="s">
        <v>207</v>
      </c>
      <c r="B14" s="89">
        <f>0</f>
        <v>0</v>
      </c>
      <c r="N14" s="86" t="s">
        <v>214</v>
      </c>
      <c r="O14" s="3">
        <v>0.6</v>
      </c>
      <c r="P14" s="3">
        <v>0</v>
      </c>
      <c r="R14" s="29" t="s">
        <v>581</v>
      </c>
      <c r="S14" s="3">
        <v>0.35199999999999998</v>
      </c>
    </row>
    <row r="15" spans="1:21" x14ac:dyDescent="0.3">
      <c r="A15" s="86" t="s">
        <v>208</v>
      </c>
      <c r="B15" s="89">
        <v>0</v>
      </c>
      <c r="N15" s="86" t="s">
        <v>207</v>
      </c>
      <c r="O15" s="3">
        <v>0.39100000000000001</v>
      </c>
      <c r="P15" s="3">
        <v>0</v>
      </c>
      <c r="R15" s="29" t="s">
        <v>580</v>
      </c>
      <c r="S15" s="3">
        <v>0.01</v>
      </c>
    </row>
    <row r="16" spans="1:21" x14ac:dyDescent="0.3">
      <c r="A16" s="86" t="s">
        <v>210</v>
      </c>
      <c r="B16" s="89">
        <f>S12*1000/O17*P17/1000</f>
        <v>0.37361963190184055</v>
      </c>
      <c r="N16" s="86" t="s">
        <v>208</v>
      </c>
      <c r="O16" s="3">
        <v>0.39</v>
      </c>
      <c r="P16" s="3">
        <v>0.9</v>
      </c>
      <c r="R16" s="122" t="s">
        <v>579</v>
      </c>
      <c r="S16" s="121">
        <v>0.34200000000000003</v>
      </c>
    </row>
    <row r="17" spans="1:16" x14ac:dyDescent="0.3">
      <c r="A17" s="86" t="s">
        <v>132</v>
      </c>
      <c r="B17" s="89">
        <f>S14*1000/O18*P18/1000</f>
        <v>1.1314285714285712</v>
      </c>
      <c r="N17" s="86" t="s">
        <v>210</v>
      </c>
      <c r="O17" s="3">
        <v>0.48899999999999999</v>
      </c>
      <c r="P17" s="3">
        <v>0.9</v>
      </c>
    </row>
    <row r="18" spans="1:16" x14ac:dyDescent="0.3">
      <c r="A18" s="29" t="s">
        <v>291</v>
      </c>
      <c r="B18" s="89">
        <f>S14*1000/O19*P19</f>
        <v>0</v>
      </c>
      <c r="N18" s="86" t="s">
        <v>132</v>
      </c>
      <c r="O18" s="3">
        <v>0.28000000000000003</v>
      </c>
      <c r="P18" s="3">
        <v>0.9</v>
      </c>
    </row>
    <row r="19" spans="1:16" x14ac:dyDescent="0.3">
      <c r="A19" s="29" t="s">
        <v>583</v>
      </c>
      <c r="B19" s="89">
        <v>0</v>
      </c>
      <c r="N19" s="29" t="s">
        <v>291</v>
      </c>
      <c r="O19" s="3">
        <v>0.35</v>
      </c>
      <c r="P19" s="3">
        <v>0</v>
      </c>
    </row>
    <row r="20" spans="1:16" x14ac:dyDescent="0.3">
      <c r="N20" s="29" t="s">
        <v>210</v>
      </c>
      <c r="O20" s="3">
        <v>0.51</v>
      </c>
      <c r="P20" s="3">
        <v>0</v>
      </c>
    </row>
    <row r="22" spans="1:16" x14ac:dyDescent="0.3">
      <c r="A22" s="47" t="s">
        <v>623</v>
      </c>
      <c r="B22" s="75"/>
      <c r="C22" s="75"/>
      <c r="D22" s="75"/>
      <c r="E22" s="75"/>
      <c r="F22" s="75"/>
      <c r="G22" s="75"/>
      <c r="H22" s="75"/>
    </row>
    <row r="23" spans="1:16" x14ac:dyDescent="0.3">
      <c r="A23" s="46" t="s">
        <v>561</v>
      </c>
      <c r="B23" s="47"/>
    </row>
    <row r="24" spans="1:16" x14ac:dyDescent="0.3">
      <c r="A24" s="86" t="s">
        <v>130</v>
      </c>
      <c r="B24" s="89">
        <f>S12*1000/O10*(1-P10)/1000</f>
        <v>2.8431372549019604E-2</v>
      </c>
    </row>
    <row r="25" spans="1:16" x14ac:dyDescent="0.3">
      <c r="A25" s="86" t="s">
        <v>131</v>
      </c>
      <c r="B25" s="89">
        <f>S12*1000/O11*(1-P11)/1000</f>
        <v>1.2228915662650615E-2</v>
      </c>
    </row>
    <row r="26" spans="1:16" x14ac:dyDescent="0.3">
      <c r="A26" s="86" t="s">
        <v>213</v>
      </c>
      <c r="B26" s="89">
        <f>-S14*1000/O12*(P12)/1000</f>
        <v>-0.45257142857142862</v>
      </c>
    </row>
    <row r="27" spans="1:16" x14ac:dyDescent="0.3">
      <c r="A27" s="86" t="s">
        <v>133</v>
      </c>
      <c r="B27" s="89">
        <v>0</v>
      </c>
    </row>
    <row r="28" spans="1:16" x14ac:dyDescent="0.3">
      <c r="A28" s="86" t="s">
        <v>214</v>
      </c>
      <c r="B28" s="89">
        <v>0</v>
      </c>
    </row>
    <row r="29" spans="1:16" x14ac:dyDescent="0.3">
      <c r="A29" s="86" t="s">
        <v>207</v>
      </c>
      <c r="B29" s="89">
        <f>S13*1000/O15*(1-P15)</f>
        <v>0</v>
      </c>
    </row>
    <row r="30" spans="1:16" x14ac:dyDescent="0.3">
      <c r="A30" s="86" t="s">
        <v>208</v>
      </c>
      <c r="B30" s="89">
        <v>0.52100000000000002</v>
      </c>
    </row>
    <row r="31" spans="1:16" x14ac:dyDescent="0.3">
      <c r="A31" s="86" t="s">
        <v>210</v>
      </c>
      <c r="B31" s="89">
        <v>0.1</v>
      </c>
    </row>
    <row r="32" spans="1:16" x14ac:dyDescent="0.3">
      <c r="A32" s="86" t="s">
        <v>132</v>
      </c>
      <c r="B32" s="89">
        <f>-S14*1000/O18*(P18)/1000</f>
        <v>-1.1314285714285712</v>
      </c>
    </row>
    <row r="33" spans="1:45" x14ac:dyDescent="0.3">
      <c r="A33" s="29" t="s">
        <v>291</v>
      </c>
      <c r="B33" s="89">
        <f>S14*1000/O19*(1-P19)/1000</f>
        <v>1.0057142857142858</v>
      </c>
    </row>
    <row r="34" spans="1:45" x14ac:dyDescent="0.3">
      <c r="A34" s="29" t="s">
        <v>583</v>
      </c>
      <c r="B34" s="89">
        <v>0.39800000000000002</v>
      </c>
    </row>
    <row r="35" spans="1:45" x14ac:dyDescent="0.3">
      <c r="A35" s="29"/>
      <c r="B35" s="89"/>
    </row>
    <row r="36" spans="1:45" x14ac:dyDescent="0.3">
      <c r="A36" s="1"/>
    </row>
    <row r="38" spans="1:45" x14ac:dyDescent="0.3">
      <c r="A38" s="87" t="s">
        <v>624</v>
      </c>
      <c r="B38" s="75"/>
      <c r="C38" s="75"/>
      <c r="D38" s="75"/>
      <c r="E38" s="47" t="s">
        <v>578</v>
      </c>
      <c r="L38" s="4"/>
      <c r="T38" s="4"/>
    </row>
    <row r="39" spans="1:45" x14ac:dyDescent="0.3">
      <c r="A39" s="28">
        <v>1</v>
      </c>
      <c r="B39" s="28">
        <v>2</v>
      </c>
      <c r="C39" s="28">
        <v>3</v>
      </c>
      <c r="D39" s="28">
        <v>4</v>
      </c>
      <c r="E39" s="28">
        <v>5</v>
      </c>
      <c r="F39" s="28">
        <v>6</v>
      </c>
      <c r="G39" s="4"/>
      <c r="I39" s="28">
        <v>1</v>
      </c>
      <c r="J39" s="107">
        <f>A40</f>
        <v>126070524.19932</v>
      </c>
      <c r="L39" s="28">
        <v>1</v>
      </c>
      <c r="M39" s="28">
        <v>2</v>
      </c>
      <c r="N39" s="28">
        <v>3</v>
      </c>
      <c r="O39" s="28">
        <v>4</v>
      </c>
      <c r="P39" s="28">
        <v>5</v>
      </c>
      <c r="Q39" s="28">
        <v>6</v>
      </c>
      <c r="R39" s="61"/>
      <c r="S39" s="61"/>
      <c r="T39" s="28">
        <v>1</v>
      </c>
      <c r="U39" s="28">
        <v>2</v>
      </c>
      <c r="V39" s="28">
        <v>3</v>
      </c>
      <c r="W39" s="28">
        <v>4</v>
      </c>
      <c r="X39" s="28">
        <v>5</v>
      </c>
      <c r="Y39" s="28">
        <v>6</v>
      </c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</row>
    <row r="40" spans="1:45" x14ac:dyDescent="0.3">
      <c r="A40" s="96">
        <f>126070524199.32/1000</f>
        <v>126070524.19932</v>
      </c>
      <c r="B40" s="96">
        <f>81034614456.2449/1000</f>
        <v>81034614.456244901</v>
      </c>
      <c r="C40" s="96">
        <f>35791671538.6416/1000</f>
        <v>35791671.538641602</v>
      </c>
      <c r="D40" s="96">
        <f>6879358880.09462/1000</f>
        <v>6879358.8800946195</v>
      </c>
      <c r="E40" s="107">
        <f>(D40+F40)/2</f>
        <v>3439679.4400473097</v>
      </c>
      <c r="F40">
        <v>0</v>
      </c>
      <c r="I40" s="28">
        <v>2</v>
      </c>
      <c r="J40" s="107">
        <f>B40</f>
        <v>81034614.456244901</v>
      </c>
      <c r="L40" s="96">
        <f>126070524199.32/1000</f>
        <v>126070524.19932</v>
      </c>
      <c r="M40" s="96">
        <f>81034614456.2449/1000</f>
        <v>81034614.456244901</v>
      </c>
      <c r="N40" s="96">
        <f>35791671538.6416/1000</f>
        <v>35791671.538641602</v>
      </c>
      <c r="O40" s="96">
        <f>6879358880.09462/1000</f>
        <v>6879358.8800946195</v>
      </c>
      <c r="P40" s="96">
        <f>-18012989269.6526/1000</f>
        <v>-18012989.269652598</v>
      </c>
      <c r="Q40" s="96">
        <f>-31078581062.2781/1000</f>
        <v>-31078581.062278099</v>
      </c>
      <c r="R40" s="61"/>
      <c r="S40" s="61"/>
      <c r="T40" s="96">
        <v>62552915.862988248</v>
      </c>
      <c r="U40" s="96">
        <v>45181177.220461167</v>
      </c>
      <c r="V40" s="96">
        <v>29132740.869945705</v>
      </c>
      <c r="W40" s="96">
        <v>18800100.149759393</v>
      </c>
      <c r="X40" s="96">
        <v>7524286.5804977603</v>
      </c>
      <c r="Y40" s="96">
        <v>0</v>
      </c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</row>
    <row r="41" spans="1:45" x14ac:dyDescent="0.3">
      <c r="I41" s="28">
        <v>3</v>
      </c>
      <c r="J41" s="107">
        <f>C40</f>
        <v>35791671.538641602</v>
      </c>
      <c r="L41" s="96">
        <f>126070524199.32/1000</f>
        <v>126070524.19932</v>
      </c>
      <c r="M41" s="96">
        <f>81034614456.2449/1000</f>
        <v>81034614.456244901</v>
      </c>
      <c r="N41" s="96">
        <f>35791671538.6416/1000</f>
        <v>35791671.538641602</v>
      </c>
      <c r="O41" s="96">
        <f>6879358880.09462/1000</f>
        <v>6879358.8800946195</v>
      </c>
      <c r="P41" s="107">
        <f>(O41+Q41)/2</f>
        <v>3439679.4400473097</v>
      </c>
      <c r="Q41">
        <v>0</v>
      </c>
    </row>
    <row r="42" spans="1:45" x14ac:dyDescent="0.3">
      <c r="I42" s="28">
        <v>4</v>
      </c>
      <c r="J42" s="107">
        <f>D40</f>
        <v>6879358.8800946195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</row>
    <row r="43" spans="1:45" x14ac:dyDescent="0.3">
      <c r="I43" s="28">
        <v>5</v>
      </c>
      <c r="J43" s="107">
        <f>E40</f>
        <v>3439679.4400473097</v>
      </c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</row>
    <row r="44" spans="1:45" x14ac:dyDescent="0.3">
      <c r="I44" s="28">
        <v>6</v>
      </c>
      <c r="J44">
        <f>F40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F556-548C-449F-A031-079AAC8BC2DA}">
  <sheetPr>
    <tabColor theme="5" tint="0.79998168889431442"/>
  </sheetPr>
  <dimension ref="A2:H50"/>
  <sheetViews>
    <sheetView topLeftCell="A19" workbookViewId="0">
      <selection activeCell="C31" sqref="C31"/>
    </sheetView>
  </sheetViews>
  <sheetFormatPr defaultRowHeight="14.4" x14ac:dyDescent="0.3"/>
  <sheetData>
    <row r="2" spans="1:7" x14ac:dyDescent="0.3">
      <c r="A2" s="1" t="s">
        <v>302</v>
      </c>
      <c r="G2" s="4"/>
    </row>
    <row r="4" spans="1:7" x14ac:dyDescent="0.3">
      <c r="A4" s="20" t="s">
        <v>368</v>
      </c>
    </row>
    <row r="5" spans="1:7" x14ac:dyDescent="0.3">
      <c r="A5" s="3">
        <v>0.05</v>
      </c>
    </row>
    <row r="8" spans="1:7" x14ac:dyDescent="0.3">
      <c r="A8" s="1" t="s">
        <v>303</v>
      </c>
      <c r="G8" s="4"/>
    </row>
    <row r="10" spans="1:7" x14ac:dyDescent="0.3">
      <c r="A10" s="19" t="s">
        <v>146</v>
      </c>
      <c r="B10" s="19" t="s">
        <v>305</v>
      </c>
      <c r="C10" s="19" t="s">
        <v>366</v>
      </c>
      <c r="D10" s="19" t="s">
        <v>367</v>
      </c>
    </row>
    <row r="11" spans="1:7" x14ac:dyDescent="0.3">
      <c r="A11" s="21" t="s">
        <v>326</v>
      </c>
      <c r="B11" s="3">
        <v>0.5</v>
      </c>
      <c r="C11" s="3">
        <v>0.6</v>
      </c>
      <c r="D11" s="3">
        <v>0.6</v>
      </c>
    </row>
    <row r="12" spans="1:7" x14ac:dyDescent="0.3">
      <c r="A12" s="21" t="s">
        <v>327</v>
      </c>
      <c r="B12" s="3">
        <v>0.8</v>
      </c>
      <c r="C12" s="3">
        <v>1.2</v>
      </c>
      <c r="D12" s="3">
        <v>1.2</v>
      </c>
    </row>
    <row r="13" spans="1:7" x14ac:dyDescent="0.3">
      <c r="A13" s="21" t="s">
        <v>328</v>
      </c>
      <c r="B13" s="3">
        <v>1</v>
      </c>
      <c r="C13" s="3"/>
      <c r="D13" s="3"/>
    </row>
    <row r="14" spans="1:7" x14ac:dyDescent="0.3">
      <c r="A14" s="21" t="s">
        <v>359</v>
      </c>
      <c r="B14" s="3"/>
      <c r="C14" s="3"/>
      <c r="D14" s="3"/>
    </row>
    <row r="15" spans="1:7" x14ac:dyDescent="0.3">
      <c r="A15" s="21" t="s">
        <v>360</v>
      </c>
      <c r="B15" s="3"/>
      <c r="C15" s="3"/>
      <c r="D15" s="3"/>
    </row>
    <row r="16" spans="1:7" x14ac:dyDescent="0.3">
      <c r="A16" s="21" t="s">
        <v>361</v>
      </c>
      <c r="B16" s="3"/>
      <c r="C16" s="3"/>
      <c r="D16" s="3"/>
    </row>
    <row r="19" spans="1:8" x14ac:dyDescent="0.3">
      <c r="A19" s="1" t="s">
        <v>313</v>
      </c>
      <c r="G19" s="4"/>
    </row>
    <row r="20" spans="1:8" x14ac:dyDescent="0.3">
      <c r="A20" s="23" t="s">
        <v>311</v>
      </c>
      <c r="B20" s="24" t="s">
        <v>312</v>
      </c>
      <c r="C20" s="25" t="s">
        <v>620</v>
      </c>
    </row>
    <row r="21" spans="1:8" x14ac:dyDescent="0.3">
      <c r="A21" s="19" t="s">
        <v>146</v>
      </c>
      <c r="B21" s="22" t="s">
        <v>455</v>
      </c>
      <c r="C21" s="22" t="s">
        <v>187</v>
      </c>
    </row>
    <row r="22" spans="1:8" x14ac:dyDescent="0.3">
      <c r="A22" s="21" t="s">
        <v>326</v>
      </c>
      <c r="B22" s="3">
        <v>2117</v>
      </c>
      <c r="C22" s="3">
        <v>1666.67</v>
      </c>
    </row>
    <row r="23" spans="1:8" x14ac:dyDescent="0.3">
      <c r="A23" s="21" t="s">
        <v>327</v>
      </c>
      <c r="B23" s="3">
        <v>10052</v>
      </c>
      <c r="C23" s="3">
        <v>11666.67</v>
      </c>
    </row>
    <row r="24" spans="1:8" x14ac:dyDescent="0.3">
      <c r="A24" s="21" t="s">
        <v>328</v>
      </c>
      <c r="B24" s="3">
        <v>15343</v>
      </c>
      <c r="C24" s="3"/>
    </row>
    <row r="25" spans="1:8" x14ac:dyDescent="0.3">
      <c r="A25" s="21" t="s">
        <v>359</v>
      </c>
      <c r="B25" s="3"/>
      <c r="C25" s="3"/>
    </row>
    <row r="26" spans="1:8" x14ac:dyDescent="0.3">
      <c r="A26" s="21" t="s">
        <v>360</v>
      </c>
      <c r="B26" s="3"/>
      <c r="C26" s="3"/>
    </row>
    <row r="27" spans="1:8" x14ac:dyDescent="0.3">
      <c r="A27" s="21" t="s">
        <v>361</v>
      </c>
      <c r="B27" s="3"/>
      <c r="C27" s="3"/>
    </row>
    <row r="30" spans="1:8" x14ac:dyDescent="0.3">
      <c r="A30" s="1" t="s">
        <v>621</v>
      </c>
    </row>
    <row r="31" spans="1:8" x14ac:dyDescent="0.3">
      <c r="A31" s="1" t="s">
        <v>59</v>
      </c>
      <c r="C31" s="4"/>
      <c r="F31" s="1" t="s">
        <v>61</v>
      </c>
      <c r="H31" s="4"/>
    </row>
    <row r="32" spans="1:8" x14ac:dyDescent="0.3">
      <c r="A32" s="19" t="s">
        <v>146</v>
      </c>
      <c r="B32" s="19" t="s">
        <v>455</v>
      </c>
      <c r="C32" s="19" t="s">
        <v>187</v>
      </c>
      <c r="F32" s="19" t="s">
        <v>146</v>
      </c>
    </row>
    <row r="33" spans="1:7" x14ac:dyDescent="0.3">
      <c r="A33" s="21" t="s">
        <v>326</v>
      </c>
      <c r="B33" s="3">
        <v>979943</v>
      </c>
      <c r="C33" s="3">
        <v>585000</v>
      </c>
      <c r="F33" s="21" t="s">
        <v>326</v>
      </c>
      <c r="G33" s="3">
        <v>797000</v>
      </c>
    </row>
    <row r="34" spans="1:7" x14ac:dyDescent="0.3">
      <c r="A34" s="21" t="s">
        <v>327</v>
      </c>
      <c r="B34" s="3">
        <v>1735848</v>
      </c>
      <c r="C34" s="3">
        <v>1149000</v>
      </c>
      <c r="F34" s="21" t="s">
        <v>327</v>
      </c>
      <c r="G34" s="3">
        <v>1485000</v>
      </c>
    </row>
    <row r="35" spans="1:7" x14ac:dyDescent="0.3">
      <c r="A35" s="21" t="s">
        <v>328</v>
      </c>
      <c r="B35" s="3">
        <v>2239785.03937008</v>
      </c>
      <c r="C35" s="3"/>
      <c r="F35" s="21" t="s">
        <v>328</v>
      </c>
      <c r="G35" s="3"/>
    </row>
    <row r="36" spans="1:7" x14ac:dyDescent="0.3">
      <c r="A36" s="21" t="s">
        <v>359</v>
      </c>
      <c r="B36" s="3"/>
      <c r="C36" s="3"/>
      <c r="F36" s="21" t="s">
        <v>359</v>
      </c>
      <c r="G36" s="3"/>
    </row>
    <row r="37" spans="1:7" x14ac:dyDescent="0.3">
      <c r="A37" s="21" t="s">
        <v>360</v>
      </c>
      <c r="B37" s="3"/>
      <c r="C37" s="3"/>
      <c r="F37" s="21" t="s">
        <v>360</v>
      </c>
      <c r="G37" s="3"/>
    </row>
    <row r="38" spans="1:7" x14ac:dyDescent="0.3">
      <c r="A38" s="21" t="s">
        <v>361</v>
      </c>
      <c r="B38" s="3"/>
      <c r="C38" s="3"/>
      <c r="F38" s="21" t="s">
        <v>361</v>
      </c>
      <c r="G38" s="3"/>
    </row>
    <row r="41" spans="1:7" x14ac:dyDescent="0.3">
      <c r="A41" s="1" t="s">
        <v>306</v>
      </c>
      <c r="E41" s="4" t="s">
        <v>304</v>
      </c>
    </row>
    <row r="43" spans="1:7" x14ac:dyDescent="0.3">
      <c r="A43" s="19" t="s">
        <v>307</v>
      </c>
      <c r="E43" t="s">
        <v>308</v>
      </c>
    </row>
    <row r="44" spans="1:7" x14ac:dyDescent="0.3">
      <c r="A44" s="3">
        <v>50</v>
      </c>
    </row>
    <row r="47" spans="1:7" x14ac:dyDescent="0.3">
      <c r="A47" s="1" t="s">
        <v>309</v>
      </c>
    </row>
    <row r="49" spans="1:4" x14ac:dyDescent="0.3">
      <c r="A49" s="19" t="s">
        <v>310</v>
      </c>
      <c r="B49" s="20"/>
      <c r="C49" s="20"/>
      <c r="D49" s="20" t="s">
        <v>230</v>
      </c>
    </row>
    <row r="50" spans="1:4" x14ac:dyDescent="0.3">
      <c r="A50" s="20"/>
      <c r="B50" s="20" t="s">
        <v>146</v>
      </c>
      <c r="C50" s="20" t="s">
        <v>129</v>
      </c>
      <c r="D50" s="3">
        <v>0</v>
      </c>
    </row>
  </sheetData>
  <phoneticPr fontId="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A7AF-D048-4B1C-9BD6-42F354DE61E8}">
  <sheetPr>
    <tabColor theme="8"/>
  </sheetPr>
  <dimension ref="A1:AO148"/>
  <sheetViews>
    <sheetView workbookViewId="0">
      <selection activeCell="C3" sqref="C3:AO148"/>
    </sheetView>
  </sheetViews>
  <sheetFormatPr defaultRowHeight="14.4" x14ac:dyDescent="0.3"/>
  <sheetData>
    <row r="1" spans="1:41" x14ac:dyDescent="0.3">
      <c r="A1" s="1" t="s">
        <v>101</v>
      </c>
      <c r="F1" s="4" t="s">
        <v>593</v>
      </c>
    </row>
    <row r="3" spans="1:41" s="1" customFormat="1" x14ac:dyDescent="0.3">
      <c r="A3" s="5" t="s">
        <v>102</v>
      </c>
      <c r="B3" s="5"/>
      <c r="C3" s="5" t="s">
        <v>84</v>
      </c>
      <c r="D3" s="5" t="s">
        <v>84</v>
      </c>
      <c r="E3" s="5" t="s">
        <v>594</v>
      </c>
      <c r="F3" s="5" t="s">
        <v>85</v>
      </c>
      <c r="G3" s="5" t="s">
        <v>86</v>
      </c>
      <c r="H3" s="5" t="s">
        <v>86</v>
      </c>
      <c r="I3" s="5" t="s">
        <v>87</v>
      </c>
      <c r="J3" s="5" t="s">
        <v>87</v>
      </c>
      <c r="K3" s="5" t="s">
        <v>88</v>
      </c>
      <c r="L3" s="5" t="s">
        <v>88</v>
      </c>
      <c r="M3" s="5" t="s">
        <v>89</v>
      </c>
      <c r="N3" s="5" t="s">
        <v>89</v>
      </c>
      <c r="O3" s="5" t="s">
        <v>90</v>
      </c>
      <c r="P3" s="5" t="s">
        <v>90</v>
      </c>
      <c r="Q3" s="5" t="s">
        <v>91</v>
      </c>
      <c r="R3" s="5" t="s">
        <v>91</v>
      </c>
      <c r="S3" s="5" t="s">
        <v>92</v>
      </c>
      <c r="T3" s="5" t="s">
        <v>92</v>
      </c>
      <c r="U3" s="5" t="s">
        <v>93</v>
      </c>
      <c r="V3" s="5" t="s">
        <v>93</v>
      </c>
      <c r="W3" s="5" t="s">
        <v>94</v>
      </c>
      <c r="X3" s="5" t="s">
        <v>94</v>
      </c>
      <c r="Y3" s="5" t="s">
        <v>95</v>
      </c>
      <c r="Z3" s="5" t="s">
        <v>95</v>
      </c>
      <c r="AA3" s="5" t="s">
        <v>96</v>
      </c>
      <c r="AB3" s="5" t="s">
        <v>96</v>
      </c>
      <c r="AC3" s="5" t="s">
        <v>84</v>
      </c>
      <c r="AD3" s="5" t="s">
        <v>85</v>
      </c>
      <c r="AE3" s="5" t="s">
        <v>86</v>
      </c>
      <c r="AF3" s="5" t="s">
        <v>87</v>
      </c>
      <c r="AG3" s="5" t="s">
        <v>88</v>
      </c>
      <c r="AH3" s="5" t="s">
        <v>89</v>
      </c>
      <c r="AI3" s="5" t="s">
        <v>90</v>
      </c>
      <c r="AJ3" s="5" t="s">
        <v>91</v>
      </c>
      <c r="AK3" s="5" t="s">
        <v>92</v>
      </c>
      <c r="AL3" s="5" t="s">
        <v>93</v>
      </c>
      <c r="AM3" s="5" t="s">
        <v>94</v>
      </c>
      <c r="AN3" s="5" t="s">
        <v>95</v>
      </c>
      <c r="AO3" s="5" t="s">
        <v>96</v>
      </c>
    </row>
    <row r="4" spans="1:41" s="1" customFormat="1" x14ac:dyDescent="0.3">
      <c r="A4" s="5"/>
      <c r="B4" s="5"/>
      <c r="C4" s="5" t="s">
        <v>97</v>
      </c>
      <c r="D4" s="5" t="s">
        <v>98</v>
      </c>
      <c r="E4" s="5" t="s">
        <v>97</v>
      </c>
      <c r="F4" s="5" t="s">
        <v>98</v>
      </c>
      <c r="G4" s="5" t="s">
        <v>97</v>
      </c>
      <c r="H4" s="5" t="s">
        <v>98</v>
      </c>
      <c r="I4" s="5" t="s">
        <v>97</v>
      </c>
      <c r="J4" s="5" t="s">
        <v>98</v>
      </c>
      <c r="K4" s="5" t="s">
        <v>97</v>
      </c>
      <c r="L4" s="5" t="s">
        <v>98</v>
      </c>
      <c r="M4" s="5" t="s">
        <v>97</v>
      </c>
      <c r="N4" s="5" t="s">
        <v>98</v>
      </c>
      <c r="O4" s="5" t="s">
        <v>97</v>
      </c>
      <c r="P4" s="5" t="s">
        <v>98</v>
      </c>
      <c r="Q4" s="5" t="s">
        <v>97</v>
      </c>
      <c r="R4" s="5" t="s">
        <v>98</v>
      </c>
      <c r="S4" s="5" t="s">
        <v>97</v>
      </c>
      <c r="T4" s="5" t="s">
        <v>98</v>
      </c>
      <c r="U4" s="5" t="s">
        <v>97</v>
      </c>
      <c r="V4" s="5" t="s">
        <v>98</v>
      </c>
      <c r="W4" s="5" t="s">
        <v>97</v>
      </c>
      <c r="X4" s="5" t="s">
        <v>98</v>
      </c>
      <c r="Y4" s="5" t="s">
        <v>97</v>
      </c>
      <c r="Z4" s="5" t="s">
        <v>98</v>
      </c>
      <c r="AA4" s="5" t="s">
        <v>97</v>
      </c>
      <c r="AB4" s="5" t="s">
        <v>98</v>
      </c>
      <c r="AC4" s="5" t="s">
        <v>99</v>
      </c>
      <c r="AD4" s="5" t="s">
        <v>99</v>
      </c>
      <c r="AE4" s="5" t="s">
        <v>99</v>
      </c>
      <c r="AF4" s="5" t="s">
        <v>99</v>
      </c>
      <c r="AG4" s="5" t="s">
        <v>99</v>
      </c>
      <c r="AH4" s="5" t="s">
        <v>99</v>
      </c>
      <c r="AI4" s="5" t="s">
        <v>99</v>
      </c>
      <c r="AJ4" s="5" t="s">
        <v>99</v>
      </c>
      <c r="AK4" s="5" t="s">
        <v>99</v>
      </c>
      <c r="AL4" s="5" t="s">
        <v>99</v>
      </c>
      <c r="AM4" s="5" t="s">
        <v>99</v>
      </c>
      <c r="AN4" s="5" t="s">
        <v>99</v>
      </c>
      <c r="AO4" s="5" t="s">
        <v>99</v>
      </c>
    </row>
    <row r="5" spans="1:41" x14ac:dyDescent="0.3">
      <c r="A5" s="2" t="s">
        <v>314</v>
      </c>
      <c r="B5" s="2" t="s">
        <v>329</v>
      </c>
      <c r="C5" s="3">
        <v>0</v>
      </c>
      <c r="D5" s="3">
        <v>0.318</v>
      </c>
      <c r="E5" s="3">
        <v>0</v>
      </c>
      <c r="F5" s="3">
        <v>0.33</v>
      </c>
      <c r="G5" s="3">
        <v>0</v>
      </c>
      <c r="H5" s="3">
        <v>0.45700000000000002</v>
      </c>
      <c r="I5" s="3">
        <v>0</v>
      </c>
      <c r="J5" s="3">
        <v>0.25900000000000001</v>
      </c>
      <c r="K5" s="3">
        <v>0</v>
      </c>
      <c r="L5" s="3">
        <v>0.70599999999999996</v>
      </c>
      <c r="M5" s="3">
        <v>0</v>
      </c>
      <c r="N5" s="3">
        <v>0.80300000000000005</v>
      </c>
      <c r="O5" s="3">
        <v>0</v>
      </c>
      <c r="P5" s="3">
        <v>0.80300000000000005</v>
      </c>
      <c r="Q5" s="3">
        <v>0</v>
      </c>
      <c r="R5" s="3">
        <v>0.34300000000000003</v>
      </c>
      <c r="S5" s="3">
        <v>0</v>
      </c>
      <c r="T5" s="3">
        <v>0.34300000000000003</v>
      </c>
      <c r="U5" s="3">
        <v>0</v>
      </c>
      <c r="V5" s="3">
        <v>0.56599999999999995</v>
      </c>
      <c r="W5" s="3">
        <v>0</v>
      </c>
      <c r="X5" s="3">
        <v>0.39300000000000002</v>
      </c>
      <c r="Y5" s="3">
        <v>0</v>
      </c>
      <c r="Z5" s="3">
        <v>0.66400000000000003</v>
      </c>
      <c r="AA5" s="3">
        <v>0</v>
      </c>
      <c r="AB5" s="3">
        <v>0.64300000000000002</v>
      </c>
      <c r="AC5" s="3">
        <v>0.87050000000000005</v>
      </c>
      <c r="AD5" s="3">
        <v>0.79</v>
      </c>
      <c r="AE5" s="3">
        <v>0.77800000000000002</v>
      </c>
      <c r="AF5" s="3">
        <v>0.84366666700000004</v>
      </c>
      <c r="AG5" s="3">
        <v>0.79925000000000002</v>
      </c>
      <c r="AH5" s="3">
        <v>0.86799999999999999</v>
      </c>
      <c r="AI5" s="3">
        <v>0.76749999999999996</v>
      </c>
      <c r="AJ5" s="3">
        <v>0.72799999999999998</v>
      </c>
      <c r="AK5" s="3">
        <v>0.80549999999999999</v>
      </c>
      <c r="AL5" s="3">
        <v>0.81599999999999995</v>
      </c>
      <c r="AM5" s="3">
        <v>0.01</v>
      </c>
      <c r="AN5" s="3">
        <v>0.81066666700000001</v>
      </c>
      <c r="AO5" s="3">
        <v>0.89</v>
      </c>
    </row>
    <row r="6" spans="1:41" x14ac:dyDescent="0.3">
      <c r="A6" s="2" t="s">
        <v>314</v>
      </c>
      <c r="B6" s="2" t="s">
        <v>330</v>
      </c>
      <c r="C6" s="3">
        <v>0</v>
      </c>
      <c r="D6" s="3">
        <v>0.314</v>
      </c>
      <c r="E6" s="3">
        <v>0</v>
      </c>
      <c r="F6" s="3">
        <v>0.34200000000000003</v>
      </c>
      <c r="G6" s="3">
        <v>0</v>
      </c>
      <c r="H6" s="3">
        <v>0.46300000000000002</v>
      </c>
      <c r="I6" s="3">
        <v>0</v>
      </c>
      <c r="J6" s="3">
        <v>0.27</v>
      </c>
      <c r="K6" s="3">
        <v>0</v>
      </c>
      <c r="L6" s="3">
        <v>0.70199999999999996</v>
      </c>
      <c r="M6" s="3">
        <v>0</v>
      </c>
      <c r="N6" s="3">
        <v>0.79600000000000004</v>
      </c>
      <c r="O6" s="3">
        <v>0</v>
      </c>
      <c r="P6" s="3">
        <v>0.79600000000000004</v>
      </c>
      <c r="Q6" s="3">
        <v>0</v>
      </c>
      <c r="R6" s="3">
        <v>0.36699999999999999</v>
      </c>
      <c r="S6" s="3">
        <v>0</v>
      </c>
      <c r="T6" s="3">
        <v>0.371</v>
      </c>
      <c r="U6" s="3">
        <v>0</v>
      </c>
      <c r="V6" s="3">
        <v>0.58799999999999997</v>
      </c>
      <c r="W6" s="3">
        <v>0</v>
      </c>
      <c r="X6" s="3">
        <v>0.40500000000000003</v>
      </c>
      <c r="Y6" s="3">
        <v>0</v>
      </c>
      <c r="Z6" s="3">
        <v>0.67900000000000005</v>
      </c>
      <c r="AA6" s="3">
        <v>0</v>
      </c>
      <c r="AB6" s="3">
        <v>0.65100000000000002</v>
      </c>
      <c r="AC6" s="3">
        <v>0.85750000000000004</v>
      </c>
      <c r="AD6" s="3">
        <v>0.80449999999999999</v>
      </c>
      <c r="AE6" s="3">
        <v>0.78500000000000003</v>
      </c>
      <c r="AF6" s="3">
        <v>0.81499999999999995</v>
      </c>
      <c r="AG6" s="3">
        <v>0.79691666699999997</v>
      </c>
      <c r="AH6" s="3">
        <v>0.86</v>
      </c>
      <c r="AI6" s="3">
        <v>0.78149999999999997</v>
      </c>
      <c r="AJ6" s="3">
        <v>0.73633333300000003</v>
      </c>
      <c r="AK6" s="3">
        <v>0.81299999999999994</v>
      </c>
      <c r="AL6" s="3">
        <v>0.84833333300000002</v>
      </c>
      <c r="AM6" s="3">
        <v>0.01</v>
      </c>
      <c r="AN6" s="3">
        <v>0.81</v>
      </c>
      <c r="AO6" s="3">
        <v>0.89300000000000002</v>
      </c>
    </row>
    <row r="7" spans="1:41" x14ac:dyDescent="0.3">
      <c r="A7" s="2" t="s">
        <v>314</v>
      </c>
      <c r="B7" s="2" t="s">
        <v>331</v>
      </c>
      <c r="C7" s="3">
        <v>0</v>
      </c>
      <c r="D7" s="3">
        <v>0.33300000000000002</v>
      </c>
      <c r="E7" s="3">
        <v>0</v>
      </c>
      <c r="F7" s="3">
        <v>0.34899999999999998</v>
      </c>
      <c r="G7" s="3">
        <v>0</v>
      </c>
      <c r="H7" s="3">
        <v>0.45800000000000002</v>
      </c>
      <c r="I7" s="3">
        <v>0</v>
      </c>
      <c r="J7" s="3">
        <v>0.28899999999999998</v>
      </c>
      <c r="K7" s="3">
        <v>0</v>
      </c>
      <c r="L7" s="3">
        <v>0.69599999999999995</v>
      </c>
      <c r="M7" s="3">
        <v>0</v>
      </c>
      <c r="N7" s="3">
        <v>0.77900000000000003</v>
      </c>
      <c r="O7" s="3">
        <v>0</v>
      </c>
      <c r="P7" s="3">
        <v>0.77900000000000003</v>
      </c>
      <c r="Q7" s="3">
        <v>0</v>
      </c>
      <c r="R7" s="3">
        <v>0.39700000000000002</v>
      </c>
      <c r="S7" s="3">
        <v>0</v>
      </c>
      <c r="T7" s="3">
        <v>0.40899999999999997</v>
      </c>
      <c r="U7" s="3">
        <v>0</v>
      </c>
      <c r="V7" s="3">
        <v>0.61599999999999999</v>
      </c>
      <c r="W7" s="3">
        <v>0</v>
      </c>
      <c r="X7" s="3">
        <v>0.41299999999999998</v>
      </c>
      <c r="Y7" s="3">
        <v>0</v>
      </c>
      <c r="Z7" s="3">
        <v>0.69699999999999995</v>
      </c>
      <c r="AA7" s="3">
        <v>0</v>
      </c>
      <c r="AB7" s="3">
        <v>0.65500000000000003</v>
      </c>
      <c r="AC7" s="3">
        <v>0.83350000000000002</v>
      </c>
      <c r="AD7" s="3">
        <v>0.82499999999999996</v>
      </c>
      <c r="AE7" s="3">
        <v>0.70650000000000002</v>
      </c>
      <c r="AF7" s="3">
        <v>0.75466666699999996</v>
      </c>
      <c r="AG7" s="3">
        <v>0.78658333400000002</v>
      </c>
      <c r="AH7" s="3">
        <v>0.83099999999999996</v>
      </c>
      <c r="AI7" s="3">
        <v>0.80600000000000005</v>
      </c>
      <c r="AJ7" s="3">
        <v>0.73966666700000006</v>
      </c>
      <c r="AK7" s="3">
        <v>0.82899999999999996</v>
      </c>
      <c r="AL7" s="3">
        <v>0.875</v>
      </c>
      <c r="AM7" s="3">
        <v>0.01</v>
      </c>
      <c r="AN7" s="3">
        <v>0.77233333299999996</v>
      </c>
      <c r="AO7" s="3">
        <v>0.89800000000000002</v>
      </c>
    </row>
    <row r="8" spans="1:41" x14ac:dyDescent="0.3">
      <c r="A8" s="2" t="s">
        <v>314</v>
      </c>
      <c r="B8" s="2" t="s">
        <v>332</v>
      </c>
      <c r="C8" s="3">
        <v>0</v>
      </c>
      <c r="D8" s="3">
        <v>0.35099999999999998</v>
      </c>
      <c r="E8" s="3">
        <v>0</v>
      </c>
      <c r="F8" s="3">
        <v>0.33300000000000002</v>
      </c>
      <c r="G8" s="3">
        <v>0</v>
      </c>
      <c r="H8" s="3">
        <v>0.46</v>
      </c>
      <c r="I8" s="3">
        <v>0</v>
      </c>
      <c r="J8" s="3">
        <v>0.313</v>
      </c>
      <c r="K8" s="3">
        <v>0</v>
      </c>
      <c r="L8" s="3">
        <v>0.70199999999999996</v>
      </c>
      <c r="M8" s="3">
        <v>0</v>
      </c>
      <c r="N8" s="3">
        <v>0.75</v>
      </c>
      <c r="O8" s="3">
        <v>0</v>
      </c>
      <c r="P8" s="3">
        <v>0.75</v>
      </c>
      <c r="Q8" s="3">
        <v>0</v>
      </c>
      <c r="R8" s="3">
        <v>0.42299999999999999</v>
      </c>
      <c r="S8" s="3">
        <v>0</v>
      </c>
      <c r="T8" s="3">
        <v>0.436</v>
      </c>
      <c r="U8" s="3">
        <v>0</v>
      </c>
      <c r="V8" s="3">
        <v>0.61299999999999999</v>
      </c>
      <c r="W8" s="3">
        <v>0</v>
      </c>
      <c r="X8" s="3">
        <v>0.41599999999999998</v>
      </c>
      <c r="Y8" s="3">
        <v>0</v>
      </c>
      <c r="Z8" s="3">
        <v>0.72099999999999997</v>
      </c>
      <c r="AA8" s="3">
        <v>0</v>
      </c>
      <c r="AB8" s="3">
        <v>0.65800000000000003</v>
      </c>
      <c r="AC8" s="3">
        <v>0.82350000000000001</v>
      </c>
      <c r="AD8" s="3">
        <v>0.85599999999999998</v>
      </c>
      <c r="AE8" s="3">
        <v>0.69099999999999995</v>
      </c>
      <c r="AF8" s="3">
        <v>0.755</v>
      </c>
      <c r="AG8" s="3">
        <v>0.79325000000000001</v>
      </c>
      <c r="AH8" s="3">
        <v>0.80300000000000005</v>
      </c>
      <c r="AI8" s="3">
        <v>0.82099999999999995</v>
      </c>
      <c r="AJ8" s="3">
        <v>0.76300000000000001</v>
      </c>
      <c r="AK8" s="3">
        <v>0.84550000000000003</v>
      </c>
      <c r="AL8" s="3">
        <v>0.90233333299999996</v>
      </c>
      <c r="AM8" s="3">
        <v>0.01</v>
      </c>
      <c r="AN8" s="3">
        <v>0.74466666699999995</v>
      </c>
      <c r="AO8" s="3">
        <v>0.86199999999999999</v>
      </c>
    </row>
    <row r="9" spans="1:41" x14ac:dyDescent="0.3">
      <c r="A9" s="2" t="s">
        <v>314</v>
      </c>
      <c r="B9" s="2" t="s">
        <v>333</v>
      </c>
      <c r="C9" s="3">
        <v>0</v>
      </c>
      <c r="D9" s="3">
        <v>0.38</v>
      </c>
      <c r="E9" s="3">
        <v>0</v>
      </c>
      <c r="F9" s="3">
        <v>0.32100000000000001</v>
      </c>
      <c r="G9" s="3">
        <v>0</v>
      </c>
      <c r="H9" s="3">
        <v>0.45500000000000002</v>
      </c>
      <c r="I9" s="3">
        <v>0</v>
      </c>
      <c r="J9" s="3">
        <v>0.33800000000000002</v>
      </c>
      <c r="K9" s="3">
        <v>0</v>
      </c>
      <c r="L9" s="3">
        <v>0.73799999999999999</v>
      </c>
      <c r="M9" s="3">
        <v>0</v>
      </c>
      <c r="N9" s="3">
        <v>0.70399999999999996</v>
      </c>
      <c r="O9" s="3">
        <v>0</v>
      </c>
      <c r="P9" s="3">
        <v>0.70399999999999996</v>
      </c>
      <c r="Q9" s="3">
        <v>0</v>
      </c>
      <c r="R9" s="3">
        <v>0.44900000000000001</v>
      </c>
      <c r="S9" s="3">
        <v>0</v>
      </c>
      <c r="T9" s="3">
        <v>0.45700000000000002</v>
      </c>
      <c r="U9" s="3">
        <v>0</v>
      </c>
      <c r="V9" s="3">
        <v>0.63200000000000001</v>
      </c>
      <c r="W9" s="3">
        <v>0</v>
      </c>
      <c r="X9" s="3">
        <v>0.40300000000000002</v>
      </c>
      <c r="Y9" s="3">
        <v>0</v>
      </c>
      <c r="Z9" s="3">
        <v>0.748</v>
      </c>
      <c r="AA9" s="3">
        <v>0</v>
      </c>
      <c r="AB9" s="3">
        <v>0.65200000000000002</v>
      </c>
      <c r="AC9" s="3">
        <v>0.84850000000000003</v>
      </c>
      <c r="AD9" s="3">
        <v>0.86050000000000004</v>
      </c>
      <c r="AE9" s="3">
        <v>0.72950000000000004</v>
      </c>
      <c r="AF9" s="3">
        <v>0.79033333299999997</v>
      </c>
      <c r="AG9" s="3">
        <v>0.83574999999999999</v>
      </c>
      <c r="AH9" s="3">
        <v>0.83599999999999997</v>
      </c>
      <c r="AI9" s="3">
        <v>0.82299999999999995</v>
      </c>
      <c r="AJ9" s="3">
        <v>0.82299999999999995</v>
      </c>
      <c r="AK9" s="3">
        <v>0.86550000000000005</v>
      </c>
      <c r="AL9" s="3">
        <v>0.91833333299999997</v>
      </c>
      <c r="AM9" s="3">
        <v>0.01</v>
      </c>
      <c r="AN9" s="3">
        <v>0.77700000000000002</v>
      </c>
      <c r="AO9" s="3">
        <v>0.83199999999999996</v>
      </c>
    </row>
    <row r="10" spans="1:41" x14ac:dyDescent="0.3">
      <c r="A10" s="2" t="s">
        <v>314</v>
      </c>
      <c r="B10" s="2" t="s">
        <v>334</v>
      </c>
      <c r="C10" s="3">
        <v>0</v>
      </c>
      <c r="D10" s="3">
        <v>0.41799999999999998</v>
      </c>
      <c r="E10" s="3">
        <v>0</v>
      </c>
      <c r="F10" s="3">
        <v>0.34100000000000003</v>
      </c>
      <c r="G10" s="3">
        <v>0</v>
      </c>
      <c r="H10" s="3">
        <v>0.45400000000000001</v>
      </c>
      <c r="I10" s="3">
        <v>0</v>
      </c>
      <c r="J10" s="3">
        <v>0.36099999999999999</v>
      </c>
      <c r="K10" s="3">
        <v>0</v>
      </c>
      <c r="L10" s="3">
        <v>0.77800000000000002</v>
      </c>
      <c r="M10" s="3">
        <v>0</v>
      </c>
      <c r="N10" s="3">
        <v>0.65700000000000003</v>
      </c>
      <c r="O10" s="3">
        <v>0</v>
      </c>
      <c r="P10" s="3">
        <v>0.65700000000000003</v>
      </c>
      <c r="Q10" s="3">
        <v>0</v>
      </c>
      <c r="R10" s="3">
        <v>0.46600000000000003</v>
      </c>
      <c r="S10" s="3">
        <v>0</v>
      </c>
      <c r="T10" s="3">
        <v>0.47</v>
      </c>
      <c r="U10" s="3">
        <v>0</v>
      </c>
      <c r="V10" s="3">
        <v>0.66500000000000004</v>
      </c>
      <c r="W10" s="3">
        <v>0</v>
      </c>
      <c r="X10" s="3">
        <v>0.41599999999999998</v>
      </c>
      <c r="Y10" s="3">
        <v>0</v>
      </c>
      <c r="Z10" s="3">
        <v>0.755</v>
      </c>
      <c r="AA10" s="3">
        <v>0</v>
      </c>
      <c r="AB10" s="3">
        <v>0.65</v>
      </c>
      <c r="AC10" s="3">
        <v>0.87</v>
      </c>
      <c r="AD10" s="3">
        <v>0.86399999999999999</v>
      </c>
      <c r="AE10" s="3">
        <v>0.76449999999999996</v>
      </c>
      <c r="AF10" s="3">
        <v>0.79566666699999999</v>
      </c>
      <c r="AG10" s="3">
        <v>0.85750000000000004</v>
      </c>
      <c r="AH10" s="3">
        <v>0.84599999999999997</v>
      </c>
      <c r="AI10" s="3">
        <v>0.87450000000000006</v>
      </c>
      <c r="AJ10" s="3">
        <v>0.84499999999999997</v>
      </c>
      <c r="AK10" s="3">
        <v>0.87</v>
      </c>
      <c r="AL10" s="3">
        <v>0.924666667</v>
      </c>
      <c r="AM10" s="3">
        <v>0.01</v>
      </c>
      <c r="AN10" s="3">
        <v>0.80300000000000005</v>
      </c>
      <c r="AO10" s="3">
        <v>0.83699999999999997</v>
      </c>
    </row>
    <row r="11" spans="1:41" x14ac:dyDescent="0.3">
      <c r="A11" s="2" t="s">
        <v>314</v>
      </c>
      <c r="B11" s="2" t="s">
        <v>335</v>
      </c>
      <c r="C11" s="3">
        <v>0</v>
      </c>
      <c r="D11" s="3">
        <v>0.44500000000000001</v>
      </c>
      <c r="E11" s="3">
        <v>0</v>
      </c>
      <c r="F11" s="3">
        <v>0.374</v>
      </c>
      <c r="G11" s="3">
        <v>0</v>
      </c>
      <c r="H11" s="3">
        <v>0.46899999999999997</v>
      </c>
      <c r="I11" s="3">
        <v>0</v>
      </c>
      <c r="J11" s="3">
        <v>0.37</v>
      </c>
      <c r="K11" s="3">
        <v>0</v>
      </c>
      <c r="L11" s="3">
        <v>0.80500000000000005</v>
      </c>
      <c r="M11" s="3">
        <v>0</v>
      </c>
      <c r="N11" s="3">
        <v>0.61199999999999999</v>
      </c>
      <c r="O11" s="3">
        <v>0</v>
      </c>
      <c r="P11" s="3">
        <v>0.61199999999999999</v>
      </c>
      <c r="Q11" s="3">
        <v>0</v>
      </c>
      <c r="R11" s="3">
        <v>0.47799999999999998</v>
      </c>
      <c r="S11" s="3">
        <v>0</v>
      </c>
      <c r="T11" s="3">
        <v>0.47599999999999998</v>
      </c>
      <c r="U11" s="3">
        <v>0</v>
      </c>
      <c r="V11" s="3">
        <v>0.68400000000000005</v>
      </c>
      <c r="W11" s="3">
        <v>0</v>
      </c>
      <c r="X11" s="3">
        <v>0.45800000000000002</v>
      </c>
      <c r="Y11" s="3">
        <v>0</v>
      </c>
      <c r="Z11" s="3">
        <v>0.75</v>
      </c>
      <c r="AA11" s="3">
        <v>0</v>
      </c>
      <c r="AB11" s="3">
        <v>0.66900000000000004</v>
      </c>
      <c r="AC11" s="3">
        <v>0.88400000000000001</v>
      </c>
      <c r="AD11" s="3">
        <v>0.872</v>
      </c>
      <c r="AE11" s="3">
        <v>0.76249999999999996</v>
      </c>
      <c r="AF11" s="3">
        <v>0.80433333299999998</v>
      </c>
      <c r="AG11" s="3">
        <v>0.87583333399999996</v>
      </c>
      <c r="AH11" s="3">
        <v>0.83899999999999997</v>
      </c>
      <c r="AI11" s="3">
        <v>0.9345</v>
      </c>
      <c r="AJ11" s="3">
        <v>0.86766666699999995</v>
      </c>
      <c r="AK11" s="3">
        <v>0.86050000000000004</v>
      </c>
      <c r="AL11" s="3">
        <v>0.90766666699999998</v>
      </c>
      <c r="AM11" s="3">
        <v>0.01</v>
      </c>
      <c r="AN11" s="3">
        <v>0.82699999999999996</v>
      </c>
      <c r="AO11" s="3">
        <v>0.86499999999999999</v>
      </c>
    </row>
    <row r="12" spans="1:41" x14ac:dyDescent="0.3">
      <c r="A12" s="2" t="s">
        <v>314</v>
      </c>
      <c r="B12" s="2" t="s">
        <v>336</v>
      </c>
      <c r="C12" s="3">
        <v>0</v>
      </c>
      <c r="D12" s="3">
        <v>0.44700000000000001</v>
      </c>
      <c r="E12" s="3">
        <v>0</v>
      </c>
      <c r="F12" s="3">
        <v>0.4</v>
      </c>
      <c r="G12" s="3">
        <v>0</v>
      </c>
      <c r="H12" s="3">
        <v>0.47699999999999998</v>
      </c>
      <c r="I12" s="3">
        <v>0</v>
      </c>
      <c r="J12" s="3">
        <v>0.35499999999999998</v>
      </c>
      <c r="K12" s="3">
        <v>0</v>
      </c>
      <c r="L12" s="3">
        <v>0.82</v>
      </c>
      <c r="M12" s="3">
        <v>0</v>
      </c>
      <c r="N12" s="3">
        <v>0.59299999999999997</v>
      </c>
      <c r="O12" s="3">
        <v>0</v>
      </c>
      <c r="P12" s="3">
        <v>0.59299999999999997</v>
      </c>
      <c r="Q12" s="3">
        <v>0</v>
      </c>
      <c r="R12" s="3">
        <v>0.47199999999999998</v>
      </c>
      <c r="S12" s="3">
        <v>0</v>
      </c>
      <c r="T12" s="3">
        <v>0.47299999999999998</v>
      </c>
      <c r="U12" s="3">
        <v>0</v>
      </c>
      <c r="V12" s="3">
        <v>0.7</v>
      </c>
      <c r="W12" s="3">
        <v>0</v>
      </c>
      <c r="X12" s="3">
        <v>0.47899999999999998</v>
      </c>
      <c r="Y12" s="3">
        <v>0</v>
      </c>
      <c r="Z12" s="3">
        <v>0.755</v>
      </c>
      <c r="AA12" s="3">
        <v>0</v>
      </c>
      <c r="AB12" s="3">
        <v>0.68300000000000005</v>
      </c>
      <c r="AC12" s="3">
        <v>0.87450000000000006</v>
      </c>
      <c r="AD12" s="3">
        <v>0.89</v>
      </c>
      <c r="AE12" s="3">
        <v>0.77749999999999997</v>
      </c>
      <c r="AF12" s="3">
        <v>0.83766666700000003</v>
      </c>
      <c r="AG12" s="3">
        <v>0.87275000000000003</v>
      </c>
      <c r="AH12" s="3">
        <v>0.84599999999999997</v>
      </c>
      <c r="AI12" s="3">
        <v>0.96099999999999997</v>
      </c>
      <c r="AJ12" s="3">
        <v>0.871</v>
      </c>
      <c r="AK12" s="3">
        <v>0.85450000000000004</v>
      </c>
      <c r="AL12" s="3">
        <v>0.87133333300000004</v>
      </c>
      <c r="AM12" s="3">
        <v>0.01</v>
      </c>
      <c r="AN12" s="3">
        <v>0.82666666700000002</v>
      </c>
      <c r="AO12" s="3">
        <v>0.85599999999999998</v>
      </c>
    </row>
    <row r="13" spans="1:41" x14ac:dyDescent="0.3">
      <c r="A13" s="2" t="s">
        <v>314</v>
      </c>
      <c r="B13" s="2" t="s">
        <v>337</v>
      </c>
      <c r="C13" s="3">
        <v>6.0000000000000001E-3</v>
      </c>
      <c r="D13" s="3">
        <v>0.432</v>
      </c>
      <c r="E13" s="3">
        <v>6.6000000000000003E-2</v>
      </c>
      <c r="F13" s="3">
        <v>0.40799999999999997</v>
      </c>
      <c r="G13" s="3">
        <v>7.9000000000000001E-2</v>
      </c>
      <c r="H13" s="3">
        <v>0.48499999999999999</v>
      </c>
      <c r="I13" s="3">
        <v>6.0000000000000001E-3</v>
      </c>
      <c r="J13" s="3">
        <v>0.35499999999999998</v>
      </c>
      <c r="K13" s="3">
        <v>5.0000000000000001E-3</v>
      </c>
      <c r="L13" s="3">
        <v>0.82799999999999996</v>
      </c>
      <c r="M13" s="3">
        <v>4.8000000000000001E-2</v>
      </c>
      <c r="N13" s="3">
        <v>0.59</v>
      </c>
      <c r="O13" s="3">
        <v>0</v>
      </c>
      <c r="P13" s="3">
        <v>0.59</v>
      </c>
      <c r="Q13" s="3">
        <v>7.0000000000000001E-3</v>
      </c>
      <c r="R13" s="3">
        <v>0.46400000000000002</v>
      </c>
      <c r="S13" s="3">
        <v>8.0000000000000002E-3</v>
      </c>
      <c r="T13" s="3">
        <v>0.46300000000000002</v>
      </c>
      <c r="U13" s="3">
        <v>8.9999999999999993E-3</v>
      </c>
      <c r="V13" s="3">
        <v>0.70399999999999996</v>
      </c>
      <c r="W13" s="3">
        <v>2.3E-2</v>
      </c>
      <c r="X13" s="3">
        <v>0.47399999999999998</v>
      </c>
      <c r="Y13" s="3">
        <v>0.04</v>
      </c>
      <c r="Z13" s="3">
        <v>0.78200000000000003</v>
      </c>
      <c r="AA13" s="3">
        <v>0.04</v>
      </c>
      <c r="AB13" s="3">
        <v>0.73099999999999998</v>
      </c>
      <c r="AC13" s="3">
        <v>0.87450000000000006</v>
      </c>
      <c r="AD13" s="3">
        <v>0.878</v>
      </c>
      <c r="AE13" s="3">
        <v>0.78849999999999998</v>
      </c>
      <c r="AF13" s="3">
        <v>0.85733333300000003</v>
      </c>
      <c r="AG13" s="3">
        <v>0.85824999999999996</v>
      </c>
      <c r="AH13" s="3">
        <v>0.85099999999999998</v>
      </c>
      <c r="AI13" s="3">
        <v>0.96899999999999997</v>
      </c>
      <c r="AJ13" s="3">
        <v>0.84199999999999997</v>
      </c>
      <c r="AK13" s="3">
        <v>0.83550000000000002</v>
      </c>
      <c r="AL13" s="3">
        <v>0.89300000000000002</v>
      </c>
      <c r="AM13" s="3">
        <v>0.01</v>
      </c>
      <c r="AN13" s="3">
        <v>0.80866666700000001</v>
      </c>
      <c r="AO13" s="3">
        <v>0.82599999999999996</v>
      </c>
    </row>
    <row r="14" spans="1:41" x14ac:dyDescent="0.3">
      <c r="A14" s="2" t="s">
        <v>314</v>
      </c>
      <c r="B14" s="2" t="s">
        <v>338</v>
      </c>
      <c r="C14" s="3">
        <v>0.13600000000000001</v>
      </c>
      <c r="D14" s="3">
        <v>0.46</v>
      </c>
      <c r="E14" s="3">
        <v>0.26900000000000002</v>
      </c>
      <c r="F14" s="3">
        <v>0.433</v>
      </c>
      <c r="G14" s="3">
        <v>0.24</v>
      </c>
      <c r="H14" s="3">
        <v>0.54500000000000004</v>
      </c>
      <c r="I14" s="3">
        <v>3.9E-2</v>
      </c>
      <c r="J14" s="3">
        <v>0.38700000000000001</v>
      </c>
      <c r="K14" s="3">
        <v>6.5000000000000002E-2</v>
      </c>
      <c r="L14" s="3">
        <v>0.83299999999999996</v>
      </c>
      <c r="M14" s="3">
        <v>0.13200000000000001</v>
      </c>
      <c r="N14" s="3">
        <v>0.58599999999999997</v>
      </c>
      <c r="O14" s="3">
        <v>3.2000000000000001E-2</v>
      </c>
      <c r="P14" s="3">
        <v>0.58599999999999997</v>
      </c>
      <c r="Q14" s="3">
        <v>2.5999999999999999E-2</v>
      </c>
      <c r="R14" s="3">
        <v>0.44800000000000001</v>
      </c>
      <c r="S14" s="3">
        <v>9.1999999999999998E-2</v>
      </c>
      <c r="T14" s="3">
        <v>0.45700000000000002</v>
      </c>
      <c r="U14" s="3">
        <v>9.2999999999999999E-2</v>
      </c>
      <c r="V14" s="3">
        <v>0.70399999999999996</v>
      </c>
      <c r="W14" s="3">
        <v>0.125</v>
      </c>
      <c r="X14" s="3">
        <v>0.54600000000000004</v>
      </c>
      <c r="Y14" s="3">
        <v>0.217</v>
      </c>
      <c r="Z14" s="3">
        <v>0.80300000000000005</v>
      </c>
      <c r="AA14" s="3">
        <v>0.14599999999999999</v>
      </c>
      <c r="AB14" s="3">
        <v>0.76300000000000001</v>
      </c>
      <c r="AC14" s="3">
        <v>0.88049999999999995</v>
      </c>
      <c r="AD14" s="3">
        <v>0.80649999999999999</v>
      </c>
      <c r="AE14" s="3">
        <v>0.80449999999999999</v>
      </c>
      <c r="AF14" s="3">
        <v>0.87833333300000005</v>
      </c>
      <c r="AG14" s="3">
        <v>0.82725000000000004</v>
      </c>
      <c r="AH14" s="3">
        <v>0.85799999999999998</v>
      </c>
      <c r="AI14" s="3">
        <v>0.96499999999999997</v>
      </c>
      <c r="AJ14" s="3">
        <v>0.77400000000000002</v>
      </c>
      <c r="AK14" s="3">
        <v>0.79649999999999999</v>
      </c>
      <c r="AL14" s="3">
        <v>0.92533333299999998</v>
      </c>
      <c r="AM14" s="3">
        <v>0.01</v>
      </c>
      <c r="AN14" s="3">
        <v>0.81299999999999994</v>
      </c>
      <c r="AO14" s="3">
        <v>0.751</v>
      </c>
    </row>
    <row r="15" spans="1:41" x14ac:dyDescent="0.3">
      <c r="A15" s="2" t="s">
        <v>314</v>
      </c>
      <c r="B15" s="2" t="s">
        <v>339</v>
      </c>
      <c r="C15" s="3">
        <v>0.38600000000000001</v>
      </c>
      <c r="D15" s="3">
        <v>0.46600000000000003</v>
      </c>
      <c r="E15" s="3">
        <v>0.33500000000000002</v>
      </c>
      <c r="F15" s="3">
        <v>0.46300000000000002</v>
      </c>
      <c r="G15" s="3">
        <v>0.249</v>
      </c>
      <c r="H15" s="3">
        <v>0.57199999999999995</v>
      </c>
      <c r="I15" s="3">
        <v>9.7000000000000003E-2</v>
      </c>
      <c r="J15" s="3">
        <v>0.38400000000000001</v>
      </c>
      <c r="K15" s="3">
        <v>0.18</v>
      </c>
      <c r="L15" s="3">
        <v>0.83299999999999996</v>
      </c>
      <c r="M15" s="3">
        <v>0.19900000000000001</v>
      </c>
      <c r="N15" s="3">
        <v>0.629</v>
      </c>
      <c r="O15" s="3">
        <v>7.0000000000000007E-2</v>
      </c>
      <c r="P15" s="3">
        <v>0.629</v>
      </c>
      <c r="Q15" s="3">
        <v>0.105</v>
      </c>
      <c r="R15" s="3">
        <v>0.42099999999999999</v>
      </c>
      <c r="S15" s="3">
        <v>0.17</v>
      </c>
      <c r="T15" s="3">
        <v>0.443</v>
      </c>
      <c r="U15" s="3">
        <v>0.17199999999999999</v>
      </c>
      <c r="V15" s="3">
        <v>0.72099999999999997</v>
      </c>
      <c r="W15" s="3">
        <v>0.24399999999999999</v>
      </c>
      <c r="X15" s="3">
        <v>0.57099999999999995</v>
      </c>
      <c r="Y15" s="3">
        <v>0.26400000000000001</v>
      </c>
      <c r="Z15" s="3">
        <v>0.8</v>
      </c>
      <c r="AA15" s="3">
        <v>0.28499999999999998</v>
      </c>
      <c r="AB15" s="3">
        <v>0.76</v>
      </c>
      <c r="AC15" s="3">
        <v>0.88200000000000001</v>
      </c>
      <c r="AD15" s="3">
        <v>0.82950000000000002</v>
      </c>
      <c r="AE15" s="3">
        <v>0.87450000000000006</v>
      </c>
      <c r="AF15" s="3">
        <v>0.89800000000000002</v>
      </c>
      <c r="AG15" s="3">
        <v>0.83033333399999998</v>
      </c>
      <c r="AH15" s="3">
        <v>0.86</v>
      </c>
      <c r="AI15" s="3">
        <v>0.96150000000000002</v>
      </c>
      <c r="AJ15" s="3">
        <v>0.77866666699999998</v>
      </c>
      <c r="AK15" s="3">
        <v>0.82299999999999995</v>
      </c>
      <c r="AL15" s="3">
        <v>0.91466666699999999</v>
      </c>
      <c r="AM15" s="3">
        <v>0.01</v>
      </c>
      <c r="AN15" s="3">
        <v>0.822333333</v>
      </c>
      <c r="AO15" s="3">
        <v>0.76100000000000001</v>
      </c>
    </row>
    <row r="16" spans="1:41" x14ac:dyDescent="0.3">
      <c r="A16" s="2" t="s">
        <v>314</v>
      </c>
      <c r="B16" s="2" t="s">
        <v>340</v>
      </c>
      <c r="C16" s="3">
        <v>0.40899999999999997</v>
      </c>
      <c r="D16" s="3">
        <v>0.46600000000000003</v>
      </c>
      <c r="E16" s="3">
        <v>0.28899999999999998</v>
      </c>
      <c r="F16" s="3">
        <v>0.48199999999999998</v>
      </c>
      <c r="G16" s="3">
        <v>0.24299999999999999</v>
      </c>
      <c r="H16" s="3">
        <v>0.6</v>
      </c>
      <c r="I16" s="3">
        <v>0.11700000000000001</v>
      </c>
      <c r="J16" s="3">
        <v>0.377</v>
      </c>
      <c r="K16" s="3">
        <v>0.33600000000000002</v>
      </c>
      <c r="L16" s="3">
        <v>0.83099999999999996</v>
      </c>
      <c r="M16" s="3">
        <v>0.23400000000000001</v>
      </c>
      <c r="N16" s="3">
        <v>0.66100000000000003</v>
      </c>
      <c r="O16" s="3">
        <v>0.11899999999999999</v>
      </c>
      <c r="P16" s="3">
        <v>0.66100000000000003</v>
      </c>
      <c r="Q16" s="3">
        <v>0.23</v>
      </c>
      <c r="R16" s="3">
        <v>0.38200000000000001</v>
      </c>
      <c r="S16" s="3">
        <v>0.28299999999999997</v>
      </c>
      <c r="T16" s="3">
        <v>0.42599999999999999</v>
      </c>
      <c r="U16" s="3">
        <v>0.28599999999999998</v>
      </c>
      <c r="V16" s="3">
        <v>0.71</v>
      </c>
      <c r="W16" s="3">
        <v>0.39600000000000002</v>
      </c>
      <c r="X16" s="3">
        <v>0.58099999999999996</v>
      </c>
      <c r="Y16" s="3">
        <v>0.30399999999999999</v>
      </c>
      <c r="Z16" s="3">
        <v>0.79</v>
      </c>
      <c r="AA16" s="3">
        <v>0.42799999999999999</v>
      </c>
      <c r="AB16" s="3">
        <v>0.75</v>
      </c>
      <c r="AC16" s="3">
        <v>0.90600000000000003</v>
      </c>
      <c r="AD16" s="3">
        <v>0.89900000000000002</v>
      </c>
      <c r="AE16" s="3">
        <v>0.91100000000000003</v>
      </c>
      <c r="AF16" s="3">
        <v>0.92200000000000004</v>
      </c>
      <c r="AG16" s="3">
        <v>0.89216666700000002</v>
      </c>
      <c r="AH16" s="3">
        <v>0.90900000000000003</v>
      </c>
      <c r="AI16" s="3">
        <v>0.96099999999999997</v>
      </c>
      <c r="AJ16" s="3">
        <v>0.87833333300000005</v>
      </c>
      <c r="AK16" s="3">
        <v>0.85350000000000004</v>
      </c>
      <c r="AL16" s="3">
        <v>0.90333333299999996</v>
      </c>
      <c r="AM16" s="3">
        <v>0.01</v>
      </c>
      <c r="AN16" s="3">
        <v>0.82966666700000002</v>
      </c>
      <c r="AO16" s="3">
        <v>0.79300000000000004</v>
      </c>
    </row>
    <row r="17" spans="1:41" x14ac:dyDescent="0.3">
      <c r="A17" s="2" t="s">
        <v>314</v>
      </c>
      <c r="B17" s="2" t="s">
        <v>341</v>
      </c>
      <c r="C17" s="3">
        <v>0.29599999999999999</v>
      </c>
      <c r="D17" s="3">
        <v>0.433</v>
      </c>
      <c r="E17" s="3">
        <v>0.17499999999999999</v>
      </c>
      <c r="F17" s="3">
        <v>0.48299999999999998</v>
      </c>
      <c r="G17" s="3">
        <v>0.13300000000000001</v>
      </c>
      <c r="H17" s="3">
        <v>0.61699999999999999</v>
      </c>
      <c r="I17" s="3">
        <v>7.0999999999999994E-2</v>
      </c>
      <c r="J17" s="3">
        <v>0.35199999999999998</v>
      </c>
      <c r="K17" s="3">
        <v>0.33500000000000002</v>
      </c>
      <c r="L17" s="3">
        <v>0.82599999999999996</v>
      </c>
      <c r="M17" s="3">
        <v>9.0999999999999998E-2</v>
      </c>
      <c r="N17" s="3">
        <v>0.66900000000000004</v>
      </c>
      <c r="O17" s="3">
        <v>9.5000000000000001E-2</v>
      </c>
      <c r="P17" s="3">
        <v>0.66900000000000004</v>
      </c>
      <c r="Q17" s="3">
        <v>0.34100000000000003</v>
      </c>
      <c r="R17" s="3">
        <v>0.33800000000000002</v>
      </c>
      <c r="S17" s="3">
        <v>0.34100000000000003</v>
      </c>
      <c r="T17" s="3">
        <v>0.40600000000000003</v>
      </c>
      <c r="U17" s="3">
        <v>0.34100000000000003</v>
      </c>
      <c r="V17" s="3">
        <v>0.71499999999999997</v>
      </c>
      <c r="W17" s="3">
        <v>0.34499999999999997</v>
      </c>
      <c r="X17" s="3">
        <v>0.57699999999999996</v>
      </c>
      <c r="Y17" s="3">
        <v>0.17599999999999999</v>
      </c>
      <c r="Z17" s="3">
        <v>0.78600000000000003</v>
      </c>
      <c r="AA17" s="3">
        <v>0.24399999999999999</v>
      </c>
      <c r="AB17" s="3">
        <v>0.73299999999999998</v>
      </c>
      <c r="AC17" s="3">
        <v>0.91849999999999998</v>
      </c>
      <c r="AD17" s="3">
        <v>0.92549999999999999</v>
      </c>
      <c r="AE17" s="3">
        <v>0.92749999999999999</v>
      </c>
      <c r="AF17" s="3">
        <v>0.928666667</v>
      </c>
      <c r="AG17" s="3">
        <v>0.88241666699999999</v>
      </c>
      <c r="AH17" s="3">
        <v>0.92</v>
      </c>
      <c r="AI17" s="3">
        <v>0.95550000000000002</v>
      </c>
      <c r="AJ17" s="3">
        <v>0.84633333300000002</v>
      </c>
      <c r="AK17" s="3">
        <v>0.82399999999999995</v>
      </c>
      <c r="AL17" s="3">
        <v>0.87366666699999995</v>
      </c>
      <c r="AM17" s="3">
        <v>0.01</v>
      </c>
      <c r="AN17" s="3">
        <v>0.83066666700000003</v>
      </c>
      <c r="AO17" s="3">
        <v>0.78300000000000003</v>
      </c>
    </row>
    <row r="18" spans="1:41" x14ac:dyDescent="0.3">
      <c r="A18" s="2" t="s">
        <v>314</v>
      </c>
      <c r="B18" s="2" t="s">
        <v>342</v>
      </c>
      <c r="C18" s="3">
        <v>0.129</v>
      </c>
      <c r="D18" s="3">
        <v>0.39400000000000002</v>
      </c>
      <c r="E18" s="3">
        <v>6.3E-2</v>
      </c>
      <c r="F18" s="3">
        <v>0.45500000000000002</v>
      </c>
      <c r="G18" s="3">
        <v>5.8000000000000003E-2</v>
      </c>
      <c r="H18" s="3">
        <v>0.60599999999999998</v>
      </c>
      <c r="I18" s="3">
        <v>5.2999999999999999E-2</v>
      </c>
      <c r="J18" s="3">
        <v>0.32800000000000001</v>
      </c>
      <c r="K18" s="3">
        <v>0.154</v>
      </c>
      <c r="L18" s="3">
        <v>0.81899999999999995</v>
      </c>
      <c r="M18" s="3">
        <v>5.5E-2</v>
      </c>
      <c r="N18" s="3">
        <v>0.66900000000000004</v>
      </c>
      <c r="O18" s="3">
        <v>0.108</v>
      </c>
      <c r="P18" s="3">
        <v>0.66900000000000004</v>
      </c>
      <c r="Q18" s="3">
        <v>0.23</v>
      </c>
      <c r="R18" s="3">
        <v>0.311</v>
      </c>
      <c r="S18" s="3">
        <v>0.159</v>
      </c>
      <c r="T18" s="3">
        <v>0.38400000000000001</v>
      </c>
      <c r="U18" s="3">
        <v>0.158</v>
      </c>
      <c r="V18" s="3">
        <v>0.72399999999999998</v>
      </c>
      <c r="W18" s="3">
        <v>0.183</v>
      </c>
      <c r="X18" s="3">
        <v>0.54900000000000004</v>
      </c>
      <c r="Y18" s="3">
        <v>6.8000000000000005E-2</v>
      </c>
      <c r="Z18" s="3">
        <v>0.78400000000000003</v>
      </c>
      <c r="AA18" s="3">
        <v>0.17199999999999999</v>
      </c>
      <c r="AB18" s="3">
        <v>0.70299999999999996</v>
      </c>
      <c r="AC18" s="3">
        <v>0.92400000000000004</v>
      </c>
      <c r="AD18" s="3">
        <v>0.9395</v>
      </c>
      <c r="AE18" s="3">
        <v>0.93049999999999999</v>
      </c>
      <c r="AF18" s="3">
        <v>0.92333333299999998</v>
      </c>
      <c r="AG18" s="3">
        <v>0.87683333399999996</v>
      </c>
      <c r="AH18" s="3">
        <v>0.91300000000000003</v>
      </c>
      <c r="AI18" s="3">
        <v>0.94950000000000001</v>
      </c>
      <c r="AJ18" s="3">
        <v>0.82966666700000002</v>
      </c>
      <c r="AK18" s="3">
        <v>0.77700000000000002</v>
      </c>
      <c r="AL18" s="3">
        <v>0.82599999999999996</v>
      </c>
      <c r="AM18" s="3">
        <v>0.01</v>
      </c>
      <c r="AN18" s="3">
        <v>0.83799999999999997</v>
      </c>
      <c r="AO18" s="3">
        <v>0.80500000000000005</v>
      </c>
    </row>
    <row r="19" spans="1:41" x14ac:dyDescent="0.3">
      <c r="A19" s="2" t="s">
        <v>314</v>
      </c>
      <c r="B19" s="2" t="s">
        <v>343</v>
      </c>
      <c r="C19" s="3">
        <v>4.1000000000000002E-2</v>
      </c>
      <c r="D19" s="3">
        <v>0.36899999999999999</v>
      </c>
      <c r="E19" s="3">
        <v>2.8000000000000001E-2</v>
      </c>
      <c r="F19" s="3">
        <v>0.41699999999999998</v>
      </c>
      <c r="G19" s="3">
        <v>3.3000000000000002E-2</v>
      </c>
      <c r="H19" s="3">
        <v>0.56799999999999995</v>
      </c>
      <c r="I19" s="3">
        <v>4.2999999999999997E-2</v>
      </c>
      <c r="J19" s="3">
        <v>0.309</v>
      </c>
      <c r="K19" s="3">
        <v>5.3999999999999999E-2</v>
      </c>
      <c r="L19" s="3">
        <v>0.82899999999999996</v>
      </c>
      <c r="M19" s="3">
        <v>4.1000000000000002E-2</v>
      </c>
      <c r="N19" s="3">
        <v>0.60499999999999998</v>
      </c>
      <c r="O19" s="3">
        <v>9.8000000000000004E-2</v>
      </c>
      <c r="P19" s="3">
        <v>0.60499999999999998</v>
      </c>
      <c r="Q19" s="3">
        <v>8.1000000000000003E-2</v>
      </c>
      <c r="R19" s="3">
        <v>0.28799999999999998</v>
      </c>
      <c r="S19" s="3">
        <v>5.3999999999999999E-2</v>
      </c>
      <c r="T19" s="3">
        <v>0.37</v>
      </c>
      <c r="U19" s="3">
        <v>5.3999999999999999E-2</v>
      </c>
      <c r="V19" s="3">
        <v>0.70199999999999996</v>
      </c>
      <c r="W19" s="3">
        <v>9.0999999999999998E-2</v>
      </c>
      <c r="X19" s="3">
        <v>0.53300000000000003</v>
      </c>
      <c r="Y19" s="3">
        <v>4.3999999999999997E-2</v>
      </c>
      <c r="Z19" s="3">
        <v>0.78600000000000003</v>
      </c>
      <c r="AA19" s="3">
        <v>8.7999999999999995E-2</v>
      </c>
      <c r="AB19" s="3">
        <v>0.65800000000000003</v>
      </c>
      <c r="AC19" s="3">
        <v>0.92149999999999999</v>
      </c>
      <c r="AD19" s="3">
        <v>0.9405</v>
      </c>
      <c r="AE19" s="3">
        <v>0.92349999999999999</v>
      </c>
      <c r="AF19" s="3">
        <v>0.90766666699999998</v>
      </c>
      <c r="AG19" s="3">
        <v>0.87675000000000003</v>
      </c>
      <c r="AH19" s="3">
        <v>0.89800000000000002</v>
      </c>
      <c r="AI19" s="3">
        <v>0.95099999999999996</v>
      </c>
      <c r="AJ19" s="3">
        <v>0.83199999999999996</v>
      </c>
      <c r="AK19" s="3">
        <v>0.74950000000000006</v>
      </c>
      <c r="AL19" s="3">
        <v>0.80700000000000005</v>
      </c>
      <c r="AM19" s="3">
        <v>0.01</v>
      </c>
      <c r="AN19" s="3">
        <v>0.83966666700000003</v>
      </c>
      <c r="AO19" s="3">
        <v>0.81799999999999995</v>
      </c>
    </row>
    <row r="20" spans="1:41" x14ac:dyDescent="0.3">
      <c r="A20" s="2" t="s">
        <v>314</v>
      </c>
      <c r="B20" s="2" t="s">
        <v>344</v>
      </c>
      <c r="C20" s="3">
        <v>8.0000000000000002E-3</v>
      </c>
      <c r="D20" s="3">
        <v>0.309</v>
      </c>
      <c r="E20" s="3">
        <v>8.0000000000000002E-3</v>
      </c>
      <c r="F20" s="3">
        <v>0.374</v>
      </c>
      <c r="G20" s="3">
        <v>1.2999999999999999E-2</v>
      </c>
      <c r="H20" s="3">
        <v>0.53300000000000003</v>
      </c>
      <c r="I20" s="3">
        <v>2.9000000000000001E-2</v>
      </c>
      <c r="J20" s="3">
        <v>0.28100000000000003</v>
      </c>
      <c r="K20" s="3">
        <v>1.2999999999999999E-2</v>
      </c>
      <c r="L20" s="3">
        <v>0.83899999999999997</v>
      </c>
      <c r="M20" s="3">
        <v>1.4999999999999999E-2</v>
      </c>
      <c r="N20" s="3">
        <v>0.58199999999999996</v>
      </c>
      <c r="O20" s="3">
        <v>2.1000000000000001E-2</v>
      </c>
      <c r="P20" s="3">
        <v>0.58199999999999996</v>
      </c>
      <c r="Q20" s="3">
        <v>1.6E-2</v>
      </c>
      <c r="R20" s="3">
        <v>0.30599999999999999</v>
      </c>
      <c r="S20" s="3">
        <v>0.02</v>
      </c>
      <c r="T20" s="3">
        <v>0.38100000000000001</v>
      </c>
      <c r="U20" s="3">
        <v>0.02</v>
      </c>
      <c r="V20" s="3">
        <v>0.625</v>
      </c>
      <c r="W20" s="3">
        <v>3.2000000000000001E-2</v>
      </c>
      <c r="X20" s="3">
        <v>0.499</v>
      </c>
      <c r="Y20" s="3">
        <v>1.7000000000000001E-2</v>
      </c>
      <c r="Z20" s="3">
        <v>0.77100000000000002</v>
      </c>
      <c r="AA20" s="3">
        <v>4.1000000000000002E-2</v>
      </c>
      <c r="AB20" s="3">
        <v>0.621</v>
      </c>
      <c r="AC20" s="3">
        <v>0.91600000000000004</v>
      </c>
      <c r="AD20" s="3">
        <v>0.93149999999999999</v>
      </c>
      <c r="AE20" s="3">
        <v>0.90649999999999997</v>
      </c>
      <c r="AF20" s="3">
        <v>0.89800000000000002</v>
      </c>
      <c r="AG20" s="3">
        <v>0.87533333400000002</v>
      </c>
      <c r="AH20" s="3">
        <v>0.88400000000000001</v>
      </c>
      <c r="AI20" s="3">
        <v>0.93</v>
      </c>
      <c r="AJ20" s="3">
        <v>0.83466666700000003</v>
      </c>
      <c r="AK20" s="3">
        <v>0.76049999999999995</v>
      </c>
      <c r="AL20" s="3">
        <v>0.81866666700000001</v>
      </c>
      <c r="AM20" s="3">
        <v>0.01</v>
      </c>
      <c r="AN20" s="3">
        <v>0.83133333300000001</v>
      </c>
      <c r="AO20" s="3">
        <v>0.81200000000000006</v>
      </c>
    </row>
    <row r="21" spans="1:41" x14ac:dyDescent="0.3">
      <c r="A21" s="2" t="s">
        <v>314</v>
      </c>
      <c r="B21" s="2" t="s">
        <v>345</v>
      </c>
      <c r="C21" s="3">
        <v>0</v>
      </c>
      <c r="D21" s="3">
        <v>0.315</v>
      </c>
      <c r="E21" s="3">
        <v>0</v>
      </c>
      <c r="F21" s="3">
        <v>0.36299999999999999</v>
      </c>
      <c r="G21" s="3">
        <v>0</v>
      </c>
      <c r="H21" s="3">
        <v>0.53300000000000003</v>
      </c>
      <c r="I21" s="3">
        <v>0</v>
      </c>
      <c r="J21" s="3">
        <v>0.373</v>
      </c>
      <c r="K21" s="3">
        <v>0</v>
      </c>
      <c r="L21" s="3">
        <v>0.83399999999999996</v>
      </c>
      <c r="M21" s="3">
        <v>0</v>
      </c>
      <c r="N21" s="3">
        <v>0.628</v>
      </c>
      <c r="O21" s="3">
        <v>0</v>
      </c>
      <c r="P21" s="3">
        <v>0.628</v>
      </c>
      <c r="Q21" s="3">
        <v>0</v>
      </c>
      <c r="R21" s="3">
        <v>0.41599999999999998</v>
      </c>
      <c r="S21" s="3">
        <v>0</v>
      </c>
      <c r="T21" s="3">
        <v>0.49199999999999999</v>
      </c>
      <c r="U21" s="3">
        <v>0</v>
      </c>
      <c r="V21" s="3">
        <v>0.625</v>
      </c>
      <c r="W21" s="3">
        <v>1E-3</v>
      </c>
      <c r="X21" s="3">
        <v>0.49399999999999999</v>
      </c>
      <c r="Y21" s="3">
        <v>0</v>
      </c>
      <c r="Z21" s="3">
        <v>0.76500000000000001</v>
      </c>
      <c r="AA21" s="3">
        <v>1E-3</v>
      </c>
      <c r="AB21" s="3">
        <v>0.66200000000000003</v>
      </c>
      <c r="AC21" s="3">
        <v>0.90700000000000003</v>
      </c>
      <c r="AD21" s="3">
        <v>0.91800000000000004</v>
      </c>
      <c r="AE21" s="3">
        <v>0.88649999999999995</v>
      </c>
      <c r="AF21" s="3">
        <v>0.87033333300000004</v>
      </c>
      <c r="AG21" s="3">
        <v>0.87966666699999996</v>
      </c>
      <c r="AH21" s="3">
        <v>0.86299999999999999</v>
      </c>
      <c r="AI21" s="3">
        <v>0.92249999999999999</v>
      </c>
      <c r="AJ21" s="3">
        <v>0.85233333300000003</v>
      </c>
      <c r="AK21" s="3">
        <v>0.77700000000000002</v>
      </c>
      <c r="AL21" s="3">
        <v>0.825333333</v>
      </c>
      <c r="AM21" s="3">
        <v>0.01</v>
      </c>
      <c r="AN21" s="3">
        <v>0.82799999999999996</v>
      </c>
      <c r="AO21" s="3">
        <v>0.78600000000000003</v>
      </c>
    </row>
    <row r="22" spans="1:41" x14ac:dyDescent="0.3">
      <c r="A22" s="2" t="s">
        <v>314</v>
      </c>
      <c r="B22" s="2" t="s">
        <v>346</v>
      </c>
      <c r="C22" s="3">
        <v>0</v>
      </c>
      <c r="D22" s="3">
        <v>0.37</v>
      </c>
      <c r="E22" s="3">
        <v>0</v>
      </c>
      <c r="F22" s="3">
        <v>0.39300000000000002</v>
      </c>
      <c r="G22" s="3">
        <v>0</v>
      </c>
      <c r="H22" s="3">
        <v>0.497</v>
      </c>
      <c r="I22" s="3">
        <v>0</v>
      </c>
      <c r="J22" s="3">
        <v>0.45400000000000001</v>
      </c>
      <c r="K22" s="3">
        <v>0</v>
      </c>
      <c r="L22" s="3">
        <v>0.81100000000000005</v>
      </c>
      <c r="M22" s="3">
        <v>0</v>
      </c>
      <c r="N22" s="3">
        <v>0.63</v>
      </c>
      <c r="O22" s="3">
        <v>0</v>
      </c>
      <c r="P22" s="3">
        <v>0.63</v>
      </c>
      <c r="Q22" s="3">
        <v>0</v>
      </c>
      <c r="R22" s="3">
        <v>0.53500000000000003</v>
      </c>
      <c r="S22" s="3">
        <v>0</v>
      </c>
      <c r="T22" s="3">
        <v>0.58899999999999997</v>
      </c>
      <c r="U22" s="3">
        <v>0</v>
      </c>
      <c r="V22" s="3">
        <v>0.66900000000000004</v>
      </c>
      <c r="W22" s="3">
        <v>0</v>
      </c>
      <c r="X22" s="3">
        <v>0.47699999999999998</v>
      </c>
      <c r="Y22" s="3">
        <v>0</v>
      </c>
      <c r="Z22" s="3">
        <v>0.75600000000000001</v>
      </c>
      <c r="AA22" s="3">
        <v>0</v>
      </c>
      <c r="AB22" s="3">
        <v>0.68899999999999995</v>
      </c>
      <c r="AC22" s="3">
        <v>0.88949999999999996</v>
      </c>
      <c r="AD22" s="3">
        <v>0.88249999999999995</v>
      </c>
      <c r="AE22" s="3">
        <v>0.83599999999999997</v>
      </c>
      <c r="AF22" s="3">
        <v>0.81433333299999999</v>
      </c>
      <c r="AG22" s="3">
        <v>0.87541666699999998</v>
      </c>
      <c r="AH22" s="3">
        <v>0.82</v>
      </c>
      <c r="AI22" s="3">
        <v>0.90649999999999997</v>
      </c>
      <c r="AJ22" s="3">
        <v>0.86133333300000003</v>
      </c>
      <c r="AK22" s="3">
        <v>0.77449999999999997</v>
      </c>
      <c r="AL22" s="3">
        <v>0.823333333</v>
      </c>
      <c r="AM22" s="3">
        <v>0.01</v>
      </c>
      <c r="AN22" s="3">
        <v>0.82066666700000002</v>
      </c>
      <c r="AO22" s="3">
        <v>0.79</v>
      </c>
    </row>
    <row r="23" spans="1:41" x14ac:dyDescent="0.3">
      <c r="A23" s="2" t="s">
        <v>314</v>
      </c>
      <c r="B23" s="2" t="s">
        <v>347</v>
      </c>
      <c r="C23" s="3">
        <v>0</v>
      </c>
      <c r="D23" s="3">
        <v>0.40600000000000003</v>
      </c>
      <c r="E23" s="3">
        <v>0</v>
      </c>
      <c r="F23" s="3">
        <v>0.37</v>
      </c>
      <c r="G23" s="3">
        <v>0</v>
      </c>
      <c r="H23" s="3">
        <v>0.496</v>
      </c>
      <c r="I23" s="3">
        <v>0</v>
      </c>
      <c r="J23" s="3">
        <v>0.47299999999999998</v>
      </c>
      <c r="K23" s="3">
        <v>0</v>
      </c>
      <c r="L23" s="3">
        <v>0.77200000000000002</v>
      </c>
      <c r="M23" s="3">
        <v>0</v>
      </c>
      <c r="N23" s="3">
        <v>0.60399999999999998</v>
      </c>
      <c r="O23" s="3">
        <v>0</v>
      </c>
      <c r="P23" s="3">
        <v>0.60399999999999998</v>
      </c>
      <c r="Q23" s="3">
        <v>0</v>
      </c>
      <c r="R23" s="3">
        <v>0.59699999999999998</v>
      </c>
      <c r="S23" s="3">
        <v>0</v>
      </c>
      <c r="T23" s="3">
        <v>0.63500000000000001</v>
      </c>
      <c r="U23" s="3">
        <v>0</v>
      </c>
      <c r="V23" s="3">
        <v>0.69199999999999995</v>
      </c>
      <c r="W23" s="3">
        <v>0</v>
      </c>
      <c r="X23" s="3">
        <v>0.439</v>
      </c>
      <c r="Y23" s="3">
        <v>0</v>
      </c>
      <c r="Z23" s="3">
        <v>0.73899999999999999</v>
      </c>
      <c r="AA23" s="3">
        <v>0</v>
      </c>
      <c r="AB23" s="3">
        <v>0.71199999999999997</v>
      </c>
      <c r="AC23" s="3">
        <v>0.85450000000000004</v>
      </c>
      <c r="AD23" s="3">
        <v>0.81699999999999995</v>
      </c>
      <c r="AE23" s="3">
        <v>0.81100000000000005</v>
      </c>
      <c r="AF23" s="3">
        <v>0.79900000000000004</v>
      </c>
      <c r="AG23" s="3">
        <v>0.85824999999999996</v>
      </c>
      <c r="AH23" s="3">
        <v>0.80100000000000005</v>
      </c>
      <c r="AI23" s="3">
        <v>0.879</v>
      </c>
      <c r="AJ23" s="3">
        <v>0.86199999999999999</v>
      </c>
      <c r="AK23" s="3">
        <v>0.77900000000000003</v>
      </c>
      <c r="AL23" s="3">
        <v>0.83633333300000001</v>
      </c>
      <c r="AM23" s="3">
        <v>0.01</v>
      </c>
      <c r="AN23" s="3">
        <v>0.806666667</v>
      </c>
      <c r="AO23" s="3">
        <v>0.8</v>
      </c>
    </row>
    <row r="24" spans="1:41" x14ac:dyDescent="0.3">
      <c r="A24" s="2" t="s">
        <v>314</v>
      </c>
      <c r="B24" s="2" t="s">
        <v>348</v>
      </c>
      <c r="C24" s="3">
        <v>0</v>
      </c>
      <c r="D24" s="3">
        <v>0.42899999999999999</v>
      </c>
      <c r="E24" s="3">
        <v>0</v>
      </c>
      <c r="F24" s="3">
        <v>0.35699999999999998</v>
      </c>
      <c r="G24" s="3">
        <v>0</v>
      </c>
      <c r="H24" s="3">
        <v>0.49</v>
      </c>
      <c r="I24" s="3">
        <v>0</v>
      </c>
      <c r="J24" s="3">
        <v>0.47099999999999997</v>
      </c>
      <c r="K24" s="3">
        <v>0</v>
      </c>
      <c r="L24" s="3">
        <v>0.71799999999999997</v>
      </c>
      <c r="M24" s="3">
        <v>0</v>
      </c>
      <c r="N24" s="3">
        <v>0.60399999999999998</v>
      </c>
      <c r="O24" s="3">
        <v>0</v>
      </c>
      <c r="P24" s="3">
        <v>0.60399999999999998</v>
      </c>
      <c r="Q24" s="3">
        <v>0</v>
      </c>
      <c r="R24" s="3">
        <v>0.60599999999999998</v>
      </c>
      <c r="S24" s="3">
        <v>0</v>
      </c>
      <c r="T24" s="3">
        <v>0.64400000000000002</v>
      </c>
      <c r="U24" s="3">
        <v>0</v>
      </c>
      <c r="V24" s="3">
        <v>0.71399999999999997</v>
      </c>
      <c r="W24" s="3">
        <v>0</v>
      </c>
      <c r="X24" s="3">
        <v>0.39600000000000002</v>
      </c>
      <c r="Y24" s="3">
        <v>0</v>
      </c>
      <c r="Z24" s="3">
        <v>0.71099999999999997</v>
      </c>
      <c r="AA24" s="3">
        <v>0</v>
      </c>
      <c r="AB24" s="3">
        <v>0.7</v>
      </c>
      <c r="AC24" s="3">
        <v>0.81850000000000001</v>
      </c>
      <c r="AD24" s="3">
        <v>0.78249999999999997</v>
      </c>
      <c r="AE24" s="3">
        <v>0.79249999999999998</v>
      </c>
      <c r="AF24" s="3">
        <v>0.79</v>
      </c>
      <c r="AG24" s="3">
        <v>0.82908333400000001</v>
      </c>
      <c r="AH24" s="3">
        <v>0.77700000000000002</v>
      </c>
      <c r="AI24" s="3">
        <v>0.86550000000000005</v>
      </c>
      <c r="AJ24" s="3">
        <v>0.83966666700000003</v>
      </c>
      <c r="AK24" s="3">
        <v>0.76049999999999995</v>
      </c>
      <c r="AL24" s="3">
        <v>0.84299999999999997</v>
      </c>
      <c r="AM24" s="3">
        <v>0.01</v>
      </c>
      <c r="AN24" s="3">
        <v>0.78566666699999999</v>
      </c>
      <c r="AO24" s="3">
        <v>0.80100000000000005</v>
      </c>
    </row>
    <row r="25" spans="1:41" x14ac:dyDescent="0.3">
      <c r="A25" s="2" t="s">
        <v>314</v>
      </c>
      <c r="B25" s="2" t="s">
        <v>349</v>
      </c>
      <c r="C25" s="3">
        <v>0</v>
      </c>
      <c r="D25" s="3">
        <v>0.45</v>
      </c>
      <c r="E25" s="3">
        <v>0</v>
      </c>
      <c r="F25" s="3">
        <v>0.34200000000000003</v>
      </c>
      <c r="G25" s="3">
        <v>0</v>
      </c>
      <c r="H25" s="3">
        <v>0.48599999999999999</v>
      </c>
      <c r="I25" s="3">
        <v>0</v>
      </c>
      <c r="J25" s="3">
        <v>0.45900000000000002</v>
      </c>
      <c r="K25" s="3">
        <v>0</v>
      </c>
      <c r="L25" s="3">
        <v>0.65800000000000003</v>
      </c>
      <c r="M25" s="3">
        <v>0</v>
      </c>
      <c r="N25" s="3">
        <v>0.59699999999999998</v>
      </c>
      <c r="O25" s="3">
        <v>0</v>
      </c>
      <c r="P25" s="3">
        <v>0.59699999999999998</v>
      </c>
      <c r="Q25" s="3">
        <v>0</v>
      </c>
      <c r="R25" s="3">
        <v>0.58099999999999996</v>
      </c>
      <c r="S25" s="3">
        <v>0</v>
      </c>
      <c r="T25" s="3">
        <v>0.629</v>
      </c>
      <c r="U25" s="3">
        <v>0</v>
      </c>
      <c r="V25" s="3">
        <v>0.72099999999999997</v>
      </c>
      <c r="W25" s="3">
        <v>0</v>
      </c>
      <c r="X25" s="3">
        <v>0.35799999999999998</v>
      </c>
      <c r="Y25" s="3">
        <v>0</v>
      </c>
      <c r="Z25" s="3">
        <v>0.71199999999999997</v>
      </c>
      <c r="AA25" s="3">
        <v>0</v>
      </c>
      <c r="AB25" s="3">
        <v>0.65800000000000003</v>
      </c>
      <c r="AC25" s="3">
        <v>0.78749999999999998</v>
      </c>
      <c r="AD25" s="3">
        <v>0.77349999999999997</v>
      </c>
      <c r="AE25" s="3">
        <v>0.78049999999999997</v>
      </c>
      <c r="AF25" s="3">
        <v>0.78633333299999997</v>
      </c>
      <c r="AG25" s="3">
        <v>0.81591666699999998</v>
      </c>
      <c r="AH25" s="3">
        <v>0.76500000000000001</v>
      </c>
      <c r="AI25" s="3">
        <v>0.85950000000000004</v>
      </c>
      <c r="AJ25" s="3">
        <v>0.84433333300000002</v>
      </c>
      <c r="AK25" s="3">
        <v>0.77900000000000003</v>
      </c>
      <c r="AL25" s="3">
        <v>0.82799999999999996</v>
      </c>
      <c r="AM25" s="3">
        <v>0.01</v>
      </c>
      <c r="AN25" s="3">
        <v>0.74533333300000004</v>
      </c>
      <c r="AO25" s="3">
        <v>0.77300000000000002</v>
      </c>
    </row>
    <row r="26" spans="1:41" x14ac:dyDescent="0.3">
      <c r="A26" s="2" t="s">
        <v>314</v>
      </c>
      <c r="B26" s="2" t="s">
        <v>350</v>
      </c>
      <c r="C26" s="3">
        <v>0</v>
      </c>
      <c r="D26" s="3">
        <v>0.46200000000000002</v>
      </c>
      <c r="E26" s="3">
        <v>0</v>
      </c>
      <c r="F26" s="3">
        <v>0.29499999999999998</v>
      </c>
      <c r="G26" s="3">
        <v>0</v>
      </c>
      <c r="H26" s="3">
        <v>0.49199999999999999</v>
      </c>
      <c r="I26" s="3">
        <v>0</v>
      </c>
      <c r="J26" s="3">
        <v>0.45300000000000001</v>
      </c>
      <c r="K26" s="3">
        <v>0</v>
      </c>
      <c r="L26" s="3">
        <v>0.59599999999999997</v>
      </c>
      <c r="M26" s="3">
        <v>0</v>
      </c>
      <c r="N26" s="3">
        <v>0.56599999999999995</v>
      </c>
      <c r="O26" s="3">
        <v>0</v>
      </c>
      <c r="P26" s="3">
        <v>0.56599999999999995</v>
      </c>
      <c r="Q26" s="3">
        <v>0</v>
      </c>
      <c r="R26" s="3">
        <v>0.54200000000000004</v>
      </c>
      <c r="S26" s="3">
        <v>0</v>
      </c>
      <c r="T26" s="3">
        <v>0.60199999999999998</v>
      </c>
      <c r="U26" s="3">
        <v>0</v>
      </c>
      <c r="V26" s="3">
        <v>0.71</v>
      </c>
      <c r="W26" s="3">
        <v>0</v>
      </c>
      <c r="X26" s="3">
        <v>0.36099999999999999</v>
      </c>
      <c r="Y26" s="3">
        <v>0</v>
      </c>
      <c r="Z26" s="3">
        <v>0.7</v>
      </c>
      <c r="AA26" s="3">
        <v>0</v>
      </c>
      <c r="AB26" s="3">
        <v>0.65</v>
      </c>
      <c r="AC26" s="3">
        <v>0.75749999999999995</v>
      </c>
      <c r="AD26" s="3">
        <v>0.76349999999999996</v>
      </c>
      <c r="AE26" s="3">
        <v>0.77600000000000002</v>
      </c>
      <c r="AF26" s="3">
        <v>0.77666666699999998</v>
      </c>
      <c r="AG26" s="3">
        <v>0.79341666700000002</v>
      </c>
      <c r="AH26" s="3">
        <v>0.75600000000000001</v>
      </c>
      <c r="AI26" s="3">
        <v>0.82399999999999995</v>
      </c>
      <c r="AJ26" s="3">
        <v>0.82933333300000001</v>
      </c>
      <c r="AK26" s="3">
        <v>0.78249999999999997</v>
      </c>
      <c r="AL26" s="3">
        <v>0.78733333299999997</v>
      </c>
      <c r="AM26" s="3">
        <v>0.01</v>
      </c>
      <c r="AN26" s="3">
        <v>0.70799999999999996</v>
      </c>
      <c r="AO26" s="3">
        <v>0.76100000000000001</v>
      </c>
    </row>
    <row r="27" spans="1:41" x14ac:dyDescent="0.3">
      <c r="A27" s="2" t="s">
        <v>314</v>
      </c>
      <c r="B27" s="2" t="s">
        <v>351</v>
      </c>
      <c r="C27" s="3">
        <v>0</v>
      </c>
      <c r="D27" s="3">
        <v>0.44</v>
      </c>
      <c r="E27" s="3">
        <v>0</v>
      </c>
      <c r="F27" s="3">
        <v>0.26100000000000001</v>
      </c>
      <c r="G27" s="3">
        <v>0</v>
      </c>
      <c r="H27" s="3">
        <v>0.439</v>
      </c>
      <c r="I27" s="3">
        <v>0</v>
      </c>
      <c r="J27" s="3">
        <v>0.433</v>
      </c>
      <c r="K27" s="3">
        <v>0</v>
      </c>
      <c r="L27" s="3">
        <v>0.53</v>
      </c>
      <c r="M27" s="3">
        <v>0</v>
      </c>
      <c r="N27" s="3">
        <v>0.53300000000000003</v>
      </c>
      <c r="O27" s="3">
        <v>0</v>
      </c>
      <c r="P27" s="3">
        <v>0.53300000000000003</v>
      </c>
      <c r="Q27" s="3">
        <v>0</v>
      </c>
      <c r="R27" s="3">
        <v>0.52</v>
      </c>
      <c r="S27" s="3">
        <v>0</v>
      </c>
      <c r="T27" s="3">
        <v>0.58799999999999997</v>
      </c>
      <c r="U27" s="3">
        <v>0</v>
      </c>
      <c r="V27" s="3">
        <v>0.70499999999999996</v>
      </c>
      <c r="W27" s="3">
        <v>0</v>
      </c>
      <c r="X27" s="3">
        <v>0.36499999999999999</v>
      </c>
      <c r="Y27" s="3">
        <v>0</v>
      </c>
      <c r="Z27" s="3">
        <v>0.67400000000000004</v>
      </c>
      <c r="AA27" s="3">
        <v>0</v>
      </c>
      <c r="AB27" s="3">
        <v>0.63400000000000001</v>
      </c>
      <c r="AC27" s="3">
        <v>0.747</v>
      </c>
      <c r="AD27" s="3">
        <v>0.76900000000000002</v>
      </c>
      <c r="AE27" s="3">
        <v>0.77249999999999996</v>
      </c>
      <c r="AF27" s="3">
        <v>0.747</v>
      </c>
      <c r="AG27" s="3">
        <v>0.78149999999999997</v>
      </c>
      <c r="AH27" s="3">
        <v>0.72799999999999998</v>
      </c>
      <c r="AI27" s="3">
        <v>0.76849999999999996</v>
      </c>
      <c r="AJ27" s="3">
        <v>0.81599999999999995</v>
      </c>
      <c r="AK27" s="3">
        <v>0.76849999999999996</v>
      </c>
      <c r="AL27" s="3">
        <v>0.73966666700000006</v>
      </c>
      <c r="AM27" s="3">
        <v>0.01</v>
      </c>
      <c r="AN27" s="3">
        <v>0.67833333299999998</v>
      </c>
      <c r="AO27" s="3">
        <v>0.72399999999999998</v>
      </c>
    </row>
    <row r="28" spans="1:41" x14ac:dyDescent="0.3">
      <c r="A28" s="2" t="s">
        <v>314</v>
      </c>
      <c r="B28" s="2" t="s">
        <v>352</v>
      </c>
      <c r="C28" s="3">
        <v>0</v>
      </c>
      <c r="D28" s="3">
        <v>0.42799999999999999</v>
      </c>
      <c r="E28" s="3">
        <v>0</v>
      </c>
      <c r="F28" s="3">
        <v>0.26100000000000001</v>
      </c>
      <c r="G28" s="3">
        <v>0</v>
      </c>
      <c r="H28" s="3">
        <v>0.35499999999999998</v>
      </c>
      <c r="I28" s="3">
        <v>0</v>
      </c>
      <c r="J28" s="3">
        <v>0.42199999999999999</v>
      </c>
      <c r="K28" s="3">
        <v>0</v>
      </c>
      <c r="L28" s="3">
        <v>0.48299999999999998</v>
      </c>
      <c r="M28" s="3">
        <v>0</v>
      </c>
      <c r="N28" s="3">
        <v>0.52900000000000003</v>
      </c>
      <c r="O28" s="3">
        <v>0</v>
      </c>
      <c r="P28" s="3">
        <v>0.52900000000000003</v>
      </c>
      <c r="Q28" s="3">
        <v>0</v>
      </c>
      <c r="R28" s="3">
        <v>0.502</v>
      </c>
      <c r="S28" s="3">
        <v>0</v>
      </c>
      <c r="T28" s="3">
        <v>0.56399999999999995</v>
      </c>
      <c r="U28" s="3">
        <v>0</v>
      </c>
      <c r="V28" s="3">
        <v>0.68899999999999995</v>
      </c>
      <c r="W28" s="3">
        <v>0</v>
      </c>
      <c r="X28" s="3">
        <v>0.34899999999999998</v>
      </c>
      <c r="Y28" s="3">
        <v>0</v>
      </c>
      <c r="Z28" s="3">
        <v>0.66100000000000003</v>
      </c>
      <c r="AA28" s="3">
        <v>0</v>
      </c>
      <c r="AB28" s="3">
        <v>0.62</v>
      </c>
      <c r="AC28" s="3">
        <v>0.72150000000000003</v>
      </c>
      <c r="AD28" s="3">
        <v>0.746</v>
      </c>
      <c r="AE28" s="3">
        <v>0.748</v>
      </c>
      <c r="AF28" s="3">
        <v>0.71399999999999997</v>
      </c>
      <c r="AG28" s="3">
        <v>0.760583334</v>
      </c>
      <c r="AH28" s="3">
        <v>0.69899999999999995</v>
      </c>
      <c r="AI28" s="3">
        <v>0.76649999999999996</v>
      </c>
      <c r="AJ28" s="3">
        <v>0.799666667</v>
      </c>
      <c r="AK28" s="3">
        <v>0.73399999999999999</v>
      </c>
      <c r="AL28" s="3">
        <v>0.66500000000000004</v>
      </c>
      <c r="AM28" s="3">
        <v>0.01</v>
      </c>
      <c r="AN28" s="3">
        <v>0.66333333299999997</v>
      </c>
      <c r="AO28" s="3">
        <v>0.69599999999999995</v>
      </c>
    </row>
    <row r="29" spans="1:41" x14ac:dyDescent="0.3">
      <c r="A29" s="2" t="s">
        <v>315</v>
      </c>
      <c r="B29" s="2" t="s">
        <v>329</v>
      </c>
      <c r="C29" s="3">
        <v>0</v>
      </c>
      <c r="D29" s="3">
        <v>0.48699999999999999</v>
      </c>
      <c r="E29" s="3">
        <v>0</v>
      </c>
      <c r="F29" s="3">
        <v>0.215</v>
      </c>
      <c r="G29" s="3">
        <v>0</v>
      </c>
      <c r="H29" s="3">
        <v>0.15</v>
      </c>
      <c r="I29" s="3">
        <v>0</v>
      </c>
      <c r="J29" s="3">
        <v>0.84599999999999997</v>
      </c>
      <c r="K29" s="3">
        <v>0</v>
      </c>
      <c r="L29" s="3">
        <v>0.55900000000000005</v>
      </c>
      <c r="M29" s="3">
        <v>0</v>
      </c>
      <c r="N29" s="3">
        <v>0.19900000000000001</v>
      </c>
      <c r="O29" s="3">
        <v>0</v>
      </c>
      <c r="P29" s="3">
        <v>0.19900000000000001</v>
      </c>
      <c r="Q29" s="3">
        <v>0</v>
      </c>
      <c r="R29" s="3">
        <v>0.92600000000000005</v>
      </c>
      <c r="S29" s="3">
        <v>0</v>
      </c>
      <c r="T29" s="3">
        <v>0.88700000000000001</v>
      </c>
      <c r="U29" s="3">
        <v>0</v>
      </c>
      <c r="V29" s="3">
        <v>0.85699999999999998</v>
      </c>
      <c r="W29" s="3">
        <v>0</v>
      </c>
      <c r="X29" s="3">
        <v>0.59099999999999997</v>
      </c>
      <c r="Y29" s="3">
        <v>0</v>
      </c>
      <c r="Z29" s="3">
        <v>0.86399999999999999</v>
      </c>
      <c r="AA29" s="3">
        <v>0</v>
      </c>
      <c r="AB29" s="3">
        <v>0.82599999999999996</v>
      </c>
      <c r="AC29" s="3">
        <v>0.97150000000000003</v>
      </c>
      <c r="AD29" s="3">
        <v>0.92549999999999999</v>
      </c>
      <c r="AE29" s="3">
        <v>0.91149999999999998</v>
      </c>
      <c r="AF29" s="3">
        <v>0.97499999999999998</v>
      </c>
      <c r="AG29" s="3">
        <v>0.97458333399999997</v>
      </c>
      <c r="AH29" s="3">
        <v>0.97499999999999998</v>
      </c>
      <c r="AI29" s="3">
        <v>0.88349999999999995</v>
      </c>
      <c r="AJ29" s="3">
        <v>0.97766666700000004</v>
      </c>
      <c r="AK29" s="3">
        <v>0.96650000000000003</v>
      </c>
      <c r="AL29" s="3">
        <v>0.98</v>
      </c>
      <c r="AM29" s="3">
        <v>0.01</v>
      </c>
      <c r="AN29" s="3">
        <v>0.95433333300000001</v>
      </c>
      <c r="AO29" s="3">
        <v>0.97699999999999998</v>
      </c>
    </row>
    <row r="30" spans="1:41" x14ac:dyDescent="0.3">
      <c r="A30" s="2" t="s">
        <v>315</v>
      </c>
      <c r="B30" s="2" t="s">
        <v>330</v>
      </c>
      <c r="C30" s="3">
        <v>0</v>
      </c>
      <c r="D30" s="3">
        <v>0.58699999999999997</v>
      </c>
      <c r="E30" s="3">
        <v>0</v>
      </c>
      <c r="F30" s="3">
        <v>0.40400000000000003</v>
      </c>
      <c r="G30" s="3">
        <v>0</v>
      </c>
      <c r="H30" s="3">
        <v>0.23</v>
      </c>
      <c r="I30" s="3">
        <v>0</v>
      </c>
      <c r="J30" s="3">
        <v>0.86199999999999999</v>
      </c>
      <c r="K30" s="3">
        <v>0</v>
      </c>
      <c r="L30" s="3">
        <v>0.33</v>
      </c>
      <c r="M30" s="3">
        <v>0</v>
      </c>
      <c r="N30" s="3">
        <v>0.26800000000000002</v>
      </c>
      <c r="O30" s="3">
        <v>0</v>
      </c>
      <c r="P30" s="3">
        <v>0.26800000000000002</v>
      </c>
      <c r="Q30" s="3">
        <v>0</v>
      </c>
      <c r="R30" s="3">
        <v>0.93700000000000006</v>
      </c>
      <c r="S30" s="3">
        <v>0</v>
      </c>
      <c r="T30" s="3">
        <v>0.90300000000000002</v>
      </c>
      <c r="U30" s="3">
        <v>0</v>
      </c>
      <c r="V30" s="3">
        <v>0.873</v>
      </c>
      <c r="W30" s="3">
        <v>0</v>
      </c>
      <c r="X30" s="3">
        <v>0.73899999999999999</v>
      </c>
      <c r="Y30" s="3">
        <v>0</v>
      </c>
      <c r="Z30" s="3">
        <v>0.89700000000000002</v>
      </c>
      <c r="AA30" s="3">
        <v>0</v>
      </c>
      <c r="AB30" s="3">
        <v>0.89300000000000002</v>
      </c>
      <c r="AC30" s="3">
        <v>0.95299999999999996</v>
      </c>
      <c r="AD30" s="3">
        <v>0.87949999999999995</v>
      </c>
      <c r="AE30" s="3">
        <v>0.91349999999999998</v>
      </c>
      <c r="AF30" s="3">
        <v>0.97866666700000005</v>
      </c>
      <c r="AG30" s="3">
        <v>0.95499999999999996</v>
      </c>
      <c r="AH30" s="3">
        <v>0.97199999999999998</v>
      </c>
      <c r="AI30" s="3">
        <v>0.89800000000000002</v>
      </c>
      <c r="AJ30" s="3">
        <v>0.95699999999999996</v>
      </c>
      <c r="AK30" s="3">
        <v>0.92</v>
      </c>
      <c r="AL30" s="3">
        <v>0.98</v>
      </c>
      <c r="AM30" s="3">
        <v>0.01</v>
      </c>
      <c r="AN30" s="3">
        <v>0.948333333</v>
      </c>
      <c r="AO30" s="3">
        <v>0.97199999999999998</v>
      </c>
    </row>
    <row r="31" spans="1:41" x14ac:dyDescent="0.3">
      <c r="A31" s="2" t="s">
        <v>315</v>
      </c>
      <c r="B31" s="2" t="s">
        <v>331</v>
      </c>
      <c r="C31" s="3">
        <v>0</v>
      </c>
      <c r="D31" s="3">
        <v>0.73899999999999999</v>
      </c>
      <c r="E31" s="3">
        <v>0</v>
      </c>
      <c r="F31" s="3">
        <v>0.57699999999999996</v>
      </c>
      <c r="G31" s="3">
        <v>0</v>
      </c>
      <c r="H31" s="3">
        <v>0.36</v>
      </c>
      <c r="I31" s="3">
        <v>0</v>
      </c>
      <c r="J31" s="3">
        <v>0.88700000000000001</v>
      </c>
      <c r="K31" s="3">
        <v>0</v>
      </c>
      <c r="L31" s="3">
        <v>0.191</v>
      </c>
      <c r="M31" s="3">
        <v>0</v>
      </c>
      <c r="N31" s="3">
        <v>0.46300000000000002</v>
      </c>
      <c r="O31" s="3">
        <v>0</v>
      </c>
      <c r="P31" s="3">
        <v>0.46300000000000002</v>
      </c>
      <c r="Q31" s="3">
        <v>0</v>
      </c>
      <c r="R31" s="3">
        <v>0.95099999999999996</v>
      </c>
      <c r="S31" s="3">
        <v>0</v>
      </c>
      <c r="T31" s="3">
        <v>0.92</v>
      </c>
      <c r="U31" s="3">
        <v>0</v>
      </c>
      <c r="V31" s="3">
        <v>0.9</v>
      </c>
      <c r="W31" s="3">
        <v>0</v>
      </c>
      <c r="X31" s="3">
        <v>0.80900000000000005</v>
      </c>
      <c r="Y31" s="3">
        <v>0</v>
      </c>
      <c r="Z31" s="3">
        <v>0.92500000000000004</v>
      </c>
      <c r="AA31" s="3">
        <v>0</v>
      </c>
      <c r="AB31" s="3">
        <v>0.92400000000000004</v>
      </c>
      <c r="AC31" s="3">
        <v>0.94450000000000001</v>
      </c>
      <c r="AD31" s="3">
        <v>0.88</v>
      </c>
      <c r="AE31" s="3">
        <v>0.91449999999999998</v>
      </c>
      <c r="AF31" s="3">
        <v>0.98</v>
      </c>
      <c r="AG31" s="3">
        <v>0.92758333400000004</v>
      </c>
      <c r="AH31" s="3">
        <v>0.97499999999999998</v>
      </c>
      <c r="AI31" s="3">
        <v>0.89349999999999996</v>
      </c>
      <c r="AJ31" s="3">
        <v>0.91066666699999999</v>
      </c>
      <c r="AK31" s="3">
        <v>0.89249999999999996</v>
      </c>
      <c r="AL31" s="3">
        <v>0.98099999999999998</v>
      </c>
      <c r="AM31" s="3">
        <v>0.01</v>
      </c>
      <c r="AN31" s="3">
        <v>0.93766666700000001</v>
      </c>
      <c r="AO31" s="3">
        <v>0.97</v>
      </c>
    </row>
    <row r="32" spans="1:41" x14ac:dyDescent="0.3">
      <c r="A32" s="2" t="s">
        <v>315</v>
      </c>
      <c r="B32" s="2" t="s">
        <v>332</v>
      </c>
      <c r="C32" s="3">
        <v>0</v>
      </c>
      <c r="D32" s="3">
        <v>0.81699999999999995</v>
      </c>
      <c r="E32" s="3">
        <v>0</v>
      </c>
      <c r="F32" s="3">
        <v>0.77400000000000002</v>
      </c>
      <c r="G32" s="3">
        <v>0</v>
      </c>
      <c r="H32" s="3">
        <v>0.52400000000000002</v>
      </c>
      <c r="I32" s="3">
        <v>0</v>
      </c>
      <c r="J32" s="3">
        <v>0.90900000000000003</v>
      </c>
      <c r="K32" s="3">
        <v>0</v>
      </c>
      <c r="L32" s="3">
        <v>0.26700000000000002</v>
      </c>
      <c r="M32" s="3">
        <v>0</v>
      </c>
      <c r="N32" s="3">
        <v>0.71299999999999997</v>
      </c>
      <c r="O32" s="3">
        <v>0</v>
      </c>
      <c r="P32" s="3">
        <v>0.71299999999999997</v>
      </c>
      <c r="Q32" s="3">
        <v>0</v>
      </c>
      <c r="R32" s="3">
        <v>0.96299999999999997</v>
      </c>
      <c r="S32" s="3">
        <v>0</v>
      </c>
      <c r="T32" s="3">
        <v>0.93</v>
      </c>
      <c r="U32" s="3">
        <v>0</v>
      </c>
      <c r="V32" s="3">
        <v>0.93100000000000005</v>
      </c>
      <c r="W32" s="3">
        <v>0</v>
      </c>
      <c r="X32" s="3">
        <v>0.86299999999999999</v>
      </c>
      <c r="Y32" s="3">
        <v>0</v>
      </c>
      <c r="Z32" s="3">
        <v>0.94499999999999995</v>
      </c>
      <c r="AA32" s="3">
        <v>0</v>
      </c>
      <c r="AB32" s="3">
        <v>0.95099999999999996</v>
      </c>
      <c r="AC32" s="3">
        <v>0.94850000000000001</v>
      </c>
      <c r="AD32" s="3">
        <v>0.89149999999999996</v>
      </c>
      <c r="AE32" s="3">
        <v>0.92349999999999999</v>
      </c>
      <c r="AF32" s="3">
        <v>0.98033333300000003</v>
      </c>
      <c r="AG32" s="3">
        <v>0.898416667</v>
      </c>
      <c r="AH32" s="3">
        <v>0.97499999999999998</v>
      </c>
      <c r="AI32" s="3">
        <v>0.89500000000000002</v>
      </c>
      <c r="AJ32" s="3">
        <v>0.84833333300000002</v>
      </c>
      <c r="AK32" s="3">
        <v>0.87849999999999995</v>
      </c>
      <c r="AL32" s="3">
        <v>0.98399999999999999</v>
      </c>
      <c r="AM32" s="3">
        <v>0.01</v>
      </c>
      <c r="AN32" s="3">
        <v>0.93533333299999999</v>
      </c>
      <c r="AO32" s="3">
        <v>0.97799999999999998</v>
      </c>
    </row>
    <row r="33" spans="1:41" x14ac:dyDescent="0.3">
      <c r="A33" s="2" t="s">
        <v>315</v>
      </c>
      <c r="B33" s="2" t="s">
        <v>333</v>
      </c>
      <c r="C33" s="3">
        <v>0</v>
      </c>
      <c r="D33" s="3">
        <v>0.86799999999999999</v>
      </c>
      <c r="E33" s="3">
        <v>0</v>
      </c>
      <c r="F33" s="3">
        <v>0.86099999999999999</v>
      </c>
      <c r="G33" s="3">
        <v>0</v>
      </c>
      <c r="H33" s="3">
        <v>0.746</v>
      </c>
      <c r="I33" s="3">
        <v>0</v>
      </c>
      <c r="J33" s="3">
        <v>0.92100000000000004</v>
      </c>
      <c r="K33" s="3">
        <v>0</v>
      </c>
      <c r="L33" s="3">
        <v>0.626</v>
      </c>
      <c r="M33" s="3">
        <v>0</v>
      </c>
      <c r="N33" s="3">
        <v>0.80300000000000005</v>
      </c>
      <c r="O33" s="3">
        <v>0</v>
      </c>
      <c r="P33" s="3">
        <v>0.80300000000000005</v>
      </c>
      <c r="Q33" s="3">
        <v>0</v>
      </c>
      <c r="R33" s="3">
        <v>0.96499999999999997</v>
      </c>
      <c r="S33" s="3">
        <v>0</v>
      </c>
      <c r="T33" s="3">
        <v>0.93899999999999995</v>
      </c>
      <c r="U33" s="3">
        <v>0</v>
      </c>
      <c r="V33" s="3">
        <v>0.95699999999999996</v>
      </c>
      <c r="W33" s="3">
        <v>0</v>
      </c>
      <c r="X33" s="3">
        <v>0.90100000000000002</v>
      </c>
      <c r="Y33" s="3">
        <v>0</v>
      </c>
      <c r="Z33" s="3">
        <v>0.97</v>
      </c>
      <c r="AA33" s="3">
        <v>0</v>
      </c>
      <c r="AB33" s="3">
        <v>0.97799999999999998</v>
      </c>
      <c r="AC33" s="3">
        <v>0.9395</v>
      </c>
      <c r="AD33" s="3">
        <v>0.877</v>
      </c>
      <c r="AE33" s="3">
        <v>0.92849999999999999</v>
      </c>
      <c r="AF33" s="3">
        <v>0.98133333300000003</v>
      </c>
      <c r="AG33" s="3">
        <v>0.86475000000000002</v>
      </c>
      <c r="AH33" s="3">
        <v>0.97699999999999998</v>
      </c>
      <c r="AI33" s="3">
        <v>0.89549999999999996</v>
      </c>
      <c r="AJ33" s="3">
        <v>0.79</v>
      </c>
      <c r="AK33" s="3">
        <v>0.83050000000000002</v>
      </c>
      <c r="AL33" s="3">
        <v>0.98499999999999999</v>
      </c>
      <c r="AM33" s="3">
        <v>0.01</v>
      </c>
      <c r="AN33" s="3">
        <v>0.93300000000000005</v>
      </c>
      <c r="AO33" s="3">
        <v>0.98399999999999999</v>
      </c>
    </row>
    <row r="34" spans="1:41" x14ac:dyDescent="0.3">
      <c r="A34" s="2" t="s">
        <v>315</v>
      </c>
      <c r="B34" s="2" t="s">
        <v>334</v>
      </c>
      <c r="C34" s="3">
        <v>0</v>
      </c>
      <c r="D34" s="3">
        <v>0.89100000000000001</v>
      </c>
      <c r="E34" s="3">
        <v>0</v>
      </c>
      <c r="F34" s="3">
        <v>0.88800000000000001</v>
      </c>
      <c r="G34" s="3">
        <v>0</v>
      </c>
      <c r="H34" s="3">
        <v>0.83299999999999996</v>
      </c>
      <c r="I34" s="3">
        <v>0</v>
      </c>
      <c r="J34" s="3">
        <v>0.95199999999999996</v>
      </c>
      <c r="K34" s="3">
        <v>0</v>
      </c>
      <c r="L34" s="3">
        <v>0.86399999999999999</v>
      </c>
      <c r="M34" s="3">
        <v>0</v>
      </c>
      <c r="N34" s="3">
        <v>0.83599999999999997</v>
      </c>
      <c r="O34" s="3">
        <v>0</v>
      </c>
      <c r="P34" s="3">
        <v>0.83599999999999997</v>
      </c>
      <c r="Q34" s="3">
        <v>0</v>
      </c>
      <c r="R34" s="3">
        <v>0.97599999999999998</v>
      </c>
      <c r="S34" s="3">
        <v>0</v>
      </c>
      <c r="T34" s="3">
        <v>0.97499999999999998</v>
      </c>
      <c r="U34" s="3">
        <v>0</v>
      </c>
      <c r="V34" s="3">
        <v>0.97099999999999997</v>
      </c>
      <c r="W34" s="3">
        <v>0</v>
      </c>
      <c r="X34" s="3">
        <v>0.94699999999999995</v>
      </c>
      <c r="Y34" s="3">
        <v>0</v>
      </c>
      <c r="Z34" s="3">
        <v>0.98799999999999999</v>
      </c>
      <c r="AA34" s="3">
        <v>0</v>
      </c>
      <c r="AB34" s="3">
        <v>0.98899999999999999</v>
      </c>
      <c r="AC34" s="3">
        <v>0.92900000000000005</v>
      </c>
      <c r="AD34" s="3">
        <v>0.86399999999999999</v>
      </c>
      <c r="AE34" s="3">
        <v>0.93400000000000005</v>
      </c>
      <c r="AF34" s="3">
        <v>0.98266666700000005</v>
      </c>
      <c r="AG34" s="3">
        <v>0.85599999999999998</v>
      </c>
      <c r="AH34" s="3">
        <v>0.97799999999999998</v>
      </c>
      <c r="AI34" s="3">
        <v>0.90249999999999997</v>
      </c>
      <c r="AJ34" s="3">
        <v>0.78300000000000003</v>
      </c>
      <c r="AK34" s="3">
        <v>0.82550000000000001</v>
      </c>
      <c r="AL34" s="3">
        <v>0.98599999999999999</v>
      </c>
      <c r="AM34" s="3">
        <v>0.01</v>
      </c>
      <c r="AN34" s="3">
        <v>0.930666667</v>
      </c>
      <c r="AO34" s="3">
        <v>0.98</v>
      </c>
    </row>
    <row r="35" spans="1:41" x14ac:dyDescent="0.3">
      <c r="A35" s="2" t="s">
        <v>315</v>
      </c>
      <c r="B35" s="2" t="s">
        <v>335</v>
      </c>
      <c r="C35" s="3">
        <v>0</v>
      </c>
      <c r="D35" s="3">
        <v>0.94099999999999995</v>
      </c>
      <c r="E35" s="3">
        <v>0</v>
      </c>
      <c r="F35" s="3">
        <v>0.91900000000000004</v>
      </c>
      <c r="G35" s="3">
        <v>0</v>
      </c>
      <c r="H35" s="3">
        <v>0.90100000000000002</v>
      </c>
      <c r="I35" s="3">
        <v>0</v>
      </c>
      <c r="J35" s="3">
        <v>0.97399999999999998</v>
      </c>
      <c r="K35" s="3">
        <v>0</v>
      </c>
      <c r="L35" s="3">
        <v>0.97199999999999998</v>
      </c>
      <c r="M35" s="3">
        <v>0</v>
      </c>
      <c r="N35" s="3">
        <v>0.86099999999999999</v>
      </c>
      <c r="O35" s="3">
        <v>0</v>
      </c>
      <c r="P35" s="3">
        <v>0.86099999999999999</v>
      </c>
      <c r="Q35" s="3">
        <v>0</v>
      </c>
      <c r="R35" s="3">
        <v>0.98899999999999999</v>
      </c>
      <c r="S35" s="3">
        <v>0</v>
      </c>
      <c r="T35" s="3">
        <v>0.98799999999999999</v>
      </c>
      <c r="U35" s="3">
        <v>0</v>
      </c>
      <c r="V35" s="3">
        <v>0.98099999999999998</v>
      </c>
      <c r="W35" s="3">
        <v>0</v>
      </c>
      <c r="X35" s="3">
        <v>0.97599999999999998</v>
      </c>
      <c r="Y35" s="3">
        <v>0</v>
      </c>
      <c r="Z35" s="3">
        <v>0.99299999999999999</v>
      </c>
      <c r="AA35" s="3">
        <v>0</v>
      </c>
      <c r="AB35" s="3">
        <v>0.99099999999999999</v>
      </c>
      <c r="AC35" s="3">
        <v>0.93100000000000005</v>
      </c>
      <c r="AD35" s="3">
        <v>0.88749999999999996</v>
      </c>
      <c r="AE35" s="3">
        <v>0.9425</v>
      </c>
      <c r="AF35" s="3">
        <v>0.98399999999999999</v>
      </c>
      <c r="AG35" s="3">
        <v>0.85883333399999995</v>
      </c>
      <c r="AH35" s="3">
        <v>0.98099999999999998</v>
      </c>
      <c r="AI35" s="3">
        <v>0.92149999999999999</v>
      </c>
      <c r="AJ35" s="3">
        <v>0.78666666699999999</v>
      </c>
      <c r="AK35" s="3">
        <v>0.81899999999999995</v>
      </c>
      <c r="AL35" s="3">
        <v>0.98899999999999999</v>
      </c>
      <c r="AM35" s="3">
        <v>0.01</v>
      </c>
      <c r="AN35" s="3">
        <v>0.930666667</v>
      </c>
      <c r="AO35" s="3">
        <v>0.97799999999999998</v>
      </c>
    </row>
    <row r="36" spans="1:41" x14ac:dyDescent="0.3">
      <c r="A36" s="2" t="s">
        <v>315</v>
      </c>
      <c r="B36" s="2" t="s">
        <v>336</v>
      </c>
      <c r="C36" s="3">
        <v>4.9000000000000002E-2</v>
      </c>
      <c r="D36" s="3">
        <v>0.96599999999999997</v>
      </c>
      <c r="E36" s="3">
        <v>2.1000000000000001E-2</v>
      </c>
      <c r="F36" s="3">
        <v>0.95499999999999996</v>
      </c>
      <c r="G36" s="3">
        <v>2.1000000000000001E-2</v>
      </c>
      <c r="H36" s="3">
        <v>0.93</v>
      </c>
      <c r="I36" s="3">
        <v>4.0000000000000001E-3</v>
      </c>
      <c r="J36" s="3">
        <v>0.98199999999999998</v>
      </c>
      <c r="K36" s="3">
        <v>2.9000000000000001E-2</v>
      </c>
      <c r="L36" s="3">
        <v>0.98799999999999999</v>
      </c>
      <c r="M36" s="3">
        <v>1.2E-2</v>
      </c>
      <c r="N36" s="3">
        <v>0.86799999999999999</v>
      </c>
      <c r="O36" s="3">
        <v>0</v>
      </c>
      <c r="P36" s="3">
        <v>0.86799999999999999</v>
      </c>
      <c r="Q36" s="3">
        <v>4.8000000000000001E-2</v>
      </c>
      <c r="R36" s="3">
        <v>0.99299999999999999</v>
      </c>
      <c r="S36" s="3">
        <v>1.6E-2</v>
      </c>
      <c r="T36" s="3">
        <v>0.99099999999999999</v>
      </c>
      <c r="U36" s="3">
        <v>1.6E-2</v>
      </c>
      <c r="V36" s="3">
        <v>0.99</v>
      </c>
      <c r="W36" s="3">
        <v>8.0000000000000002E-3</v>
      </c>
      <c r="X36" s="3">
        <v>0.98899999999999999</v>
      </c>
      <c r="Y36" s="3">
        <v>1.0999999999999999E-2</v>
      </c>
      <c r="Z36" s="3">
        <v>0.99299999999999999</v>
      </c>
      <c r="AA36" s="3">
        <v>5.0000000000000001E-3</v>
      </c>
      <c r="AB36" s="3">
        <v>0.99299999999999999</v>
      </c>
      <c r="AC36" s="3">
        <v>0.9335</v>
      </c>
      <c r="AD36" s="3">
        <v>0.90500000000000003</v>
      </c>
      <c r="AE36" s="3">
        <v>0.94650000000000001</v>
      </c>
      <c r="AF36" s="3">
        <v>0.98599999999999999</v>
      </c>
      <c r="AG36" s="3">
        <v>0.84824999999999995</v>
      </c>
      <c r="AH36" s="3">
        <v>0.98399999999999999</v>
      </c>
      <c r="AI36" s="3">
        <v>0.95650000000000002</v>
      </c>
      <c r="AJ36" s="3">
        <v>0.76300000000000001</v>
      </c>
      <c r="AK36" s="3">
        <v>0.83050000000000002</v>
      </c>
      <c r="AL36" s="3">
        <v>0.99033333300000004</v>
      </c>
      <c r="AM36" s="3">
        <v>0.01</v>
      </c>
      <c r="AN36" s="3">
        <v>0.931666667</v>
      </c>
      <c r="AO36" s="3">
        <v>0.98299999999999998</v>
      </c>
    </row>
    <row r="37" spans="1:41" x14ac:dyDescent="0.3">
      <c r="A37" s="2" t="s">
        <v>315</v>
      </c>
      <c r="B37" s="2" t="s">
        <v>337</v>
      </c>
      <c r="C37" s="3">
        <v>0.123</v>
      </c>
      <c r="D37" s="3">
        <v>0.98499999999999999</v>
      </c>
      <c r="E37" s="3">
        <v>0.1</v>
      </c>
      <c r="F37" s="3">
        <v>0.98199999999999998</v>
      </c>
      <c r="G37" s="3">
        <v>0.109</v>
      </c>
      <c r="H37" s="3">
        <v>0.95199999999999996</v>
      </c>
      <c r="I37" s="3">
        <v>4.3999999999999997E-2</v>
      </c>
      <c r="J37" s="3">
        <v>0.99</v>
      </c>
      <c r="K37" s="3">
        <v>8.5000000000000006E-2</v>
      </c>
      <c r="L37" s="3">
        <v>0.99299999999999999</v>
      </c>
      <c r="M37" s="3">
        <v>8.4000000000000005E-2</v>
      </c>
      <c r="N37" s="3">
        <v>0.871</v>
      </c>
      <c r="O37" s="3">
        <v>1.4999999999999999E-2</v>
      </c>
      <c r="P37" s="3">
        <v>0.871</v>
      </c>
      <c r="Q37" s="3">
        <v>0.13300000000000001</v>
      </c>
      <c r="R37" s="3">
        <v>0.99299999999999999</v>
      </c>
      <c r="S37" s="3">
        <v>7.3999999999999996E-2</v>
      </c>
      <c r="T37" s="3">
        <v>0.99299999999999999</v>
      </c>
      <c r="U37" s="3">
        <v>7.2999999999999995E-2</v>
      </c>
      <c r="V37" s="3">
        <v>0.98799999999999999</v>
      </c>
      <c r="W37" s="3">
        <v>6.4000000000000001E-2</v>
      </c>
      <c r="X37" s="3">
        <v>0.99199999999999999</v>
      </c>
      <c r="Y37" s="3">
        <v>7.9000000000000001E-2</v>
      </c>
      <c r="Z37" s="3">
        <v>0.99299999999999999</v>
      </c>
      <c r="AA37" s="3">
        <v>6.5000000000000002E-2</v>
      </c>
      <c r="AB37" s="3">
        <v>0.99199999999999999</v>
      </c>
      <c r="AC37" s="3">
        <v>0.93500000000000005</v>
      </c>
      <c r="AD37" s="3">
        <v>0.89949999999999997</v>
      </c>
      <c r="AE37" s="3">
        <v>0.94499999999999995</v>
      </c>
      <c r="AF37" s="3">
        <v>0.98766666700000005</v>
      </c>
      <c r="AG37" s="3">
        <v>0.84266666700000004</v>
      </c>
      <c r="AH37" s="3">
        <v>0.98499999999999999</v>
      </c>
      <c r="AI37" s="3">
        <v>0.96950000000000003</v>
      </c>
      <c r="AJ37" s="3">
        <v>0.75033333300000005</v>
      </c>
      <c r="AK37" s="3">
        <v>0.84850000000000003</v>
      </c>
      <c r="AL37" s="3">
        <v>0.99</v>
      </c>
      <c r="AM37" s="3">
        <v>0.01</v>
      </c>
      <c r="AN37" s="3">
        <v>0.93533333299999999</v>
      </c>
      <c r="AO37" s="3">
        <v>0.99099999999999999</v>
      </c>
    </row>
    <row r="38" spans="1:41" x14ac:dyDescent="0.3">
      <c r="A38" s="2" t="s">
        <v>315</v>
      </c>
      <c r="B38" s="2" t="s">
        <v>338</v>
      </c>
      <c r="C38" s="3">
        <v>0.16400000000000001</v>
      </c>
      <c r="D38" s="3">
        <v>0.99299999999999999</v>
      </c>
      <c r="E38" s="3">
        <v>0.21199999999999999</v>
      </c>
      <c r="F38" s="3">
        <v>0.99099999999999999</v>
      </c>
      <c r="G38" s="3">
        <v>0.192</v>
      </c>
      <c r="H38" s="3">
        <v>0.95299999999999996</v>
      </c>
      <c r="I38" s="3">
        <v>9.7000000000000003E-2</v>
      </c>
      <c r="J38" s="3">
        <v>0.99199999999999999</v>
      </c>
      <c r="K38" s="3">
        <v>0.14799999999999999</v>
      </c>
      <c r="L38" s="3">
        <v>0.99199999999999999</v>
      </c>
      <c r="M38" s="3">
        <v>0.158</v>
      </c>
      <c r="N38" s="3">
        <v>0.94299999999999995</v>
      </c>
      <c r="O38" s="3">
        <v>4.8000000000000001E-2</v>
      </c>
      <c r="P38" s="3">
        <v>0.94299999999999995</v>
      </c>
      <c r="Q38" s="3">
        <v>0.186</v>
      </c>
      <c r="R38" s="3">
        <v>0.99099999999999999</v>
      </c>
      <c r="S38" s="3">
        <v>0.13300000000000001</v>
      </c>
      <c r="T38" s="3">
        <v>0.99299999999999999</v>
      </c>
      <c r="U38" s="3">
        <v>0.13200000000000001</v>
      </c>
      <c r="V38" s="3">
        <v>0.99199999999999999</v>
      </c>
      <c r="W38" s="3">
        <v>0.14299999999999999</v>
      </c>
      <c r="X38" s="3">
        <v>0.99299999999999999</v>
      </c>
      <c r="Y38" s="3">
        <v>0.17399999999999999</v>
      </c>
      <c r="Z38" s="3">
        <v>0.99299999999999999</v>
      </c>
      <c r="AA38" s="3">
        <v>0.112</v>
      </c>
      <c r="AB38" s="3">
        <v>0.99099999999999999</v>
      </c>
      <c r="AC38" s="3">
        <v>0.94799999999999995</v>
      </c>
      <c r="AD38" s="3">
        <v>0.93</v>
      </c>
      <c r="AE38" s="3">
        <v>0.95550000000000002</v>
      </c>
      <c r="AF38" s="3">
        <v>0.98899999999999999</v>
      </c>
      <c r="AG38" s="3">
        <v>0.89349999999999996</v>
      </c>
      <c r="AH38" s="3">
        <v>0.98599999999999999</v>
      </c>
      <c r="AI38" s="3">
        <v>0.96599999999999997</v>
      </c>
      <c r="AJ38" s="3">
        <v>0.83899999999999997</v>
      </c>
      <c r="AK38" s="3">
        <v>0.90349999999999997</v>
      </c>
      <c r="AL38" s="3">
        <v>0.98966666700000006</v>
      </c>
      <c r="AM38" s="3">
        <v>0.01</v>
      </c>
      <c r="AN38" s="3">
        <v>0.94699999999999995</v>
      </c>
      <c r="AO38" s="3">
        <v>0.99299999999999999</v>
      </c>
    </row>
    <row r="39" spans="1:41" x14ac:dyDescent="0.3">
      <c r="A39" s="2" t="s">
        <v>315</v>
      </c>
      <c r="B39" s="2" t="s">
        <v>339</v>
      </c>
      <c r="C39" s="3">
        <v>0.216</v>
      </c>
      <c r="D39" s="3">
        <v>0.99099999999999999</v>
      </c>
      <c r="E39" s="3">
        <v>0.30399999999999999</v>
      </c>
      <c r="F39" s="3">
        <v>0.99299999999999999</v>
      </c>
      <c r="G39" s="3">
        <v>0.23699999999999999</v>
      </c>
      <c r="H39" s="3">
        <v>0.94599999999999995</v>
      </c>
      <c r="I39" s="3">
        <v>0.11700000000000001</v>
      </c>
      <c r="J39" s="3">
        <v>0.99299999999999999</v>
      </c>
      <c r="K39" s="3">
        <v>0.21</v>
      </c>
      <c r="L39" s="3">
        <v>0.97899999999999998</v>
      </c>
      <c r="M39" s="3">
        <v>0.17199999999999999</v>
      </c>
      <c r="N39" s="3">
        <v>0.97299999999999998</v>
      </c>
      <c r="O39" s="3">
        <v>0.10199999999999999</v>
      </c>
      <c r="P39" s="3">
        <v>0.97299999999999998</v>
      </c>
      <c r="Q39" s="3">
        <v>0.22</v>
      </c>
      <c r="R39" s="3">
        <v>0.99099999999999999</v>
      </c>
      <c r="S39" s="3">
        <v>0.21</v>
      </c>
      <c r="T39" s="3">
        <v>0.99299999999999999</v>
      </c>
      <c r="U39" s="3">
        <v>0.20899999999999999</v>
      </c>
      <c r="V39" s="3">
        <v>0.99299999999999999</v>
      </c>
      <c r="W39" s="3">
        <v>0.21099999999999999</v>
      </c>
      <c r="X39" s="3">
        <v>0.98799999999999999</v>
      </c>
      <c r="Y39" s="3">
        <v>0.222</v>
      </c>
      <c r="Z39" s="3">
        <v>0.99299999999999999</v>
      </c>
      <c r="AA39" s="3">
        <v>0.127</v>
      </c>
      <c r="AB39" s="3">
        <v>0.98899999999999999</v>
      </c>
      <c r="AC39" s="3">
        <v>0.97199999999999998</v>
      </c>
      <c r="AD39" s="3">
        <v>0.96499999999999997</v>
      </c>
      <c r="AE39" s="3">
        <v>0.96850000000000003</v>
      </c>
      <c r="AF39" s="3">
        <v>0.99033333300000004</v>
      </c>
      <c r="AG39" s="3">
        <v>0.93799999999999994</v>
      </c>
      <c r="AH39" s="3">
        <v>0.98499999999999999</v>
      </c>
      <c r="AI39" s="3">
        <v>0.97650000000000003</v>
      </c>
      <c r="AJ39" s="3">
        <v>0.90400000000000003</v>
      </c>
      <c r="AK39" s="3">
        <v>0.93700000000000006</v>
      </c>
      <c r="AL39" s="3">
        <v>0.98733333300000004</v>
      </c>
      <c r="AM39" s="3">
        <v>0.01</v>
      </c>
      <c r="AN39" s="3">
        <v>0.96433333300000001</v>
      </c>
      <c r="AO39" s="3">
        <v>0.99299999999999999</v>
      </c>
    </row>
    <row r="40" spans="1:41" x14ac:dyDescent="0.3">
      <c r="A40" s="2" t="s">
        <v>315</v>
      </c>
      <c r="B40" s="2" t="s">
        <v>340</v>
      </c>
      <c r="C40" s="3">
        <v>0.28499999999999998</v>
      </c>
      <c r="D40" s="3">
        <v>0.98099999999999998</v>
      </c>
      <c r="E40" s="3">
        <v>0.27900000000000003</v>
      </c>
      <c r="F40" s="3">
        <v>0.99</v>
      </c>
      <c r="G40" s="3">
        <v>0.245</v>
      </c>
      <c r="H40" s="3">
        <v>0.91400000000000003</v>
      </c>
      <c r="I40" s="3">
        <v>0.16700000000000001</v>
      </c>
      <c r="J40" s="3">
        <v>0.98899999999999999</v>
      </c>
      <c r="K40" s="3">
        <v>0.23499999999999999</v>
      </c>
      <c r="L40" s="3">
        <v>0.94099999999999995</v>
      </c>
      <c r="M40" s="3">
        <v>0.155</v>
      </c>
      <c r="N40" s="3">
        <v>0.96699999999999997</v>
      </c>
      <c r="O40" s="3">
        <v>9.6000000000000002E-2</v>
      </c>
      <c r="P40" s="3">
        <v>0.96699999999999997</v>
      </c>
      <c r="Q40" s="3">
        <v>0.246</v>
      </c>
      <c r="R40" s="3">
        <v>0.98699999999999999</v>
      </c>
      <c r="S40" s="3">
        <v>0.219</v>
      </c>
      <c r="T40" s="3">
        <v>0.99099999999999999</v>
      </c>
      <c r="U40" s="3">
        <v>0.219</v>
      </c>
      <c r="V40" s="3">
        <v>0.99199999999999999</v>
      </c>
      <c r="W40" s="3">
        <v>0.26</v>
      </c>
      <c r="X40" s="3">
        <v>0.97699999999999998</v>
      </c>
      <c r="Y40" s="3">
        <v>0.221</v>
      </c>
      <c r="Z40" s="3">
        <v>0.99299999999999999</v>
      </c>
      <c r="AA40" s="3">
        <v>0.126</v>
      </c>
      <c r="AB40" s="3">
        <v>0.99099999999999999</v>
      </c>
      <c r="AC40" s="3">
        <v>0.97899999999999998</v>
      </c>
      <c r="AD40" s="3">
        <v>0.97450000000000003</v>
      </c>
      <c r="AE40" s="3">
        <v>0.97550000000000003</v>
      </c>
      <c r="AF40" s="3">
        <v>0.99</v>
      </c>
      <c r="AG40" s="3">
        <v>0.95133333399999997</v>
      </c>
      <c r="AH40" s="3">
        <v>0.98199999999999998</v>
      </c>
      <c r="AI40" s="3">
        <v>0.98299999999999998</v>
      </c>
      <c r="AJ40" s="3">
        <v>0.923666667</v>
      </c>
      <c r="AK40" s="3">
        <v>0.95</v>
      </c>
      <c r="AL40" s="3">
        <v>0.98799999999999999</v>
      </c>
      <c r="AM40" s="3">
        <v>0.01</v>
      </c>
      <c r="AN40" s="3">
        <v>0.96899999999999997</v>
      </c>
      <c r="AO40" s="3">
        <v>0.99199999999999999</v>
      </c>
    </row>
    <row r="41" spans="1:41" x14ac:dyDescent="0.3">
      <c r="A41" s="2" t="s">
        <v>315</v>
      </c>
      <c r="B41" s="2" t="s">
        <v>341</v>
      </c>
      <c r="C41" s="3">
        <v>0.25800000000000001</v>
      </c>
      <c r="D41" s="3">
        <v>0.95</v>
      </c>
      <c r="E41" s="3">
        <v>0.19800000000000001</v>
      </c>
      <c r="F41" s="3">
        <v>0.98099999999999998</v>
      </c>
      <c r="G41" s="3">
        <v>0.17899999999999999</v>
      </c>
      <c r="H41" s="3">
        <v>0.878</v>
      </c>
      <c r="I41" s="3">
        <v>0.23300000000000001</v>
      </c>
      <c r="J41" s="3">
        <v>0.98</v>
      </c>
      <c r="K41" s="3">
        <v>0.19700000000000001</v>
      </c>
      <c r="L41" s="3">
        <v>0.96199999999999997</v>
      </c>
      <c r="M41" s="3">
        <v>0.16400000000000001</v>
      </c>
      <c r="N41" s="3">
        <v>0.94299999999999995</v>
      </c>
      <c r="O41" s="3">
        <v>9.5000000000000001E-2</v>
      </c>
      <c r="P41" s="3">
        <v>0.94299999999999995</v>
      </c>
      <c r="Q41" s="3">
        <v>0.24399999999999999</v>
      </c>
      <c r="R41" s="3">
        <v>0.97499999999999998</v>
      </c>
      <c r="S41" s="3">
        <v>0.21</v>
      </c>
      <c r="T41" s="3">
        <v>0.98499999999999999</v>
      </c>
      <c r="U41" s="3">
        <v>0.21</v>
      </c>
      <c r="V41" s="3">
        <v>0.99099999999999999</v>
      </c>
      <c r="W41" s="3">
        <v>0.20399999999999999</v>
      </c>
      <c r="X41" s="3">
        <v>0.96699999999999997</v>
      </c>
      <c r="Y41" s="3">
        <v>0.193</v>
      </c>
      <c r="Z41" s="3">
        <v>0.99299999999999999</v>
      </c>
      <c r="AA41" s="3">
        <v>0.14599999999999999</v>
      </c>
      <c r="AB41" s="3">
        <v>0.99299999999999999</v>
      </c>
      <c r="AC41" s="3">
        <v>0.98</v>
      </c>
      <c r="AD41" s="3">
        <v>0.97799999999999998</v>
      </c>
      <c r="AE41" s="3">
        <v>0.97899999999999998</v>
      </c>
      <c r="AF41" s="3">
        <v>0.99033333300000004</v>
      </c>
      <c r="AG41" s="3">
        <v>0.96199999999999997</v>
      </c>
      <c r="AH41" s="3">
        <v>0.98099999999999998</v>
      </c>
      <c r="AI41" s="3">
        <v>0.98599999999999999</v>
      </c>
      <c r="AJ41" s="3">
        <v>0.94399999999999995</v>
      </c>
      <c r="AK41" s="3">
        <v>0.96499999999999997</v>
      </c>
      <c r="AL41" s="3">
        <v>0.98966666700000006</v>
      </c>
      <c r="AM41" s="3">
        <v>0.01</v>
      </c>
      <c r="AN41" s="3">
        <v>0.97</v>
      </c>
      <c r="AO41" s="3">
        <v>0.99199999999999999</v>
      </c>
    </row>
    <row r="42" spans="1:41" x14ac:dyDescent="0.3">
      <c r="A42" s="2" t="s">
        <v>315</v>
      </c>
      <c r="B42" s="2" t="s">
        <v>342</v>
      </c>
      <c r="C42" s="3">
        <v>0.17899999999999999</v>
      </c>
      <c r="D42" s="3">
        <v>0.90400000000000003</v>
      </c>
      <c r="E42" s="3">
        <v>0.159</v>
      </c>
      <c r="F42" s="3">
        <v>0.98099999999999998</v>
      </c>
      <c r="G42" s="3">
        <v>0.17899999999999999</v>
      </c>
      <c r="H42" s="3">
        <v>0.93</v>
      </c>
      <c r="I42" s="3">
        <v>0.29599999999999999</v>
      </c>
      <c r="J42" s="3">
        <v>0.97499999999999998</v>
      </c>
      <c r="K42" s="3">
        <v>0.152</v>
      </c>
      <c r="L42" s="3">
        <v>0.96699999999999997</v>
      </c>
      <c r="M42" s="3">
        <v>0.19500000000000001</v>
      </c>
      <c r="N42" s="3">
        <v>0.90500000000000003</v>
      </c>
      <c r="O42" s="3">
        <v>8.2000000000000003E-2</v>
      </c>
      <c r="P42" s="3">
        <v>0.90500000000000003</v>
      </c>
      <c r="Q42" s="3">
        <v>0.184</v>
      </c>
      <c r="R42" s="3">
        <v>0.95299999999999996</v>
      </c>
      <c r="S42" s="3">
        <v>0.16800000000000001</v>
      </c>
      <c r="T42" s="3">
        <v>0.98099999999999998</v>
      </c>
      <c r="U42" s="3">
        <v>0.16800000000000001</v>
      </c>
      <c r="V42" s="3">
        <v>0.99199999999999999</v>
      </c>
      <c r="W42" s="3">
        <v>0.15</v>
      </c>
      <c r="X42" s="3">
        <v>0.97399999999999998</v>
      </c>
      <c r="Y42" s="3">
        <v>0.156</v>
      </c>
      <c r="Z42" s="3">
        <v>0.99199999999999999</v>
      </c>
      <c r="AA42" s="3">
        <v>0.14699999999999999</v>
      </c>
      <c r="AB42" s="3">
        <v>0.98899999999999999</v>
      </c>
      <c r="AC42" s="3">
        <v>0.98299999999999998</v>
      </c>
      <c r="AD42" s="3">
        <v>0.98</v>
      </c>
      <c r="AE42" s="3">
        <v>0.97899999999999998</v>
      </c>
      <c r="AF42" s="3">
        <v>0.99099999999999999</v>
      </c>
      <c r="AG42" s="3">
        <v>0.97016666699999998</v>
      </c>
      <c r="AH42" s="3">
        <v>0.98199999999999998</v>
      </c>
      <c r="AI42" s="3">
        <v>0.98750000000000004</v>
      </c>
      <c r="AJ42" s="3">
        <v>0.95733333300000001</v>
      </c>
      <c r="AK42" s="3">
        <v>0.97750000000000004</v>
      </c>
      <c r="AL42" s="3">
        <v>0.98899999999999999</v>
      </c>
      <c r="AM42" s="3">
        <v>0.01</v>
      </c>
      <c r="AN42" s="3">
        <v>0.97333333300000002</v>
      </c>
      <c r="AO42" s="3">
        <v>0.99099999999999999</v>
      </c>
    </row>
    <row r="43" spans="1:41" x14ac:dyDescent="0.3">
      <c r="A43" s="2" t="s">
        <v>315</v>
      </c>
      <c r="B43" s="2" t="s">
        <v>343</v>
      </c>
      <c r="C43" s="3">
        <v>0.13</v>
      </c>
      <c r="D43" s="3">
        <v>0.86699999999999999</v>
      </c>
      <c r="E43" s="3">
        <v>0.13200000000000001</v>
      </c>
      <c r="F43" s="3">
        <v>0.98499999999999999</v>
      </c>
      <c r="G43" s="3">
        <v>0.21299999999999999</v>
      </c>
      <c r="H43" s="3">
        <v>0.98</v>
      </c>
      <c r="I43" s="3">
        <v>0.252</v>
      </c>
      <c r="J43" s="3">
        <v>0.97399999999999998</v>
      </c>
      <c r="K43" s="3">
        <v>0.126</v>
      </c>
      <c r="L43" s="3">
        <v>0.98199999999999998</v>
      </c>
      <c r="M43" s="3">
        <v>0.20300000000000001</v>
      </c>
      <c r="N43" s="3">
        <v>0.82399999999999995</v>
      </c>
      <c r="O43" s="3">
        <v>6.0999999999999999E-2</v>
      </c>
      <c r="P43" s="3">
        <v>0.82399999999999995</v>
      </c>
      <c r="Q43" s="3">
        <v>0.126</v>
      </c>
      <c r="R43" s="3">
        <v>0.94799999999999995</v>
      </c>
      <c r="S43" s="3">
        <v>0.13800000000000001</v>
      </c>
      <c r="T43" s="3">
        <v>0.98199999999999998</v>
      </c>
      <c r="U43" s="3">
        <v>0.13800000000000001</v>
      </c>
      <c r="V43" s="3">
        <v>0.99299999999999999</v>
      </c>
      <c r="W43" s="3">
        <v>0.13200000000000001</v>
      </c>
      <c r="X43" s="3">
        <v>0.98799999999999999</v>
      </c>
      <c r="Y43" s="3">
        <v>0.13100000000000001</v>
      </c>
      <c r="Z43" s="3">
        <v>0.98899999999999999</v>
      </c>
      <c r="AA43" s="3">
        <v>0.161</v>
      </c>
      <c r="AB43" s="3">
        <v>0.97399999999999998</v>
      </c>
      <c r="AC43" s="3">
        <v>0.98550000000000004</v>
      </c>
      <c r="AD43" s="3">
        <v>0.97950000000000004</v>
      </c>
      <c r="AE43" s="3">
        <v>0.97650000000000003</v>
      </c>
      <c r="AF43" s="3">
        <v>0.99133333300000004</v>
      </c>
      <c r="AG43" s="3">
        <v>0.97691666700000002</v>
      </c>
      <c r="AH43" s="3">
        <v>0.98599999999999999</v>
      </c>
      <c r="AI43" s="3">
        <v>0.98650000000000004</v>
      </c>
      <c r="AJ43" s="3">
        <v>0.96833333300000002</v>
      </c>
      <c r="AK43" s="3">
        <v>0.98250000000000004</v>
      </c>
      <c r="AL43" s="3">
        <v>0.98599999999999999</v>
      </c>
      <c r="AM43" s="3">
        <v>0.01</v>
      </c>
      <c r="AN43" s="3">
        <v>0.97666666700000004</v>
      </c>
      <c r="AO43" s="3">
        <v>0.99199999999999999</v>
      </c>
    </row>
    <row r="44" spans="1:41" x14ac:dyDescent="0.3">
      <c r="A44" s="2" t="s">
        <v>315</v>
      </c>
      <c r="B44" s="2" t="s">
        <v>344</v>
      </c>
      <c r="C44" s="3">
        <v>7.5999999999999998E-2</v>
      </c>
      <c r="D44" s="3">
        <v>0.90300000000000002</v>
      </c>
      <c r="E44" s="3">
        <v>9.1999999999999998E-2</v>
      </c>
      <c r="F44" s="3">
        <v>0.98799999999999999</v>
      </c>
      <c r="G44" s="3">
        <v>0.158</v>
      </c>
      <c r="H44" s="3">
        <v>0.99199999999999999</v>
      </c>
      <c r="I44" s="3">
        <v>9.7000000000000003E-2</v>
      </c>
      <c r="J44" s="3">
        <v>0.98</v>
      </c>
      <c r="K44" s="3">
        <v>8.4000000000000005E-2</v>
      </c>
      <c r="L44" s="3">
        <v>0.99299999999999999</v>
      </c>
      <c r="M44" s="3">
        <v>0.11</v>
      </c>
      <c r="N44" s="3">
        <v>0.67200000000000004</v>
      </c>
      <c r="O44" s="3">
        <v>2.8000000000000001E-2</v>
      </c>
      <c r="P44" s="3">
        <v>0.67200000000000004</v>
      </c>
      <c r="Q44" s="3">
        <v>7.3999999999999996E-2</v>
      </c>
      <c r="R44" s="3">
        <v>0.95299999999999996</v>
      </c>
      <c r="S44" s="3">
        <v>9.2999999999999999E-2</v>
      </c>
      <c r="T44" s="3">
        <v>0.98699999999999999</v>
      </c>
      <c r="U44" s="3">
        <v>9.2999999999999999E-2</v>
      </c>
      <c r="V44" s="3">
        <v>0.99</v>
      </c>
      <c r="W44" s="3">
        <v>0.113</v>
      </c>
      <c r="X44" s="3">
        <v>0.99199999999999999</v>
      </c>
      <c r="Y44" s="3">
        <v>0.107</v>
      </c>
      <c r="Z44" s="3">
        <v>0.97899999999999998</v>
      </c>
      <c r="AA44" s="3">
        <v>7.2999999999999995E-2</v>
      </c>
      <c r="AB44" s="3">
        <v>0.94499999999999995</v>
      </c>
      <c r="AC44" s="3">
        <v>0.98550000000000004</v>
      </c>
      <c r="AD44" s="3">
        <v>0.97650000000000003</v>
      </c>
      <c r="AE44" s="3">
        <v>0.97499999999999998</v>
      </c>
      <c r="AF44" s="3">
        <v>0.99099999999999999</v>
      </c>
      <c r="AG44" s="3">
        <v>0.98141666699999996</v>
      </c>
      <c r="AH44" s="3">
        <v>0.98799999999999999</v>
      </c>
      <c r="AI44" s="3">
        <v>0.98550000000000004</v>
      </c>
      <c r="AJ44" s="3">
        <v>0.97733333300000003</v>
      </c>
      <c r="AK44" s="3">
        <v>0.98499999999999999</v>
      </c>
      <c r="AL44" s="3">
        <v>0.98166666700000005</v>
      </c>
      <c r="AM44" s="3">
        <v>0.01</v>
      </c>
      <c r="AN44" s="3">
        <v>0.97766666700000004</v>
      </c>
      <c r="AO44" s="3">
        <v>0.99199999999999999</v>
      </c>
    </row>
    <row r="45" spans="1:41" x14ac:dyDescent="0.3">
      <c r="A45" s="2" t="s">
        <v>315</v>
      </c>
      <c r="B45" s="2" t="s">
        <v>345</v>
      </c>
      <c r="C45" s="3">
        <v>0.02</v>
      </c>
      <c r="D45" s="3">
        <v>0.95199999999999996</v>
      </c>
      <c r="E45" s="3">
        <v>3.1E-2</v>
      </c>
      <c r="F45" s="3">
        <v>0.99199999999999999</v>
      </c>
      <c r="G45" s="3">
        <v>3.9E-2</v>
      </c>
      <c r="H45" s="3">
        <v>0.99</v>
      </c>
      <c r="I45" s="3">
        <v>1.4999999999999999E-2</v>
      </c>
      <c r="J45" s="3">
        <v>0.99199999999999999</v>
      </c>
      <c r="K45" s="3">
        <v>2.8000000000000001E-2</v>
      </c>
      <c r="L45" s="3">
        <v>0.99299999999999999</v>
      </c>
      <c r="M45" s="3">
        <v>1.7999999999999999E-2</v>
      </c>
      <c r="N45" s="3">
        <v>0.47899999999999998</v>
      </c>
      <c r="O45" s="3">
        <v>4.0000000000000001E-3</v>
      </c>
      <c r="P45" s="3">
        <v>0.47899999999999998</v>
      </c>
      <c r="Q45" s="3">
        <v>2.3E-2</v>
      </c>
      <c r="R45" s="3">
        <v>0.97299999999999998</v>
      </c>
      <c r="S45" s="3">
        <v>3.5000000000000003E-2</v>
      </c>
      <c r="T45" s="3">
        <v>0.99299999999999999</v>
      </c>
      <c r="U45" s="3">
        <v>3.5999999999999997E-2</v>
      </c>
      <c r="V45" s="3">
        <v>0.97799999999999998</v>
      </c>
      <c r="W45" s="3">
        <v>0.04</v>
      </c>
      <c r="X45" s="3">
        <v>0.97499999999999998</v>
      </c>
      <c r="Y45" s="3">
        <v>3.5999999999999997E-2</v>
      </c>
      <c r="Z45" s="3">
        <v>0.96399999999999997</v>
      </c>
      <c r="AA45" s="3">
        <v>1.9E-2</v>
      </c>
      <c r="AB45" s="3">
        <v>0.91500000000000004</v>
      </c>
      <c r="AC45" s="3">
        <v>0.98450000000000004</v>
      </c>
      <c r="AD45" s="3">
        <v>0.97250000000000003</v>
      </c>
      <c r="AE45" s="3">
        <v>0.97550000000000003</v>
      </c>
      <c r="AF45" s="3">
        <v>0.99033333300000004</v>
      </c>
      <c r="AG45" s="3">
        <v>0.98208333400000003</v>
      </c>
      <c r="AH45" s="3">
        <v>0.99099999999999999</v>
      </c>
      <c r="AI45" s="3">
        <v>0.98299999999999998</v>
      </c>
      <c r="AJ45" s="3">
        <v>0.97966666700000005</v>
      </c>
      <c r="AK45" s="3">
        <v>0.98350000000000004</v>
      </c>
      <c r="AL45" s="3">
        <v>0.98033333300000003</v>
      </c>
      <c r="AM45" s="3">
        <v>0.01</v>
      </c>
      <c r="AN45" s="3">
        <v>0.97766666700000004</v>
      </c>
      <c r="AO45" s="3">
        <v>0.99299999999999999</v>
      </c>
    </row>
    <row r="46" spans="1:41" x14ac:dyDescent="0.3">
      <c r="A46" s="2" t="s">
        <v>315</v>
      </c>
      <c r="B46" s="2" t="s">
        <v>346</v>
      </c>
      <c r="C46" s="3">
        <v>0</v>
      </c>
      <c r="D46" s="3">
        <v>0.98199999999999998</v>
      </c>
      <c r="E46" s="3">
        <v>0</v>
      </c>
      <c r="F46" s="3">
        <v>0.98899999999999999</v>
      </c>
      <c r="G46" s="3">
        <v>0</v>
      </c>
      <c r="H46" s="3">
        <v>0.96299999999999997</v>
      </c>
      <c r="I46" s="3">
        <v>0</v>
      </c>
      <c r="J46" s="3">
        <v>0.99</v>
      </c>
      <c r="K46" s="3">
        <v>0</v>
      </c>
      <c r="L46" s="3">
        <v>0.99299999999999999</v>
      </c>
      <c r="M46" s="3">
        <v>0</v>
      </c>
      <c r="N46" s="3">
        <v>0.374</v>
      </c>
      <c r="O46" s="3">
        <v>0</v>
      </c>
      <c r="P46" s="3">
        <v>0.374</v>
      </c>
      <c r="Q46" s="3">
        <v>0</v>
      </c>
      <c r="R46" s="3">
        <v>0.99099999999999999</v>
      </c>
      <c r="S46" s="3">
        <v>0</v>
      </c>
      <c r="T46" s="3">
        <v>0.98799999999999999</v>
      </c>
      <c r="U46" s="3">
        <v>0</v>
      </c>
      <c r="V46" s="3">
        <v>0.95499999999999996</v>
      </c>
      <c r="W46" s="3">
        <v>0</v>
      </c>
      <c r="X46" s="3">
        <v>0.93200000000000005</v>
      </c>
      <c r="Y46" s="3">
        <v>0</v>
      </c>
      <c r="Z46" s="3">
        <v>0.94199999999999995</v>
      </c>
      <c r="AA46" s="3">
        <v>0</v>
      </c>
      <c r="AB46" s="3">
        <v>0.872</v>
      </c>
      <c r="AC46" s="3">
        <v>0.98350000000000004</v>
      </c>
      <c r="AD46" s="3">
        <v>0.97299999999999998</v>
      </c>
      <c r="AE46" s="3">
        <v>0.97899999999999998</v>
      </c>
      <c r="AF46" s="3">
        <v>0.98833333300000004</v>
      </c>
      <c r="AG46" s="3">
        <v>0.97941666699999996</v>
      </c>
      <c r="AH46" s="3">
        <v>0.99299999999999999</v>
      </c>
      <c r="AI46" s="3">
        <v>0.97099999999999997</v>
      </c>
      <c r="AJ46" s="3">
        <v>0.97533333300000002</v>
      </c>
      <c r="AK46" s="3">
        <v>0.97399999999999998</v>
      </c>
      <c r="AL46" s="3">
        <v>0.98266666700000005</v>
      </c>
      <c r="AM46" s="3">
        <v>0.01</v>
      </c>
      <c r="AN46" s="3">
        <v>0.97399999999999998</v>
      </c>
      <c r="AO46" s="3">
        <v>0.99099999999999999</v>
      </c>
    </row>
    <row r="47" spans="1:41" x14ac:dyDescent="0.3">
      <c r="A47" s="2" t="s">
        <v>315</v>
      </c>
      <c r="B47" s="2" t="s">
        <v>347</v>
      </c>
      <c r="C47" s="3">
        <v>0</v>
      </c>
      <c r="D47" s="3">
        <v>0.99299999999999999</v>
      </c>
      <c r="E47" s="3">
        <v>0</v>
      </c>
      <c r="F47" s="3">
        <v>0.94799999999999995</v>
      </c>
      <c r="G47" s="3">
        <v>0</v>
      </c>
      <c r="H47" s="3">
        <v>0.88700000000000001</v>
      </c>
      <c r="I47" s="3">
        <v>0</v>
      </c>
      <c r="J47" s="3">
        <v>0.97</v>
      </c>
      <c r="K47" s="3">
        <v>0</v>
      </c>
      <c r="L47" s="3">
        <v>0.97499999999999998</v>
      </c>
      <c r="M47" s="3">
        <v>0</v>
      </c>
      <c r="N47" s="3">
        <v>0.38</v>
      </c>
      <c r="O47" s="3">
        <v>0</v>
      </c>
      <c r="P47" s="3">
        <v>0.38</v>
      </c>
      <c r="Q47" s="3">
        <v>0</v>
      </c>
      <c r="R47" s="3">
        <v>0.99199999999999999</v>
      </c>
      <c r="S47" s="3">
        <v>0</v>
      </c>
      <c r="T47" s="3">
        <v>0.96899999999999997</v>
      </c>
      <c r="U47" s="3">
        <v>0</v>
      </c>
      <c r="V47" s="3">
        <v>0.92600000000000005</v>
      </c>
      <c r="W47" s="3">
        <v>0</v>
      </c>
      <c r="X47" s="3">
        <v>0.86399999999999999</v>
      </c>
      <c r="Y47" s="3">
        <v>0</v>
      </c>
      <c r="Z47" s="3">
        <v>0.91500000000000004</v>
      </c>
      <c r="AA47" s="3">
        <v>0</v>
      </c>
      <c r="AB47" s="3">
        <v>0.83299999999999996</v>
      </c>
      <c r="AC47" s="3">
        <v>0.98250000000000004</v>
      </c>
      <c r="AD47" s="3">
        <v>0.97350000000000003</v>
      </c>
      <c r="AE47" s="3">
        <v>0.98250000000000004</v>
      </c>
      <c r="AF47" s="3">
        <v>0.98866666700000005</v>
      </c>
      <c r="AG47" s="3">
        <v>0.97424999999999995</v>
      </c>
      <c r="AH47" s="3">
        <v>0.99199999999999999</v>
      </c>
      <c r="AI47" s="3">
        <v>0.95</v>
      </c>
      <c r="AJ47" s="3">
        <v>0.96599999999999997</v>
      </c>
      <c r="AK47" s="3">
        <v>0.96599999999999997</v>
      </c>
      <c r="AL47" s="3">
        <v>0.98299999999999998</v>
      </c>
      <c r="AM47" s="3">
        <v>0.01</v>
      </c>
      <c r="AN47" s="3">
        <v>0.97399999999999998</v>
      </c>
      <c r="AO47" s="3">
        <v>0.98899999999999999</v>
      </c>
    </row>
    <row r="48" spans="1:41" x14ac:dyDescent="0.3">
      <c r="A48" s="2" t="s">
        <v>315</v>
      </c>
      <c r="B48" s="2" t="s">
        <v>348</v>
      </c>
      <c r="C48" s="3">
        <v>0</v>
      </c>
      <c r="D48" s="3">
        <v>0.98499999999999999</v>
      </c>
      <c r="E48" s="3">
        <v>0</v>
      </c>
      <c r="F48" s="3">
        <v>0.85699999999999998</v>
      </c>
      <c r="G48" s="3">
        <v>0</v>
      </c>
      <c r="H48" s="3">
        <v>0.77500000000000002</v>
      </c>
      <c r="I48" s="3">
        <v>0</v>
      </c>
      <c r="J48" s="3">
        <v>0.92700000000000005</v>
      </c>
      <c r="K48" s="3">
        <v>0</v>
      </c>
      <c r="L48" s="3">
        <v>0.85899999999999999</v>
      </c>
      <c r="M48" s="3">
        <v>0</v>
      </c>
      <c r="N48" s="3">
        <v>0.41199999999999998</v>
      </c>
      <c r="O48" s="3">
        <v>0</v>
      </c>
      <c r="P48" s="3">
        <v>0.41199999999999998</v>
      </c>
      <c r="Q48" s="3">
        <v>0</v>
      </c>
      <c r="R48" s="3">
        <v>0.98099999999999998</v>
      </c>
      <c r="S48" s="3">
        <v>0</v>
      </c>
      <c r="T48" s="3">
        <v>0.93500000000000005</v>
      </c>
      <c r="U48" s="3">
        <v>0</v>
      </c>
      <c r="V48" s="3">
        <v>0.88800000000000001</v>
      </c>
      <c r="W48" s="3">
        <v>0</v>
      </c>
      <c r="X48" s="3">
        <v>0.77600000000000002</v>
      </c>
      <c r="Y48" s="3">
        <v>0</v>
      </c>
      <c r="Z48" s="3">
        <v>0.876</v>
      </c>
      <c r="AA48" s="3">
        <v>0</v>
      </c>
      <c r="AB48" s="3">
        <v>0.79200000000000004</v>
      </c>
      <c r="AC48" s="3">
        <v>0.98299999999999998</v>
      </c>
      <c r="AD48" s="3">
        <v>0.97299999999999998</v>
      </c>
      <c r="AE48" s="3">
        <v>0.98450000000000004</v>
      </c>
      <c r="AF48" s="3">
        <v>0.99166666699999995</v>
      </c>
      <c r="AG48" s="3">
        <v>0.97166666700000004</v>
      </c>
      <c r="AH48" s="3">
        <v>0.99199999999999999</v>
      </c>
      <c r="AI48" s="3">
        <v>0.92500000000000004</v>
      </c>
      <c r="AJ48" s="3">
        <v>0.96033333300000001</v>
      </c>
      <c r="AK48" s="3">
        <v>0.97350000000000003</v>
      </c>
      <c r="AL48" s="3">
        <v>0.97533333300000002</v>
      </c>
      <c r="AM48" s="3">
        <v>0.01</v>
      </c>
      <c r="AN48" s="3">
        <v>0.97433333300000002</v>
      </c>
      <c r="AO48" s="3">
        <v>0.98299999999999998</v>
      </c>
    </row>
    <row r="49" spans="1:41" x14ac:dyDescent="0.3">
      <c r="A49" s="2" t="s">
        <v>315</v>
      </c>
      <c r="B49" s="2" t="s">
        <v>349</v>
      </c>
      <c r="C49" s="3">
        <v>0</v>
      </c>
      <c r="D49" s="3">
        <v>0.93600000000000005</v>
      </c>
      <c r="E49" s="3">
        <v>0</v>
      </c>
      <c r="F49" s="3">
        <v>0.67700000000000005</v>
      </c>
      <c r="G49" s="3">
        <v>0</v>
      </c>
      <c r="H49" s="3">
        <v>0.628</v>
      </c>
      <c r="I49" s="3">
        <v>0</v>
      </c>
      <c r="J49" s="3">
        <v>0.85099999999999998</v>
      </c>
      <c r="K49" s="3">
        <v>0</v>
      </c>
      <c r="L49" s="3">
        <v>0.95599999999999996</v>
      </c>
      <c r="M49" s="3">
        <v>0</v>
      </c>
      <c r="N49" s="3">
        <v>0.42799999999999999</v>
      </c>
      <c r="O49" s="3">
        <v>0</v>
      </c>
      <c r="P49" s="3">
        <v>0.42799999999999999</v>
      </c>
      <c r="Q49" s="3">
        <v>0</v>
      </c>
      <c r="R49" s="3">
        <v>0.94799999999999995</v>
      </c>
      <c r="S49" s="3">
        <v>0</v>
      </c>
      <c r="T49" s="3">
        <v>0.873</v>
      </c>
      <c r="U49" s="3">
        <v>0</v>
      </c>
      <c r="V49" s="3">
        <v>0.84299999999999997</v>
      </c>
      <c r="W49" s="3">
        <v>0</v>
      </c>
      <c r="X49" s="3">
        <v>0.69399999999999995</v>
      </c>
      <c r="Y49" s="3">
        <v>0</v>
      </c>
      <c r="Z49" s="3">
        <v>0.82899999999999996</v>
      </c>
      <c r="AA49" s="3">
        <v>0</v>
      </c>
      <c r="AB49" s="3">
        <v>0.75600000000000001</v>
      </c>
      <c r="AC49" s="3">
        <v>0.98650000000000004</v>
      </c>
      <c r="AD49" s="3">
        <v>0.97899999999999998</v>
      </c>
      <c r="AE49" s="3">
        <v>0.98350000000000004</v>
      </c>
      <c r="AF49" s="3">
        <v>0.99033333300000004</v>
      </c>
      <c r="AG49" s="3">
        <v>0.97541666699999996</v>
      </c>
      <c r="AH49" s="3">
        <v>0.99199999999999999</v>
      </c>
      <c r="AI49" s="3">
        <v>0.89400000000000002</v>
      </c>
      <c r="AJ49" s="3">
        <v>0.96433333300000001</v>
      </c>
      <c r="AK49" s="3">
        <v>0.98450000000000004</v>
      </c>
      <c r="AL49" s="3">
        <v>0.96633333300000002</v>
      </c>
      <c r="AM49" s="3">
        <v>0.01</v>
      </c>
      <c r="AN49" s="3">
        <v>0.97866666700000005</v>
      </c>
      <c r="AO49" s="3">
        <v>0.96599999999999997</v>
      </c>
    </row>
    <row r="50" spans="1:41" x14ac:dyDescent="0.3">
      <c r="A50" s="2" t="s">
        <v>315</v>
      </c>
      <c r="B50" s="2" t="s">
        <v>350</v>
      </c>
      <c r="C50" s="3">
        <v>0</v>
      </c>
      <c r="D50" s="3">
        <v>0.83899999999999997</v>
      </c>
      <c r="E50" s="3">
        <v>0</v>
      </c>
      <c r="F50" s="3">
        <v>0.55000000000000004</v>
      </c>
      <c r="G50" s="3">
        <v>0</v>
      </c>
      <c r="H50" s="3">
        <v>0.505</v>
      </c>
      <c r="I50" s="3">
        <v>0</v>
      </c>
      <c r="J50" s="3">
        <v>0.74399999999999999</v>
      </c>
      <c r="K50" s="3">
        <v>0</v>
      </c>
      <c r="L50" s="3">
        <v>0.99</v>
      </c>
      <c r="M50" s="3">
        <v>0</v>
      </c>
      <c r="N50" s="3">
        <v>0.45400000000000001</v>
      </c>
      <c r="O50" s="3">
        <v>0</v>
      </c>
      <c r="P50" s="3">
        <v>0.45400000000000001</v>
      </c>
      <c r="Q50" s="3">
        <v>0</v>
      </c>
      <c r="R50" s="3">
        <v>0.879</v>
      </c>
      <c r="S50" s="3">
        <v>0</v>
      </c>
      <c r="T50" s="3">
        <v>0.78900000000000003</v>
      </c>
      <c r="U50" s="3">
        <v>0</v>
      </c>
      <c r="V50" s="3">
        <v>0.79500000000000004</v>
      </c>
      <c r="W50" s="3">
        <v>0</v>
      </c>
      <c r="X50" s="3">
        <v>0.65200000000000002</v>
      </c>
      <c r="Y50" s="3">
        <v>0</v>
      </c>
      <c r="Z50" s="3">
        <v>0.78900000000000003</v>
      </c>
      <c r="AA50" s="3">
        <v>0</v>
      </c>
      <c r="AB50" s="3">
        <v>0.71699999999999997</v>
      </c>
      <c r="AC50" s="3">
        <v>0.98799999999999999</v>
      </c>
      <c r="AD50" s="3">
        <v>0.98350000000000004</v>
      </c>
      <c r="AE50" s="3">
        <v>0.98250000000000004</v>
      </c>
      <c r="AF50" s="3">
        <v>0.99133333300000004</v>
      </c>
      <c r="AG50" s="3">
        <v>0.97950000000000004</v>
      </c>
      <c r="AH50" s="3">
        <v>0.99</v>
      </c>
      <c r="AI50" s="3">
        <v>0.87549999999999994</v>
      </c>
      <c r="AJ50" s="3">
        <v>0.97099999999999997</v>
      </c>
      <c r="AK50" s="3">
        <v>0.98550000000000004</v>
      </c>
      <c r="AL50" s="3">
        <v>0.95166666700000002</v>
      </c>
      <c r="AM50" s="3">
        <v>0.01</v>
      </c>
      <c r="AN50" s="3">
        <v>0.98266666700000005</v>
      </c>
      <c r="AO50" s="3">
        <v>0.95099999999999996</v>
      </c>
    </row>
    <row r="51" spans="1:41" x14ac:dyDescent="0.3">
      <c r="A51" s="2" t="s">
        <v>315</v>
      </c>
      <c r="B51" s="2" t="s">
        <v>351</v>
      </c>
      <c r="C51" s="3">
        <v>0</v>
      </c>
      <c r="D51" s="3">
        <v>0.66200000000000003</v>
      </c>
      <c r="E51" s="3">
        <v>0</v>
      </c>
      <c r="F51" s="3">
        <v>0.52</v>
      </c>
      <c r="G51" s="3">
        <v>0</v>
      </c>
      <c r="H51" s="3">
        <v>0.44900000000000001</v>
      </c>
      <c r="I51" s="3">
        <v>0</v>
      </c>
      <c r="J51" s="3">
        <v>0.56899999999999995</v>
      </c>
      <c r="K51" s="3">
        <v>0</v>
      </c>
      <c r="L51" s="3">
        <v>0.99299999999999999</v>
      </c>
      <c r="M51" s="3">
        <v>0</v>
      </c>
      <c r="N51" s="3">
        <v>0.51200000000000001</v>
      </c>
      <c r="O51" s="3">
        <v>0</v>
      </c>
      <c r="P51" s="3">
        <v>0.51200000000000001</v>
      </c>
      <c r="Q51" s="3">
        <v>0</v>
      </c>
      <c r="R51" s="3">
        <v>0.79500000000000004</v>
      </c>
      <c r="S51" s="3">
        <v>0</v>
      </c>
      <c r="T51" s="3">
        <v>0.65300000000000002</v>
      </c>
      <c r="U51" s="3">
        <v>0</v>
      </c>
      <c r="V51" s="3">
        <v>0.74</v>
      </c>
      <c r="W51" s="3">
        <v>0</v>
      </c>
      <c r="X51" s="3">
        <v>0.64600000000000002</v>
      </c>
      <c r="Y51" s="3">
        <v>0</v>
      </c>
      <c r="Z51" s="3">
        <v>0.748</v>
      </c>
      <c r="AA51" s="3">
        <v>0</v>
      </c>
      <c r="AB51" s="3">
        <v>0.68200000000000005</v>
      </c>
      <c r="AC51" s="3">
        <v>0.98950000000000005</v>
      </c>
      <c r="AD51" s="3">
        <v>0.98650000000000004</v>
      </c>
      <c r="AE51" s="3">
        <v>0.98050000000000004</v>
      </c>
      <c r="AF51" s="3">
        <v>0.99133333300000004</v>
      </c>
      <c r="AG51" s="3">
        <v>0.98408333400000003</v>
      </c>
      <c r="AH51" s="3">
        <v>0.99099999999999999</v>
      </c>
      <c r="AI51" s="3">
        <v>0.90200000000000002</v>
      </c>
      <c r="AJ51" s="3">
        <v>0.97866666700000005</v>
      </c>
      <c r="AK51" s="3">
        <v>0.98599999999999999</v>
      </c>
      <c r="AL51" s="3">
        <v>0.92900000000000005</v>
      </c>
      <c r="AM51" s="3">
        <v>0.01</v>
      </c>
      <c r="AN51" s="3">
        <v>0.98033333300000003</v>
      </c>
      <c r="AO51" s="3">
        <v>0.96799999999999997</v>
      </c>
    </row>
    <row r="52" spans="1:41" x14ac:dyDescent="0.3">
      <c r="A52" s="2" t="s">
        <v>315</v>
      </c>
      <c r="B52" s="2" t="s">
        <v>352</v>
      </c>
      <c r="C52" s="3">
        <v>0</v>
      </c>
      <c r="D52" s="3">
        <v>0.52300000000000002</v>
      </c>
      <c r="E52" s="3">
        <v>0</v>
      </c>
      <c r="F52" s="3">
        <v>0.42899999999999999</v>
      </c>
      <c r="G52" s="3">
        <v>0</v>
      </c>
      <c r="H52" s="3">
        <v>0.39100000000000001</v>
      </c>
      <c r="I52" s="3">
        <v>0</v>
      </c>
      <c r="J52" s="3">
        <v>0.505</v>
      </c>
      <c r="K52" s="3">
        <v>0</v>
      </c>
      <c r="L52" s="3">
        <v>0.98899999999999999</v>
      </c>
      <c r="M52" s="3">
        <v>0</v>
      </c>
      <c r="N52" s="3">
        <v>0.54900000000000004</v>
      </c>
      <c r="O52" s="3">
        <v>0</v>
      </c>
      <c r="P52" s="3">
        <v>0.54900000000000004</v>
      </c>
      <c r="Q52" s="3">
        <v>0</v>
      </c>
      <c r="R52" s="3">
        <v>0.71199999999999997</v>
      </c>
      <c r="S52" s="3">
        <v>0</v>
      </c>
      <c r="T52" s="3">
        <v>0.61599999999999999</v>
      </c>
      <c r="U52" s="3">
        <v>0</v>
      </c>
      <c r="V52" s="3">
        <v>0.69299999999999995</v>
      </c>
      <c r="W52" s="3">
        <v>0</v>
      </c>
      <c r="X52" s="3">
        <v>0.61799999999999999</v>
      </c>
      <c r="Y52" s="3">
        <v>0</v>
      </c>
      <c r="Z52" s="3">
        <v>0.65800000000000003</v>
      </c>
      <c r="AA52" s="3">
        <v>0</v>
      </c>
      <c r="AB52" s="3">
        <v>0.65</v>
      </c>
      <c r="AC52" s="3">
        <v>0.99050000000000005</v>
      </c>
      <c r="AD52" s="3">
        <v>0.98650000000000004</v>
      </c>
      <c r="AE52" s="3">
        <v>0.97350000000000003</v>
      </c>
      <c r="AF52" s="3">
        <v>0.98899999999999999</v>
      </c>
      <c r="AG52" s="3">
        <v>0.98708333400000003</v>
      </c>
      <c r="AH52" s="3">
        <v>0.99199999999999999</v>
      </c>
      <c r="AI52" s="3">
        <v>0.95950000000000002</v>
      </c>
      <c r="AJ52" s="3">
        <v>0.98366666700000005</v>
      </c>
      <c r="AK52" s="3">
        <v>0.98850000000000005</v>
      </c>
      <c r="AL52" s="3">
        <v>0.91600000000000004</v>
      </c>
      <c r="AM52" s="3">
        <v>0.01</v>
      </c>
      <c r="AN52" s="3">
        <v>0.97733333300000003</v>
      </c>
      <c r="AO52" s="3">
        <v>0.98599999999999999</v>
      </c>
    </row>
    <row r="53" spans="1:41" x14ac:dyDescent="0.3">
      <c r="A53" s="2" t="s">
        <v>316</v>
      </c>
      <c r="B53" s="2" t="s">
        <v>329</v>
      </c>
      <c r="C53" s="3">
        <v>0</v>
      </c>
      <c r="D53" s="3">
        <v>0.57599999999999996</v>
      </c>
      <c r="E53" s="3">
        <v>0</v>
      </c>
      <c r="F53" s="3">
        <v>0.435</v>
      </c>
      <c r="G53" s="3">
        <v>0</v>
      </c>
      <c r="H53" s="3">
        <v>0.216</v>
      </c>
      <c r="I53" s="3">
        <v>0</v>
      </c>
      <c r="J53" s="3">
        <v>0.63</v>
      </c>
      <c r="K53" s="3">
        <v>0</v>
      </c>
      <c r="L53" s="3">
        <v>0.56699999999999995</v>
      </c>
      <c r="M53" s="3">
        <v>0</v>
      </c>
      <c r="N53" s="3">
        <v>3.2000000000000001E-2</v>
      </c>
      <c r="O53" s="3">
        <v>0</v>
      </c>
      <c r="P53" s="3">
        <v>3.2000000000000001E-2</v>
      </c>
      <c r="Q53" s="3">
        <v>0</v>
      </c>
      <c r="R53" s="3">
        <v>0.69399999999999995</v>
      </c>
      <c r="S53" s="3">
        <v>0</v>
      </c>
      <c r="T53" s="3">
        <v>0.73199999999999998</v>
      </c>
      <c r="U53" s="3">
        <v>0</v>
      </c>
      <c r="V53" s="3">
        <v>0.89100000000000001</v>
      </c>
      <c r="W53" s="3">
        <v>0</v>
      </c>
      <c r="X53" s="3">
        <v>0.622</v>
      </c>
      <c r="Y53" s="3">
        <v>0</v>
      </c>
      <c r="Z53" s="3">
        <v>0.746</v>
      </c>
      <c r="AA53" s="3">
        <v>0</v>
      </c>
      <c r="AB53" s="3">
        <v>0.23499999999999999</v>
      </c>
      <c r="AC53" s="3">
        <v>0.435</v>
      </c>
      <c r="AD53" s="3">
        <v>0.438</v>
      </c>
      <c r="AE53" s="3">
        <v>8.4000000000000005E-2</v>
      </c>
      <c r="AF53" s="3">
        <v>0.177666667</v>
      </c>
      <c r="AG53" s="3">
        <v>0.63949999999999996</v>
      </c>
      <c r="AH53" s="3">
        <v>0.19700000000000001</v>
      </c>
      <c r="AI53" s="3">
        <v>0.71799999999999997</v>
      </c>
      <c r="AJ53" s="3">
        <v>0.84399999999999997</v>
      </c>
      <c r="AK53" s="3">
        <v>0.86050000000000004</v>
      </c>
      <c r="AL53" s="3">
        <v>0.5</v>
      </c>
      <c r="AM53" s="3">
        <v>0.01</v>
      </c>
      <c r="AN53" s="3">
        <v>0.34933333300000002</v>
      </c>
      <c r="AO53" s="3">
        <v>0.50600000000000001</v>
      </c>
    </row>
    <row r="54" spans="1:41" x14ac:dyDescent="0.3">
      <c r="A54" s="2" t="s">
        <v>316</v>
      </c>
      <c r="B54" s="2" t="s">
        <v>330</v>
      </c>
      <c r="C54" s="3">
        <v>0</v>
      </c>
      <c r="D54" s="3">
        <v>0.60899999999999999</v>
      </c>
      <c r="E54" s="3">
        <v>0</v>
      </c>
      <c r="F54" s="3">
        <v>0.46300000000000002</v>
      </c>
      <c r="G54" s="3">
        <v>0</v>
      </c>
      <c r="H54" s="3">
        <v>0.22700000000000001</v>
      </c>
      <c r="I54" s="3">
        <v>0</v>
      </c>
      <c r="J54" s="3">
        <v>0.64</v>
      </c>
      <c r="K54" s="3">
        <v>0</v>
      </c>
      <c r="L54" s="3">
        <v>0.57199999999999995</v>
      </c>
      <c r="M54" s="3">
        <v>0</v>
      </c>
      <c r="N54" s="3">
        <v>3.7999999999999999E-2</v>
      </c>
      <c r="O54" s="3">
        <v>0</v>
      </c>
      <c r="P54" s="3">
        <v>3.7999999999999999E-2</v>
      </c>
      <c r="Q54" s="3">
        <v>0</v>
      </c>
      <c r="R54" s="3">
        <v>0.72099999999999997</v>
      </c>
      <c r="S54" s="3">
        <v>0</v>
      </c>
      <c r="T54" s="3">
        <v>0.73899999999999999</v>
      </c>
      <c r="U54" s="3">
        <v>0</v>
      </c>
      <c r="V54" s="3">
        <v>0.90400000000000003</v>
      </c>
      <c r="W54" s="3">
        <v>0</v>
      </c>
      <c r="X54" s="3">
        <v>0.63900000000000001</v>
      </c>
      <c r="Y54" s="3">
        <v>0</v>
      </c>
      <c r="Z54" s="3">
        <v>0.65300000000000002</v>
      </c>
      <c r="AA54" s="3">
        <v>0</v>
      </c>
      <c r="AB54" s="3">
        <v>0.221</v>
      </c>
      <c r="AC54" s="3">
        <v>0.35799999999999998</v>
      </c>
      <c r="AD54" s="3">
        <v>0.35249999999999998</v>
      </c>
      <c r="AE54" s="3">
        <v>6.4000000000000001E-2</v>
      </c>
      <c r="AF54" s="3">
        <v>0.174666667</v>
      </c>
      <c r="AG54" s="3">
        <v>0.58383333400000004</v>
      </c>
      <c r="AH54" s="3">
        <v>0.13900000000000001</v>
      </c>
      <c r="AI54" s="3">
        <v>0.75900000000000001</v>
      </c>
      <c r="AJ54" s="3">
        <v>0.80966666700000001</v>
      </c>
      <c r="AK54" s="3">
        <v>0.83850000000000002</v>
      </c>
      <c r="AL54" s="3">
        <v>0.49299999999999999</v>
      </c>
      <c r="AM54" s="3">
        <v>0.01</v>
      </c>
      <c r="AN54" s="3">
        <v>0.31266666700000001</v>
      </c>
      <c r="AO54" s="3">
        <v>0.48699999999999999</v>
      </c>
    </row>
    <row r="55" spans="1:41" x14ac:dyDescent="0.3">
      <c r="A55" s="2" t="s">
        <v>316</v>
      </c>
      <c r="B55" s="2" t="s">
        <v>331</v>
      </c>
      <c r="C55" s="3">
        <v>0</v>
      </c>
      <c r="D55" s="3">
        <v>0.63500000000000001</v>
      </c>
      <c r="E55" s="3">
        <v>0</v>
      </c>
      <c r="F55" s="3">
        <v>0.47899999999999998</v>
      </c>
      <c r="G55" s="3">
        <v>0</v>
      </c>
      <c r="H55" s="3">
        <v>0.27</v>
      </c>
      <c r="I55" s="3">
        <v>0</v>
      </c>
      <c r="J55" s="3">
        <v>0.64500000000000002</v>
      </c>
      <c r="K55" s="3">
        <v>0</v>
      </c>
      <c r="L55" s="3">
        <v>0.59699999999999998</v>
      </c>
      <c r="M55" s="3">
        <v>0</v>
      </c>
      <c r="N55" s="3">
        <v>5.6000000000000001E-2</v>
      </c>
      <c r="O55" s="3">
        <v>0</v>
      </c>
      <c r="P55" s="3">
        <v>5.6000000000000001E-2</v>
      </c>
      <c r="Q55" s="3">
        <v>0</v>
      </c>
      <c r="R55" s="3">
        <v>0.72899999999999998</v>
      </c>
      <c r="S55" s="3">
        <v>0</v>
      </c>
      <c r="T55" s="3">
        <v>0.79700000000000004</v>
      </c>
      <c r="U55" s="3">
        <v>0</v>
      </c>
      <c r="V55" s="3">
        <v>0.88600000000000001</v>
      </c>
      <c r="W55" s="3">
        <v>0</v>
      </c>
      <c r="X55" s="3">
        <v>0.65200000000000002</v>
      </c>
      <c r="Y55" s="3">
        <v>0</v>
      </c>
      <c r="Z55" s="3">
        <v>0.45600000000000002</v>
      </c>
      <c r="AA55" s="3">
        <v>0</v>
      </c>
      <c r="AB55" s="3">
        <v>0.216</v>
      </c>
      <c r="AC55" s="3">
        <v>0.28349999999999997</v>
      </c>
      <c r="AD55" s="3">
        <v>0.26800000000000002</v>
      </c>
      <c r="AE55" s="3">
        <v>5.8000000000000003E-2</v>
      </c>
      <c r="AF55" s="3">
        <v>0.196333333</v>
      </c>
      <c r="AG55" s="3">
        <v>0.52675000000000005</v>
      </c>
      <c r="AH55" s="3">
        <v>0.106</v>
      </c>
      <c r="AI55" s="3">
        <v>0.79049999999999998</v>
      </c>
      <c r="AJ55" s="3">
        <v>0.77</v>
      </c>
      <c r="AK55" s="3">
        <v>0.8</v>
      </c>
      <c r="AL55" s="3">
        <v>0.49399999999999999</v>
      </c>
      <c r="AM55" s="3">
        <v>0.01</v>
      </c>
      <c r="AN55" s="3">
        <v>0.27966666699999998</v>
      </c>
      <c r="AO55" s="3">
        <v>0.39300000000000002</v>
      </c>
    </row>
    <row r="56" spans="1:41" x14ac:dyDescent="0.3">
      <c r="A56" s="2" t="s">
        <v>316</v>
      </c>
      <c r="B56" s="2" t="s">
        <v>332</v>
      </c>
      <c r="C56" s="3">
        <v>0</v>
      </c>
      <c r="D56" s="3">
        <v>0.65800000000000003</v>
      </c>
      <c r="E56" s="3">
        <v>0</v>
      </c>
      <c r="F56" s="3">
        <v>0.505</v>
      </c>
      <c r="G56" s="3">
        <v>0</v>
      </c>
      <c r="H56" s="3">
        <v>0.33800000000000002</v>
      </c>
      <c r="I56" s="3">
        <v>0</v>
      </c>
      <c r="J56" s="3">
        <v>0.64500000000000002</v>
      </c>
      <c r="K56" s="3">
        <v>0</v>
      </c>
      <c r="L56" s="3">
        <v>0.63300000000000001</v>
      </c>
      <c r="M56" s="3">
        <v>0</v>
      </c>
      <c r="N56" s="3">
        <v>9.6000000000000002E-2</v>
      </c>
      <c r="O56" s="3">
        <v>0</v>
      </c>
      <c r="P56" s="3">
        <v>9.6000000000000002E-2</v>
      </c>
      <c r="Q56" s="3">
        <v>0</v>
      </c>
      <c r="R56" s="3">
        <v>0.73599999999999999</v>
      </c>
      <c r="S56" s="3">
        <v>0</v>
      </c>
      <c r="T56" s="3">
        <v>0.82099999999999995</v>
      </c>
      <c r="U56" s="3">
        <v>0</v>
      </c>
      <c r="V56" s="3">
        <v>0.879</v>
      </c>
      <c r="W56" s="3">
        <v>0</v>
      </c>
      <c r="X56" s="3">
        <v>0.66700000000000004</v>
      </c>
      <c r="Y56" s="3">
        <v>0</v>
      </c>
      <c r="Z56" s="3">
        <v>0.314</v>
      </c>
      <c r="AA56" s="3">
        <v>0</v>
      </c>
      <c r="AB56" s="3">
        <v>0.314</v>
      </c>
      <c r="AC56" s="3">
        <v>0.23949999999999999</v>
      </c>
      <c r="AD56" s="3">
        <v>0.191</v>
      </c>
      <c r="AE56" s="3">
        <v>7.0999999999999994E-2</v>
      </c>
      <c r="AF56" s="3">
        <v>0.23833333300000001</v>
      </c>
      <c r="AG56" s="3">
        <v>0.50391666700000004</v>
      </c>
      <c r="AH56" s="3">
        <v>0.11</v>
      </c>
      <c r="AI56" s="3">
        <v>0.8075</v>
      </c>
      <c r="AJ56" s="3">
        <v>0.76833333299999995</v>
      </c>
      <c r="AK56" s="3">
        <v>0.76800000000000002</v>
      </c>
      <c r="AL56" s="3">
        <v>0.46700000000000003</v>
      </c>
      <c r="AM56" s="3">
        <v>0.01</v>
      </c>
      <c r="AN56" s="3">
        <v>0.25866666700000002</v>
      </c>
      <c r="AO56" s="3">
        <v>0.30599999999999999</v>
      </c>
    </row>
    <row r="57" spans="1:41" x14ac:dyDescent="0.3">
      <c r="A57" s="2" t="s">
        <v>316</v>
      </c>
      <c r="B57" s="2" t="s">
        <v>333</v>
      </c>
      <c r="C57" s="3">
        <v>0</v>
      </c>
      <c r="D57" s="3">
        <v>0.66900000000000004</v>
      </c>
      <c r="E57" s="3">
        <v>0</v>
      </c>
      <c r="F57" s="3">
        <v>0.51600000000000001</v>
      </c>
      <c r="G57" s="3">
        <v>0</v>
      </c>
      <c r="H57" s="3">
        <v>0.36</v>
      </c>
      <c r="I57" s="3">
        <v>0</v>
      </c>
      <c r="J57" s="3">
        <v>0.64</v>
      </c>
      <c r="K57" s="3">
        <v>0</v>
      </c>
      <c r="L57" s="3">
        <v>0.65200000000000002</v>
      </c>
      <c r="M57" s="3">
        <v>0</v>
      </c>
      <c r="N57" s="3">
        <v>0.16900000000000001</v>
      </c>
      <c r="O57" s="3">
        <v>0</v>
      </c>
      <c r="P57" s="3">
        <v>0.16900000000000001</v>
      </c>
      <c r="Q57" s="3">
        <v>0</v>
      </c>
      <c r="R57" s="3">
        <v>0.74399999999999999</v>
      </c>
      <c r="S57" s="3">
        <v>0</v>
      </c>
      <c r="T57" s="3">
        <v>0.82899999999999996</v>
      </c>
      <c r="U57" s="3">
        <v>0</v>
      </c>
      <c r="V57" s="3">
        <v>0.86199999999999999</v>
      </c>
      <c r="W57" s="3">
        <v>0</v>
      </c>
      <c r="X57" s="3">
        <v>0.60899999999999999</v>
      </c>
      <c r="Y57" s="3">
        <v>0</v>
      </c>
      <c r="Z57" s="3">
        <v>0.214</v>
      </c>
      <c r="AA57" s="3">
        <v>0</v>
      </c>
      <c r="AB57" s="3">
        <v>0.22900000000000001</v>
      </c>
      <c r="AC57" s="3">
        <v>0.2225</v>
      </c>
      <c r="AD57" s="3">
        <v>0.14549999999999999</v>
      </c>
      <c r="AE57" s="3">
        <v>9.4E-2</v>
      </c>
      <c r="AF57" s="3">
        <v>0.28199999999999997</v>
      </c>
      <c r="AG57" s="3">
        <v>0.49091666699999997</v>
      </c>
      <c r="AH57" s="3">
        <v>0.13300000000000001</v>
      </c>
      <c r="AI57" s="3">
        <v>0.80800000000000005</v>
      </c>
      <c r="AJ57" s="3">
        <v>0.75933333300000005</v>
      </c>
      <c r="AK57" s="3">
        <v>0.745</v>
      </c>
      <c r="AL57" s="3">
        <v>0.42433333299999998</v>
      </c>
      <c r="AM57" s="3">
        <v>0.01</v>
      </c>
      <c r="AN57" s="3">
        <v>0.25</v>
      </c>
      <c r="AO57" s="3">
        <v>0.252</v>
      </c>
    </row>
    <row r="58" spans="1:41" x14ac:dyDescent="0.3">
      <c r="A58" s="2" t="s">
        <v>316</v>
      </c>
      <c r="B58" s="2" t="s">
        <v>334</v>
      </c>
      <c r="C58" s="3">
        <v>0</v>
      </c>
      <c r="D58" s="3">
        <v>0.66100000000000003</v>
      </c>
      <c r="E58" s="3">
        <v>0</v>
      </c>
      <c r="F58" s="3">
        <v>0.50900000000000001</v>
      </c>
      <c r="G58" s="3">
        <v>0</v>
      </c>
      <c r="H58" s="3">
        <v>0.40300000000000002</v>
      </c>
      <c r="I58" s="3">
        <v>0</v>
      </c>
      <c r="J58" s="3">
        <v>0.63200000000000001</v>
      </c>
      <c r="K58" s="3">
        <v>0</v>
      </c>
      <c r="L58" s="3">
        <v>0.69899999999999995</v>
      </c>
      <c r="M58" s="3">
        <v>0</v>
      </c>
      <c r="N58" s="3">
        <v>0.28100000000000003</v>
      </c>
      <c r="O58" s="3">
        <v>0</v>
      </c>
      <c r="P58" s="3">
        <v>0.28100000000000003</v>
      </c>
      <c r="Q58" s="3">
        <v>0</v>
      </c>
      <c r="R58" s="3">
        <v>0.748</v>
      </c>
      <c r="S58" s="3">
        <v>0</v>
      </c>
      <c r="T58" s="3">
        <v>0.83399999999999996</v>
      </c>
      <c r="U58" s="3">
        <v>0</v>
      </c>
      <c r="V58" s="3">
        <v>0.81399999999999995</v>
      </c>
      <c r="W58" s="3">
        <v>0</v>
      </c>
      <c r="X58" s="3">
        <v>0.55100000000000005</v>
      </c>
      <c r="Y58" s="3">
        <v>0</v>
      </c>
      <c r="Z58" s="3">
        <v>0.125</v>
      </c>
      <c r="AA58" s="3">
        <v>0</v>
      </c>
      <c r="AB58" s="3">
        <v>0.16200000000000001</v>
      </c>
      <c r="AC58" s="3">
        <v>0.21</v>
      </c>
      <c r="AD58" s="3">
        <v>0.11600000000000001</v>
      </c>
      <c r="AE58" s="3">
        <v>0.1135</v>
      </c>
      <c r="AF58" s="3">
        <v>0.31466666700000001</v>
      </c>
      <c r="AG58" s="3">
        <v>0.47616666699999999</v>
      </c>
      <c r="AH58" s="3">
        <v>0.15</v>
      </c>
      <c r="AI58" s="3">
        <v>0.80700000000000005</v>
      </c>
      <c r="AJ58" s="3">
        <v>0.74233333300000004</v>
      </c>
      <c r="AK58" s="3">
        <v>0.74</v>
      </c>
      <c r="AL58" s="3">
        <v>0.39566666700000003</v>
      </c>
      <c r="AM58" s="3">
        <v>0.01</v>
      </c>
      <c r="AN58" s="3">
        <v>0.247</v>
      </c>
      <c r="AO58" s="3">
        <v>0.20699999999999999</v>
      </c>
    </row>
    <row r="59" spans="1:41" x14ac:dyDescent="0.3">
      <c r="A59" s="2" t="s">
        <v>316</v>
      </c>
      <c r="B59" s="2" t="s">
        <v>335</v>
      </c>
      <c r="C59" s="3">
        <v>2.5999999999999999E-2</v>
      </c>
      <c r="D59" s="3">
        <v>0.625</v>
      </c>
      <c r="E59" s="3">
        <v>2.8000000000000001E-2</v>
      </c>
      <c r="F59" s="3">
        <v>0.51300000000000001</v>
      </c>
      <c r="G59" s="3">
        <v>1.7000000000000001E-2</v>
      </c>
      <c r="H59" s="3">
        <v>0.42899999999999999</v>
      </c>
      <c r="I59" s="3">
        <v>1.4999999999999999E-2</v>
      </c>
      <c r="J59" s="3">
        <v>0.60899999999999999</v>
      </c>
      <c r="K59" s="3">
        <v>2.7E-2</v>
      </c>
      <c r="L59" s="3">
        <v>0.77900000000000003</v>
      </c>
      <c r="M59" s="3">
        <v>1.2999999999999999E-2</v>
      </c>
      <c r="N59" s="3">
        <v>0.39900000000000002</v>
      </c>
      <c r="O59" s="3">
        <v>0</v>
      </c>
      <c r="P59" s="3">
        <v>0.39900000000000002</v>
      </c>
      <c r="Q59" s="3">
        <v>2.5999999999999999E-2</v>
      </c>
      <c r="R59" s="3">
        <v>0.74199999999999999</v>
      </c>
      <c r="S59" s="3">
        <v>2.8000000000000001E-2</v>
      </c>
      <c r="T59" s="3">
        <v>0.83299999999999996</v>
      </c>
      <c r="U59" s="3">
        <v>2.8000000000000001E-2</v>
      </c>
      <c r="V59" s="3">
        <v>0.69399999999999995</v>
      </c>
      <c r="W59" s="3">
        <v>8.9999999999999993E-3</v>
      </c>
      <c r="X59" s="3">
        <v>0.51600000000000001</v>
      </c>
      <c r="Y59" s="3">
        <v>1.0999999999999999E-2</v>
      </c>
      <c r="Z59" s="3">
        <v>7.5999999999999998E-2</v>
      </c>
      <c r="AA59" s="3">
        <v>8.0000000000000002E-3</v>
      </c>
      <c r="AB59" s="3">
        <v>0.113</v>
      </c>
      <c r="AC59" s="3">
        <v>0.19550000000000001</v>
      </c>
      <c r="AD59" s="3">
        <v>9.5500000000000002E-2</v>
      </c>
      <c r="AE59" s="3">
        <v>0.13800000000000001</v>
      </c>
      <c r="AF59" s="3">
        <v>0.33800000000000002</v>
      </c>
      <c r="AG59" s="3">
        <v>0.45424999999999999</v>
      </c>
      <c r="AH59" s="3">
        <v>0.17</v>
      </c>
      <c r="AI59" s="3">
        <v>0.8</v>
      </c>
      <c r="AJ59" s="3">
        <v>0.71299999999999997</v>
      </c>
      <c r="AK59" s="3">
        <v>0.74</v>
      </c>
      <c r="AL59" s="3">
        <v>0.34733333300000002</v>
      </c>
      <c r="AM59" s="3">
        <v>0.01</v>
      </c>
      <c r="AN59" s="3">
        <v>0.23933333300000001</v>
      </c>
      <c r="AO59" s="3">
        <v>0.16800000000000001</v>
      </c>
    </row>
    <row r="60" spans="1:41" x14ac:dyDescent="0.3">
      <c r="A60" s="2" t="s">
        <v>316</v>
      </c>
      <c r="B60" s="2" t="s">
        <v>336</v>
      </c>
      <c r="C60" s="3">
        <v>0.14199999999999999</v>
      </c>
      <c r="D60" s="3">
        <v>0.58099999999999996</v>
      </c>
      <c r="E60" s="3">
        <v>0.17399999999999999</v>
      </c>
      <c r="F60" s="3">
        <v>0.52300000000000002</v>
      </c>
      <c r="G60" s="3">
        <v>0.124</v>
      </c>
      <c r="H60" s="3">
        <v>0.46600000000000003</v>
      </c>
      <c r="I60" s="3">
        <v>0.122</v>
      </c>
      <c r="J60" s="3">
        <v>0.58799999999999997</v>
      </c>
      <c r="K60" s="3">
        <v>0.16800000000000001</v>
      </c>
      <c r="L60" s="3">
        <v>0.86499999999999999</v>
      </c>
      <c r="M60" s="3">
        <v>0.121</v>
      </c>
      <c r="N60" s="3">
        <v>0.46100000000000002</v>
      </c>
      <c r="O60" s="3">
        <v>1.0999999999999999E-2</v>
      </c>
      <c r="P60" s="3">
        <v>0.46100000000000002</v>
      </c>
      <c r="Q60" s="3">
        <v>0.13800000000000001</v>
      </c>
      <c r="R60" s="3">
        <v>0.77500000000000002</v>
      </c>
      <c r="S60" s="3">
        <v>0.21099999999999999</v>
      </c>
      <c r="T60" s="3">
        <v>0.84299999999999997</v>
      </c>
      <c r="U60" s="3">
        <v>0.21099999999999999</v>
      </c>
      <c r="V60" s="3">
        <v>0.44400000000000001</v>
      </c>
      <c r="W60" s="3">
        <v>0.13900000000000001</v>
      </c>
      <c r="X60" s="3">
        <v>0.51</v>
      </c>
      <c r="Y60" s="3">
        <v>9.6000000000000002E-2</v>
      </c>
      <c r="Z60" s="3">
        <v>5.8000000000000003E-2</v>
      </c>
      <c r="AA60" s="3">
        <v>9.1999999999999998E-2</v>
      </c>
      <c r="AB60" s="3">
        <v>8.7999999999999995E-2</v>
      </c>
      <c r="AC60" s="3">
        <v>0.17599999999999999</v>
      </c>
      <c r="AD60" s="3">
        <v>7.5499999999999998E-2</v>
      </c>
      <c r="AE60" s="3">
        <v>0.14349999999999999</v>
      </c>
      <c r="AF60" s="3">
        <v>0.31433333299999999</v>
      </c>
      <c r="AG60" s="3">
        <v>0.414333334</v>
      </c>
      <c r="AH60" s="3">
        <v>0.16800000000000001</v>
      </c>
      <c r="AI60" s="3">
        <v>0.78900000000000003</v>
      </c>
      <c r="AJ60" s="3">
        <v>0.65266666699999998</v>
      </c>
      <c r="AK60" s="3">
        <v>0.71350000000000002</v>
      </c>
      <c r="AL60" s="3">
        <v>0.28866666699999999</v>
      </c>
      <c r="AM60" s="3">
        <v>0.01</v>
      </c>
      <c r="AN60" s="3">
        <v>0.22333333299999999</v>
      </c>
      <c r="AO60" s="3">
        <v>0.13400000000000001</v>
      </c>
    </row>
    <row r="61" spans="1:41" x14ac:dyDescent="0.3">
      <c r="A61" s="2" t="s">
        <v>316</v>
      </c>
      <c r="B61" s="2" t="s">
        <v>337</v>
      </c>
      <c r="C61" s="3">
        <v>0.32</v>
      </c>
      <c r="D61" s="3">
        <v>0.77400000000000002</v>
      </c>
      <c r="E61" s="3">
        <v>0.379</v>
      </c>
      <c r="F61" s="3">
        <v>0.57599999999999996</v>
      </c>
      <c r="G61" s="3">
        <v>0.245</v>
      </c>
      <c r="H61" s="3">
        <v>0.505</v>
      </c>
      <c r="I61" s="3">
        <v>0.33900000000000002</v>
      </c>
      <c r="J61" s="3">
        <v>0.84</v>
      </c>
      <c r="K61" s="3">
        <v>0.32200000000000001</v>
      </c>
      <c r="L61" s="3">
        <v>0.88400000000000001</v>
      </c>
      <c r="M61" s="3">
        <v>0.3</v>
      </c>
      <c r="N61" s="3">
        <v>0.5</v>
      </c>
      <c r="O61" s="3">
        <v>3.3000000000000002E-2</v>
      </c>
      <c r="P61" s="3">
        <v>0.5</v>
      </c>
      <c r="Q61" s="3">
        <v>0.25600000000000001</v>
      </c>
      <c r="R61" s="3">
        <v>0.873</v>
      </c>
      <c r="S61" s="3">
        <v>0.41899999999999998</v>
      </c>
      <c r="T61" s="3">
        <v>0.91500000000000004</v>
      </c>
      <c r="U61" s="3">
        <v>0.42</v>
      </c>
      <c r="V61" s="3">
        <v>0.217</v>
      </c>
      <c r="W61" s="3">
        <v>0.34599999999999997</v>
      </c>
      <c r="X61" s="3">
        <v>0.54100000000000004</v>
      </c>
      <c r="Y61" s="3">
        <v>0.29299999999999998</v>
      </c>
      <c r="Z61" s="3">
        <v>6.8000000000000005E-2</v>
      </c>
      <c r="AA61" s="3">
        <v>0.23400000000000001</v>
      </c>
      <c r="AB61" s="3">
        <v>8.3000000000000004E-2</v>
      </c>
      <c r="AC61" s="3">
        <v>0.1555</v>
      </c>
      <c r="AD61" s="3">
        <v>6.8500000000000005E-2</v>
      </c>
      <c r="AE61" s="3">
        <v>0.157</v>
      </c>
      <c r="AF61" s="3">
        <v>0.32500000000000001</v>
      </c>
      <c r="AG61" s="3">
        <v>0.40058333400000001</v>
      </c>
      <c r="AH61" s="3">
        <v>0.16300000000000001</v>
      </c>
      <c r="AI61" s="3">
        <v>0.77749999999999997</v>
      </c>
      <c r="AJ61" s="3">
        <v>0.64566666699999997</v>
      </c>
      <c r="AK61" s="3">
        <v>0.73199999999999998</v>
      </c>
      <c r="AL61" s="3">
        <v>0.24566666700000001</v>
      </c>
      <c r="AM61" s="3">
        <v>0.01</v>
      </c>
      <c r="AN61" s="3">
        <v>0.21566666700000001</v>
      </c>
      <c r="AO61" s="3">
        <v>9.0999999999999998E-2</v>
      </c>
    </row>
    <row r="62" spans="1:41" x14ac:dyDescent="0.3">
      <c r="A62" s="2" t="s">
        <v>316</v>
      </c>
      <c r="B62" s="2" t="s">
        <v>338</v>
      </c>
      <c r="C62" s="3">
        <v>0.436</v>
      </c>
      <c r="D62" s="3">
        <v>0.84299999999999997</v>
      </c>
      <c r="E62" s="3">
        <v>0.501</v>
      </c>
      <c r="F62" s="3">
        <v>0.67700000000000005</v>
      </c>
      <c r="G62" s="3">
        <v>0.36499999999999999</v>
      </c>
      <c r="H62" s="3">
        <v>0.58299999999999996</v>
      </c>
      <c r="I62" s="3">
        <v>0.52700000000000002</v>
      </c>
      <c r="J62" s="3">
        <v>0.89600000000000002</v>
      </c>
      <c r="K62" s="3">
        <v>0.504</v>
      </c>
      <c r="L62" s="3">
        <v>0.89900000000000002</v>
      </c>
      <c r="M62" s="3">
        <v>0.52</v>
      </c>
      <c r="N62" s="3">
        <v>0.65900000000000003</v>
      </c>
      <c r="O62" s="3">
        <v>6.6000000000000003E-2</v>
      </c>
      <c r="P62" s="3">
        <v>0.65900000000000003</v>
      </c>
      <c r="Q62" s="3">
        <v>0.40899999999999997</v>
      </c>
      <c r="R62" s="3">
        <v>0.91200000000000003</v>
      </c>
      <c r="S62" s="3">
        <v>0.58799999999999997</v>
      </c>
      <c r="T62" s="3">
        <v>0.93300000000000005</v>
      </c>
      <c r="U62" s="3">
        <v>0.58899999999999997</v>
      </c>
      <c r="V62" s="3">
        <v>0.21099999999999999</v>
      </c>
      <c r="W62" s="3">
        <v>0.58299999999999996</v>
      </c>
      <c r="X62" s="3">
        <v>0.6</v>
      </c>
      <c r="Y62" s="3">
        <v>0.55100000000000005</v>
      </c>
      <c r="Z62" s="3">
        <v>0.10100000000000001</v>
      </c>
      <c r="AA62" s="3">
        <v>0.54600000000000004</v>
      </c>
      <c r="AB62" s="3">
        <v>0.08</v>
      </c>
      <c r="AC62" s="3">
        <v>0.13750000000000001</v>
      </c>
      <c r="AD62" s="3">
        <v>6.9500000000000006E-2</v>
      </c>
      <c r="AE62" s="3">
        <v>0.18049999999999999</v>
      </c>
      <c r="AF62" s="3">
        <v>0.33633333300000001</v>
      </c>
      <c r="AG62" s="3">
        <v>0.37658333399999999</v>
      </c>
      <c r="AH62" s="3">
        <v>0.16</v>
      </c>
      <c r="AI62" s="3">
        <v>0.78949999999999998</v>
      </c>
      <c r="AJ62" s="3">
        <v>0.61566666699999995</v>
      </c>
      <c r="AK62" s="3">
        <v>0.72799999999999998</v>
      </c>
      <c r="AL62" s="3">
        <v>0.19666666699999999</v>
      </c>
      <c r="AM62" s="3">
        <v>0.01</v>
      </c>
      <c r="AN62" s="3">
        <v>0.201333333</v>
      </c>
      <c r="AO62" s="3">
        <v>5.8999999999999997E-2</v>
      </c>
    </row>
    <row r="63" spans="1:41" x14ac:dyDescent="0.3">
      <c r="A63" s="2" t="s">
        <v>316</v>
      </c>
      <c r="B63" s="2" t="s">
        <v>339</v>
      </c>
      <c r="C63" s="3">
        <v>0.63300000000000001</v>
      </c>
      <c r="D63" s="3">
        <v>0.878</v>
      </c>
      <c r="E63" s="3">
        <v>0.55900000000000005</v>
      </c>
      <c r="F63" s="3">
        <v>0.70099999999999996</v>
      </c>
      <c r="G63" s="3">
        <v>0.46400000000000002</v>
      </c>
      <c r="H63" s="3">
        <v>0.60199999999999998</v>
      </c>
      <c r="I63" s="3">
        <v>0.59099999999999997</v>
      </c>
      <c r="J63" s="3">
        <v>0.89900000000000002</v>
      </c>
      <c r="K63" s="3">
        <v>0.63700000000000001</v>
      </c>
      <c r="L63" s="3">
        <v>0.91100000000000003</v>
      </c>
      <c r="M63" s="3">
        <v>0.61599999999999999</v>
      </c>
      <c r="N63" s="3">
        <v>0.78800000000000003</v>
      </c>
      <c r="O63" s="3">
        <v>0.14099999999999999</v>
      </c>
      <c r="P63" s="3">
        <v>0.78800000000000003</v>
      </c>
      <c r="Q63" s="3">
        <v>0.51500000000000001</v>
      </c>
      <c r="R63" s="3">
        <v>0.92800000000000005</v>
      </c>
      <c r="S63" s="3">
        <v>0.69099999999999995</v>
      </c>
      <c r="T63" s="3">
        <v>0.92900000000000005</v>
      </c>
      <c r="U63" s="3">
        <v>0.69199999999999995</v>
      </c>
      <c r="V63" s="3">
        <v>0.21199999999999999</v>
      </c>
      <c r="W63" s="3">
        <v>0.69799999999999995</v>
      </c>
      <c r="X63" s="3">
        <v>0.56299999999999994</v>
      </c>
      <c r="Y63" s="3">
        <v>0.64600000000000002</v>
      </c>
      <c r="Z63" s="3">
        <v>0.13800000000000001</v>
      </c>
      <c r="AA63" s="3">
        <v>0.68</v>
      </c>
      <c r="AB63" s="3">
        <v>6.9000000000000006E-2</v>
      </c>
      <c r="AC63" s="3">
        <v>0.1265</v>
      </c>
      <c r="AD63" s="3">
        <v>7.4999999999999997E-2</v>
      </c>
      <c r="AE63" s="3">
        <v>0.22650000000000001</v>
      </c>
      <c r="AF63" s="3">
        <v>0.35399999999999998</v>
      </c>
      <c r="AG63" s="3">
        <v>0.33941666700000001</v>
      </c>
      <c r="AH63" s="3">
        <v>0.161</v>
      </c>
      <c r="AI63" s="3">
        <v>0.83199999999999996</v>
      </c>
      <c r="AJ63" s="3">
        <v>0.55233333299999998</v>
      </c>
      <c r="AK63" s="3">
        <v>0.70650000000000002</v>
      </c>
      <c r="AL63" s="3">
        <v>0.14933333300000001</v>
      </c>
      <c r="AM63" s="3">
        <v>0.01</v>
      </c>
      <c r="AN63" s="3">
        <v>0.182</v>
      </c>
      <c r="AO63" s="3">
        <v>3.9E-2</v>
      </c>
    </row>
    <row r="64" spans="1:41" x14ac:dyDescent="0.3">
      <c r="A64" s="2" t="s">
        <v>316</v>
      </c>
      <c r="B64" s="2" t="s">
        <v>340</v>
      </c>
      <c r="C64" s="3">
        <v>0.73199999999999998</v>
      </c>
      <c r="D64" s="3">
        <v>0.90300000000000002</v>
      </c>
      <c r="E64" s="3">
        <v>0.57099999999999995</v>
      </c>
      <c r="F64" s="3">
        <v>0.73599999999999999</v>
      </c>
      <c r="G64" s="3">
        <v>0.53200000000000003</v>
      </c>
      <c r="H64" s="3">
        <v>0.628</v>
      </c>
      <c r="I64" s="3">
        <v>0.57999999999999996</v>
      </c>
      <c r="J64" s="3">
        <v>0.876</v>
      </c>
      <c r="K64" s="3">
        <v>0.73099999999999998</v>
      </c>
      <c r="L64" s="3">
        <v>0.91</v>
      </c>
      <c r="M64" s="3">
        <v>0.67700000000000005</v>
      </c>
      <c r="N64" s="3">
        <v>0.84699999999999998</v>
      </c>
      <c r="O64" s="3">
        <v>0.19700000000000001</v>
      </c>
      <c r="P64" s="3">
        <v>0.84699999999999998</v>
      </c>
      <c r="Q64" s="3">
        <v>0.621</v>
      </c>
      <c r="R64" s="3">
        <v>0.91900000000000004</v>
      </c>
      <c r="S64" s="3">
        <v>0.75800000000000001</v>
      </c>
      <c r="T64" s="3">
        <v>0.89</v>
      </c>
      <c r="U64" s="3">
        <v>0.75800000000000001</v>
      </c>
      <c r="V64" s="3">
        <v>0.19400000000000001</v>
      </c>
      <c r="W64" s="3">
        <v>0.75700000000000001</v>
      </c>
      <c r="X64" s="3">
        <v>0.443</v>
      </c>
      <c r="Y64" s="3">
        <v>0.64700000000000002</v>
      </c>
      <c r="Z64" s="3">
        <v>0.17</v>
      </c>
      <c r="AA64" s="3">
        <v>0.74199999999999999</v>
      </c>
      <c r="AB64" s="3">
        <v>5.1999999999999998E-2</v>
      </c>
      <c r="AC64" s="3">
        <v>0.1245</v>
      </c>
      <c r="AD64" s="3">
        <v>8.1500000000000003E-2</v>
      </c>
      <c r="AE64" s="3">
        <v>0.28399999999999997</v>
      </c>
      <c r="AF64" s="3">
        <v>0.38300000000000001</v>
      </c>
      <c r="AG64" s="3">
        <v>0.29558333399999998</v>
      </c>
      <c r="AH64" s="3">
        <v>0.16700000000000001</v>
      </c>
      <c r="AI64" s="3">
        <v>0.84950000000000003</v>
      </c>
      <c r="AJ64" s="3">
        <v>0.46666666699999998</v>
      </c>
      <c r="AK64" s="3">
        <v>0.66049999999999998</v>
      </c>
      <c r="AL64" s="3">
        <v>0.12166666700000001</v>
      </c>
      <c r="AM64" s="3">
        <v>0.01</v>
      </c>
      <c r="AN64" s="3">
        <v>0.17100000000000001</v>
      </c>
      <c r="AO64" s="3">
        <v>2.5000000000000001E-2</v>
      </c>
    </row>
    <row r="65" spans="1:41" x14ac:dyDescent="0.3">
      <c r="A65" s="2" t="s">
        <v>316</v>
      </c>
      <c r="B65" s="2" t="s">
        <v>341</v>
      </c>
      <c r="C65" s="3">
        <v>0.70899999999999996</v>
      </c>
      <c r="D65" s="3">
        <v>0.90900000000000003</v>
      </c>
      <c r="E65" s="3">
        <v>0.53500000000000003</v>
      </c>
      <c r="F65" s="3">
        <v>0.76500000000000001</v>
      </c>
      <c r="G65" s="3">
        <v>0.57999999999999996</v>
      </c>
      <c r="H65" s="3">
        <v>0.67400000000000004</v>
      </c>
      <c r="I65" s="3">
        <v>0.55100000000000005</v>
      </c>
      <c r="J65" s="3">
        <v>0.81899999999999995</v>
      </c>
      <c r="K65" s="3">
        <v>0.74399999999999999</v>
      </c>
      <c r="L65" s="3">
        <v>0.91400000000000003</v>
      </c>
      <c r="M65" s="3">
        <v>0.69699999999999995</v>
      </c>
      <c r="N65" s="3">
        <v>0.89100000000000001</v>
      </c>
      <c r="O65" s="3">
        <v>0.23300000000000001</v>
      </c>
      <c r="P65" s="3">
        <v>0.89100000000000001</v>
      </c>
      <c r="Q65" s="3">
        <v>0.69199999999999995</v>
      </c>
      <c r="R65" s="3">
        <v>0.90100000000000002</v>
      </c>
      <c r="S65" s="3">
        <v>0.76100000000000001</v>
      </c>
      <c r="T65" s="3">
        <v>0.79900000000000004</v>
      </c>
      <c r="U65" s="3">
        <v>0.76100000000000001</v>
      </c>
      <c r="V65" s="3">
        <v>0.192</v>
      </c>
      <c r="W65" s="3">
        <v>0.76200000000000001</v>
      </c>
      <c r="X65" s="3">
        <v>0.30399999999999999</v>
      </c>
      <c r="Y65" s="3">
        <v>0.61299999999999999</v>
      </c>
      <c r="Z65" s="3">
        <v>0.19700000000000001</v>
      </c>
      <c r="AA65" s="3">
        <v>0.73699999999999999</v>
      </c>
      <c r="AB65" s="3">
        <v>3.4000000000000002E-2</v>
      </c>
      <c r="AC65" s="3">
        <v>0.1225</v>
      </c>
      <c r="AD65" s="3">
        <v>8.0500000000000002E-2</v>
      </c>
      <c r="AE65" s="3">
        <v>0.33650000000000002</v>
      </c>
      <c r="AF65" s="3">
        <v>0.41399999999999998</v>
      </c>
      <c r="AG65" s="3">
        <v>0.26141666699999999</v>
      </c>
      <c r="AH65" s="3">
        <v>0.17399999999999999</v>
      </c>
      <c r="AI65" s="3">
        <v>0.84850000000000003</v>
      </c>
      <c r="AJ65" s="3">
        <v>0.40033333300000001</v>
      </c>
      <c r="AK65" s="3">
        <v>0.59150000000000003</v>
      </c>
      <c r="AL65" s="3">
        <v>0.112666667</v>
      </c>
      <c r="AM65" s="3">
        <v>0.01</v>
      </c>
      <c r="AN65" s="3">
        <v>0.16466666699999999</v>
      </c>
      <c r="AO65" s="3">
        <v>1.7000000000000001E-2</v>
      </c>
    </row>
    <row r="66" spans="1:41" x14ac:dyDescent="0.3">
      <c r="A66" s="2" t="s">
        <v>316</v>
      </c>
      <c r="B66" s="2" t="s">
        <v>342</v>
      </c>
      <c r="C66" s="3">
        <v>0.56899999999999995</v>
      </c>
      <c r="D66" s="3">
        <v>0.89300000000000002</v>
      </c>
      <c r="E66" s="3">
        <v>0.47299999999999998</v>
      </c>
      <c r="F66" s="3">
        <v>0.752</v>
      </c>
      <c r="G66" s="3">
        <v>0.59499999999999997</v>
      </c>
      <c r="H66" s="3">
        <v>0.70399999999999996</v>
      </c>
      <c r="I66" s="3">
        <v>0.5</v>
      </c>
      <c r="J66" s="3">
        <v>0.68300000000000005</v>
      </c>
      <c r="K66" s="3">
        <v>0.68899999999999995</v>
      </c>
      <c r="L66" s="3">
        <v>0.92</v>
      </c>
      <c r="M66" s="3">
        <v>0.66700000000000004</v>
      </c>
      <c r="N66" s="3">
        <v>0.90300000000000002</v>
      </c>
      <c r="O66" s="3">
        <v>0.219</v>
      </c>
      <c r="P66" s="3">
        <v>0.90300000000000002</v>
      </c>
      <c r="Q66" s="3">
        <v>0.66500000000000004</v>
      </c>
      <c r="R66" s="3">
        <v>0.85</v>
      </c>
      <c r="S66" s="3">
        <v>0.70899999999999996</v>
      </c>
      <c r="T66" s="3">
        <v>0.621</v>
      </c>
      <c r="U66" s="3">
        <v>0.70899999999999996</v>
      </c>
      <c r="V66" s="3">
        <v>0.17599999999999999</v>
      </c>
      <c r="W66" s="3">
        <v>0.70799999999999996</v>
      </c>
      <c r="X66" s="3">
        <v>0.22700000000000001</v>
      </c>
      <c r="Y66" s="3">
        <v>0.55400000000000005</v>
      </c>
      <c r="Z66" s="3">
        <v>0.215</v>
      </c>
      <c r="AA66" s="3">
        <v>0.68400000000000005</v>
      </c>
      <c r="AB66" s="3">
        <v>3.6999999999999998E-2</v>
      </c>
      <c r="AC66" s="3">
        <v>0.11899999999999999</v>
      </c>
      <c r="AD66" s="3">
        <v>7.3999999999999996E-2</v>
      </c>
      <c r="AE66" s="3">
        <v>0.36799999999999999</v>
      </c>
      <c r="AF66" s="3">
        <v>0.44166666700000001</v>
      </c>
      <c r="AG66" s="3">
        <v>0.233333334</v>
      </c>
      <c r="AH66" s="3">
        <v>0.183</v>
      </c>
      <c r="AI66" s="3">
        <v>0.83599999999999997</v>
      </c>
      <c r="AJ66" s="3">
        <v>0.34766666699999998</v>
      </c>
      <c r="AK66" s="3">
        <v>0.53100000000000003</v>
      </c>
      <c r="AL66" s="3">
        <v>0.109</v>
      </c>
      <c r="AM66" s="3">
        <v>0.01</v>
      </c>
      <c r="AN66" s="3">
        <v>0.15766666700000001</v>
      </c>
      <c r="AO66" s="3">
        <v>1.0999999999999999E-2</v>
      </c>
    </row>
    <row r="67" spans="1:41" x14ac:dyDescent="0.3">
      <c r="A67" s="2" t="s">
        <v>316</v>
      </c>
      <c r="B67" s="2" t="s">
        <v>343</v>
      </c>
      <c r="C67" s="3">
        <v>0.39500000000000002</v>
      </c>
      <c r="D67" s="3">
        <v>0.83499999999999996</v>
      </c>
      <c r="E67" s="3">
        <v>0.38900000000000001</v>
      </c>
      <c r="F67" s="3">
        <v>0.68</v>
      </c>
      <c r="G67" s="3">
        <v>0.46600000000000003</v>
      </c>
      <c r="H67" s="3">
        <v>0.69399999999999995</v>
      </c>
      <c r="I67" s="3">
        <v>0.34699999999999998</v>
      </c>
      <c r="J67" s="3">
        <v>0.505</v>
      </c>
      <c r="K67" s="3">
        <v>0.56299999999999994</v>
      </c>
      <c r="L67" s="3">
        <v>0.91800000000000004</v>
      </c>
      <c r="M67" s="3">
        <v>0.56599999999999995</v>
      </c>
      <c r="N67" s="3">
        <v>0.91300000000000003</v>
      </c>
      <c r="O67" s="3">
        <v>0.157</v>
      </c>
      <c r="P67" s="3">
        <v>0.91300000000000003</v>
      </c>
      <c r="Q67" s="3">
        <v>0.56999999999999995</v>
      </c>
      <c r="R67" s="3">
        <v>0.73</v>
      </c>
      <c r="S67" s="3">
        <v>0.60199999999999998</v>
      </c>
      <c r="T67" s="3">
        <v>0.442</v>
      </c>
      <c r="U67" s="3">
        <v>0.60199999999999998</v>
      </c>
      <c r="V67" s="3">
        <v>0.14199999999999999</v>
      </c>
      <c r="W67" s="3">
        <v>0.60399999999999998</v>
      </c>
      <c r="X67" s="3">
        <v>0.19900000000000001</v>
      </c>
      <c r="Y67" s="3">
        <v>0.46500000000000002</v>
      </c>
      <c r="Z67" s="3">
        <v>0.22700000000000001</v>
      </c>
      <c r="AA67" s="3">
        <v>0.58499999999999996</v>
      </c>
      <c r="AB67" s="3">
        <v>6.2E-2</v>
      </c>
      <c r="AC67" s="3">
        <v>0.1205</v>
      </c>
      <c r="AD67" s="3">
        <v>6.9500000000000006E-2</v>
      </c>
      <c r="AE67" s="3">
        <v>0.38400000000000001</v>
      </c>
      <c r="AF67" s="3">
        <v>0.46100000000000002</v>
      </c>
      <c r="AG67" s="3">
        <v>0.20408333400000001</v>
      </c>
      <c r="AH67" s="3">
        <v>0.191</v>
      </c>
      <c r="AI67" s="3">
        <v>0.86250000000000004</v>
      </c>
      <c r="AJ67" s="3">
        <v>0.28766666699999999</v>
      </c>
      <c r="AK67" s="3">
        <v>0.48099999999999998</v>
      </c>
      <c r="AL67" s="3">
        <v>9.7666666999999999E-2</v>
      </c>
      <c r="AM67" s="3">
        <v>0.01</v>
      </c>
      <c r="AN67" s="3">
        <v>0.16</v>
      </c>
      <c r="AO67" s="3">
        <v>6.0000000000000001E-3</v>
      </c>
    </row>
    <row r="68" spans="1:41" x14ac:dyDescent="0.3">
      <c r="A68" s="2" t="s">
        <v>316</v>
      </c>
      <c r="B68" s="2" t="s">
        <v>344</v>
      </c>
      <c r="C68" s="3">
        <v>0.24</v>
      </c>
      <c r="D68" s="3">
        <v>0.69499999999999995</v>
      </c>
      <c r="E68" s="3">
        <v>0.27300000000000002</v>
      </c>
      <c r="F68" s="3">
        <v>0.56499999999999995</v>
      </c>
      <c r="G68" s="3">
        <v>0.309</v>
      </c>
      <c r="H68" s="3">
        <v>0.66300000000000003</v>
      </c>
      <c r="I68" s="3">
        <v>0.20300000000000001</v>
      </c>
      <c r="J68" s="3">
        <v>0.374</v>
      </c>
      <c r="K68" s="3">
        <v>0.36799999999999999</v>
      </c>
      <c r="L68" s="3">
        <v>0.90300000000000002</v>
      </c>
      <c r="M68" s="3">
        <v>0.376</v>
      </c>
      <c r="N68" s="3">
        <v>0.91</v>
      </c>
      <c r="O68" s="3">
        <v>0.109</v>
      </c>
      <c r="P68" s="3">
        <v>0.91</v>
      </c>
      <c r="Q68" s="3">
        <v>0.42599999999999999</v>
      </c>
      <c r="R68" s="3">
        <v>0.54600000000000004</v>
      </c>
      <c r="S68" s="3">
        <v>0.437</v>
      </c>
      <c r="T68" s="3">
        <v>0.32</v>
      </c>
      <c r="U68" s="3">
        <v>0.437</v>
      </c>
      <c r="V68" s="3">
        <v>9.6000000000000002E-2</v>
      </c>
      <c r="W68" s="3">
        <v>0.45</v>
      </c>
      <c r="X68" s="3">
        <v>0.186</v>
      </c>
      <c r="Y68" s="3">
        <v>0.34200000000000003</v>
      </c>
      <c r="Z68" s="3">
        <v>0.221</v>
      </c>
      <c r="AA68" s="3">
        <v>0.44</v>
      </c>
      <c r="AB68" s="3">
        <v>9.6000000000000002E-2</v>
      </c>
      <c r="AC68" s="3">
        <v>0.127</v>
      </c>
      <c r="AD68" s="3">
        <v>7.1499999999999994E-2</v>
      </c>
      <c r="AE68" s="3">
        <v>0.3785</v>
      </c>
      <c r="AF68" s="3">
        <v>0.46466666699999998</v>
      </c>
      <c r="AG68" s="3">
        <v>0.18433333399999999</v>
      </c>
      <c r="AH68" s="3">
        <v>0.189</v>
      </c>
      <c r="AI68" s="3">
        <v>0.85199999999999998</v>
      </c>
      <c r="AJ68" s="3">
        <v>0.241666667</v>
      </c>
      <c r="AK68" s="3">
        <v>0.42799999999999999</v>
      </c>
      <c r="AL68" s="3">
        <v>8.8666667000000005E-2</v>
      </c>
      <c r="AM68" s="3">
        <v>0.01</v>
      </c>
      <c r="AN68" s="3">
        <v>0.174666667</v>
      </c>
      <c r="AO68" s="3">
        <v>4.0000000000000001E-3</v>
      </c>
    </row>
    <row r="69" spans="1:41" x14ac:dyDescent="0.3">
      <c r="A69" s="2" t="s">
        <v>316</v>
      </c>
      <c r="B69" s="2" t="s">
        <v>345</v>
      </c>
      <c r="C69" s="3">
        <v>0.112</v>
      </c>
      <c r="D69" s="3">
        <v>0.53100000000000003</v>
      </c>
      <c r="E69" s="3">
        <v>0.15</v>
      </c>
      <c r="F69" s="3">
        <v>0.45400000000000001</v>
      </c>
      <c r="G69" s="3">
        <v>0.17699999999999999</v>
      </c>
      <c r="H69" s="3">
        <v>0.65400000000000003</v>
      </c>
      <c r="I69" s="3">
        <v>0.11</v>
      </c>
      <c r="J69" s="3">
        <v>0.23200000000000001</v>
      </c>
      <c r="K69" s="3">
        <v>0.17499999999999999</v>
      </c>
      <c r="L69" s="3">
        <v>0.88</v>
      </c>
      <c r="M69" s="3">
        <v>0.219</v>
      </c>
      <c r="N69" s="3">
        <v>0.90400000000000003</v>
      </c>
      <c r="O69" s="3">
        <v>4.8000000000000001E-2</v>
      </c>
      <c r="P69" s="3">
        <v>0.90400000000000003</v>
      </c>
      <c r="Q69" s="3">
        <v>0.221</v>
      </c>
      <c r="R69" s="3">
        <v>0.32300000000000001</v>
      </c>
      <c r="S69" s="3">
        <v>0.22600000000000001</v>
      </c>
      <c r="T69" s="3">
        <v>0.192</v>
      </c>
      <c r="U69" s="3">
        <v>0.22600000000000001</v>
      </c>
      <c r="V69" s="3">
        <v>5.3999999999999999E-2</v>
      </c>
      <c r="W69" s="3">
        <v>0.252</v>
      </c>
      <c r="X69" s="3">
        <v>0.153</v>
      </c>
      <c r="Y69" s="3">
        <v>0.19</v>
      </c>
      <c r="Z69" s="3">
        <v>0.185</v>
      </c>
      <c r="AA69" s="3">
        <v>0.25800000000000001</v>
      </c>
      <c r="AB69" s="3">
        <v>0.112</v>
      </c>
      <c r="AC69" s="3">
        <v>0.14349999999999999</v>
      </c>
      <c r="AD69" s="3">
        <v>8.6999999999999994E-2</v>
      </c>
      <c r="AE69" s="3">
        <v>0.39550000000000002</v>
      </c>
      <c r="AF69" s="3">
        <v>0.47133333300000002</v>
      </c>
      <c r="AG69" s="3">
        <v>0.17908333400000001</v>
      </c>
      <c r="AH69" s="3">
        <v>0.19</v>
      </c>
      <c r="AI69" s="3">
        <v>0.84399999999999997</v>
      </c>
      <c r="AJ69" s="3">
        <v>0.21466666700000001</v>
      </c>
      <c r="AK69" s="3">
        <v>0.3775</v>
      </c>
      <c r="AL69" s="3">
        <v>8.4333332999999996E-2</v>
      </c>
      <c r="AM69" s="3">
        <v>0.01</v>
      </c>
      <c r="AN69" s="3">
        <v>0.20733333300000001</v>
      </c>
      <c r="AO69" s="3">
        <v>6.0000000000000001E-3</v>
      </c>
    </row>
    <row r="70" spans="1:41" x14ac:dyDescent="0.3">
      <c r="A70" s="2" t="s">
        <v>316</v>
      </c>
      <c r="B70" s="2" t="s">
        <v>346</v>
      </c>
      <c r="C70" s="3">
        <v>0.02</v>
      </c>
      <c r="D70" s="3">
        <v>0.43</v>
      </c>
      <c r="E70" s="3">
        <v>3.5000000000000003E-2</v>
      </c>
      <c r="F70" s="3">
        <v>0.42899999999999999</v>
      </c>
      <c r="G70" s="3">
        <v>3.7999999999999999E-2</v>
      </c>
      <c r="H70" s="3">
        <v>0.624</v>
      </c>
      <c r="I70" s="3">
        <v>2.8000000000000001E-2</v>
      </c>
      <c r="J70" s="3">
        <v>0.183</v>
      </c>
      <c r="K70" s="3">
        <v>3.4000000000000002E-2</v>
      </c>
      <c r="L70" s="3">
        <v>0.86399999999999999</v>
      </c>
      <c r="M70" s="3">
        <v>5.5E-2</v>
      </c>
      <c r="N70" s="3">
        <v>0.91500000000000004</v>
      </c>
      <c r="O70" s="3">
        <v>8.0000000000000002E-3</v>
      </c>
      <c r="P70" s="3">
        <v>0.91500000000000004</v>
      </c>
      <c r="Q70" s="3">
        <v>4.1000000000000002E-2</v>
      </c>
      <c r="R70" s="3">
        <v>0.21099999999999999</v>
      </c>
      <c r="S70" s="3">
        <v>4.9000000000000002E-2</v>
      </c>
      <c r="T70" s="3">
        <v>0.14699999999999999</v>
      </c>
      <c r="U70" s="3">
        <v>4.9000000000000002E-2</v>
      </c>
      <c r="V70" s="3">
        <v>2.8000000000000001E-2</v>
      </c>
      <c r="W70" s="3">
        <v>6.5000000000000002E-2</v>
      </c>
      <c r="X70" s="3">
        <v>0.14099999999999999</v>
      </c>
      <c r="Y70" s="3">
        <v>4.8000000000000001E-2</v>
      </c>
      <c r="Z70" s="3">
        <v>0.14000000000000001</v>
      </c>
      <c r="AA70" s="3">
        <v>7.3999999999999996E-2</v>
      </c>
      <c r="AB70" s="3">
        <v>9.8000000000000004E-2</v>
      </c>
      <c r="AC70" s="3">
        <v>0.2</v>
      </c>
      <c r="AD70" s="3">
        <v>0.16200000000000001</v>
      </c>
      <c r="AE70" s="3">
        <v>0.50600000000000001</v>
      </c>
      <c r="AF70" s="3">
        <v>0.505</v>
      </c>
      <c r="AG70" s="3">
        <v>0.204166667</v>
      </c>
      <c r="AH70" s="3">
        <v>0.20799999999999999</v>
      </c>
      <c r="AI70" s="3">
        <v>0.85499999999999998</v>
      </c>
      <c r="AJ70" s="3">
        <v>0.20833333300000001</v>
      </c>
      <c r="AK70" s="3">
        <v>0.3705</v>
      </c>
      <c r="AL70" s="3">
        <v>7.7333333000000004E-2</v>
      </c>
      <c r="AM70" s="3">
        <v>0.01</v>
      </c>
      <c r="AN70" s="3">
        <v>0.26566666700000002</v>
      </c>
      <c r="AO70" s="3">
        <v>2.5999999999999999E-2</v>
      </c>
    </row>
    <row r="71" spans="1:41" x14ac:dyDescent="0.3">
      <c r="A71" s="2" t="s">
        <v>316</v>
      </c>
      <c r="B71" s="2" t="s">
        <v>347</v>
      </c>
      <c r="C71" s="3">
        <v>0</v>
      </c>
      <c r="D71" s="3">
        <v>0.35299999999999998</v>
      </c>
      <c r="E71" s="3">
        <v>0</v>
      </c>
      <c r="F71" s="3">
        <v>0.43</v>
      </c>
      <c r="G71" s="3">
        <v>0</v>
      </c>
      <c r="H71" s="3">
        <v>0.61199999999999999</v>
      </c>
      <c r="I71" s="3">
        <v>0</v>
      </c>
      <c r="J71" s="3">
        <v>0.17399999999999999</v>
      </c>
      <c r="K71" s="3">
        <v>0</v>
      </c>
      <c r="L71" s="3">
        <v>0.86299999999999999</v>
      </c>
      <c r="M71" s="3">
        <v>0</v>
      </c>
      <c r="N71" s="3">
        <v>0.92300000000000004</v>
      </c>
      <c r="O71" s="3">
        <v>0</v>
      </c>
      <c r="P71" s="3">
        <v>0.92300000000000004</v>
      </c>
      <c r="Q71" s="3">
        <v>0</v>
      </c>
      <c r="R71" s="3">
        <v>0.16900000000000001</v>
      </c>
      <c r="S71" s="3">
        <v>0</v>
      </c>
      <c r="T71" s="3">
        <v>0.126</v>
      </c>
      <c r="U71" s="3">
        <v>0</v>
      </c>
      <c r="V71" s="3">
        <v>1.2E-2</v>
      </c>
      <c r="W71" s="3">
        <v>0</v>
      </c>
      <c r="X71" s="3">
        <v>0.13800000000000001</v>
      </c>
      <c r="Y71" s="3">
        <v>0</v>
      </c>
      <c r="Z71" s="3">
        <v>0.11700000000000001</v>
      </c>
      <c r="AA71" s="3">
        <v>0</v>
      </c>
      <c r="AB71" s="3">
        <v>0.111</v>
      </c>
      <c r="AC71" s="3">
        <v>0.30199999999999999</v>
      </c>
      <c r="AD71" s="3">
        <v>0.311</v>
      </c>
      <c r="AE71" s="3">
        <v>0.64049999999999996</v>
      </c>
      <c r="AF71" s="3">
        <v>0.58099999999999996</v>
      </c>
      <c r="AG71" s="3">
        <v>0.2515</v>
      </c>
      <c r="AH71" s="3">
        <v>0.27700000000000002</v>
      </c>
      <c r="AI71" s="3">
        <v>0.86950000000000005</v>
      </c>
      <c r="AJ71" s="3">
        <v>0.20100000000000001</v>
      </c>
      <c r="AK71" s="3">
        <v>0.377</v>
      </c>
      <c r="AL71" s="3">
        <v>6.3E-2</v>
      </c>
      <c r="AM71" s="3">
        <v>0.01</v>
      </c>
      <c r="AN71" s="3">
        <v>0.34166666699999998</v>
      </c>
      <c r="AO71" s="3">
        <v>4.7E-2</v>
      </c>
    </row>
    <row r="72" spans="1:41" x14ac:dyDescent="0.3">
      <c r="A72" s="2" t="s">
        <v>316</v>
      </c>
      <c r="B72" s="2" t="s">
        <v>348</v>
      </c>
      <c r="C72" s="3">
        <v>0</v>
      </c>
      <c r="D72" s="3">
        <v>0.29899999999999999</v>
      </c>
      <c r="E72" s="3">
        <v>0</v>
      </c>
      <c r="F72" s="3">
        <v>0.372</v>
      </c>
      <c r="G72" s="3">
        <v>0</v>
      </c>
      <c r="H72" s="3">
        <v>0.58399999999999996</v>
      </c>
      <c r="I72" s="3">
        <v>0</v>
      </c>
      <c r="J72" s="3">
        <v>0.151</v>
      </c>
      <c r="K72" s="3">
        <v>0</v>
      </c>
      <c r="L72" s="3">
        <v>0.89800000000000002</v>
      </c>
      <c r="M72" s="3">
        <v>0</v>
      </c>
      <c r="N72" s="3">
        <v>0.92100000000000004</v>
      </c>
      <c r="O72" s="3">
        <v>0</v>
      </c>
      <c r="P72" s="3">
        <v>0.92100000000000004</v>
      </c>
      <c r="Q72" s="3">
        <v>0</v>
      </c>
      <c r="R72" s="3">
        <v>0.13600000000000001</v>
      </c>
      <c r="S72" s="3">
        <v>0</v>
      </c>
      <c r="T72" s="3">
        <v>0.10199999999999999</v>
      </c>
      <c r="U72" s="3">
        <v>0</v>
      </c>
      <c r="V72" s="3">
        <v>5.0000000000000001E-3</v>
      </c>
      <c r="W72" s="3">
        <v>0</v>
      </c>
      <c r="X72" s="3">
        <v>0.113</v>
      </c>
      <c r="Y72" s="3">
        <v>0</v>
      </c>
      <c r="Z72" s="3">
        <v>8.5999999999999993E-2</v>
      </c>
      <c r="AA72" s="3">
        <v>0</v>
      </c>
      <c r="AB72" s="3">
        <v>0.123</v>
      </c>
      <c r="AC72" s="3">
        <v>0.42849999999999999</v>
      </c>
      <c r="AD72" s="3">
        <v>0.47949999999999998</v>
      </c>
      <c r="AE72" s="3">
        <v>0.69650000000000001</v>
      </c>
      <c r="AF72" s="3">
        <v>0.64233333299999995</v>
      </c>
      <c r="AG72" s="3">
        <v>0.29658333399999998</v>
      </c>
      <c r="AH72" s="3">
        <v>0.39200000000000002</v>
      </c>
      <c r="AI72" s="3">
        <v>0.88449999999999995</v>
      </c>
      <c r="AJ72" s="3">
        <v>0.16466666699999999</v>
      </c>
      <c r="AK72" s="3">
        <v>0.34449999999999997</v>
      </c>
      <c r="AL72" s="3">
        <v>4.5333333000000003E-2</v>
      </c>
      <c r="AM72" s="3">
        <v>0.01</v>
      </c>
      <c r="AN72" s="3">
        <v>0.41699999999999998</v>
      </c>
      <c r="AO72" s="3">
        <v>7.3999999999999996E-2</v>
      </c>
    </row>
    <row r="73" spans="1:41" x14ac:dyDescent="0.3">
      <c r="A73" s="2" t="s">
        <v>316</v>
      </c>
      <c r="B73" s="2" t="s">
        <v>349</v>
      </c>
      <c r="C73" s="3">
        <v>0</v>
      </c>
      <c r="D73" s="3">
        <v>0.25700000000000001</v>
      </c>
      <c r="E73" s="3">
        <v>0</v>
      </c>
      <c r="F73" s="3">
        <v>0.30199999999999999</v>
      </c>
      <c r="G73" s="3">
        <v>0</v>
      </c>
      <c r="H73" s="3">
        <v>0.52600000000000002</v>
      </c>
      <c r="I73" s="3">
        <v>0</v>
      </c>
      <c r="J73" s="3">
        <v>0.123</v>
      </c>
      <c r="K73" s="3">
        <v>0</v>
      </c>
      <c r="L73" s="3">
        <v>0.89800000000000002</v>
      </c>
      <c r="M73" s="3">
        <v>0</v>
      </c>
      <c r="N73" s="3">
        <v>0.92200000000000004</v>
      </c>
      <c r="O73" s="3">
        <v>0</v>
      </c>
      <c r="P73" s="3">
        <v>0.92200000000000004</v>
      </c>
      <c r="Q73" s="3">
        <v>0</v>
      </c>
      <c r="R73" s="3">
        <v>0.11799999999999999</v>
      </c>
      <c r="S73" s="3">
        <v>0</v>
      </c>
      <c r="T73" s="3">
        <v>9.0999999999999998E-2</v>
      </c>
      <c r="U73" s="3">
        <v>0</v>
      </c>
      <c r="V73" s="3">
        <v>0.01</v>
      </c>
      <c r="W73" s="3">
        <v>0</v>
      </c>
      <c r="X73" s="3">
        <v>8.1000000000000003E-2</v>
      </c>
      <c r="Y73" s="3">
        <v>0</v>
      </c>
      <c r="Z73" s="3">
        <v>5.5E-2</v>
      </c>
      <c r="AA73" s="3">
        <v>0</v>
      </c>
      <c r="AB73" s="3">
        <v>0.109</v>
      </c>
      <c r="AC73" s="3">
        <v>0.54249999999999998</v>
      </c>
      <c r="AD73" s="3">
        <v>0.61899999999999999</v>
      </c>
      <c r="AE73" s="3">
        <v>0.70150000000000001</v>
      </c>
      <c r="AF73" s="3">
        <v>0.67933333299999998</v>
      </c>
      <c r="AG73" s="3">
        <v>0.33308333400000001</v>
      </c>
      <c r="AH73" s="3">
        <v>0.501</v>
      </c>
      <c r="AI73" s="3">
        <v>0.91200000000000003</v>
      </c>
      <c r="AJ73" s="3">
        <v>0.12366666699999999</v>
      </c>
      <c r="AK73" s="3">
        <v>0.27700000000000002</v>
      </c>
      <c r="AL73" s="3">
        <v>3.5333333000000001E-2</v>
      </c>
      <c r="AM73" s="3">
        <v>0.01</v>
      </c>
      <c r="AN73" s="3">
        <v>0.48599999999999999</v>
      </c>
      <c r="AO73" s="3">
        <v>0.11</v>
      </c>
    </row>
    <row r="74" spans="1:41" x14ac:dyDescent="0.3">
      <c r="A74" s="2" t="s">
        <v>316</v>
      </c>
      <c r="B74" s="2" t="s">
        <v>350</v>
      </c>
      <c r="C74" s="3">
        <v>0</v>
      </c>
      <c r="D74" s="3">
        <v>0.23699999999999999</v>
      </c>
      <c r="E74" s="3">
        <v>0</v>
      </c>
      <c r="F74" s="3">
        <v>0.23200000000000001</v>
      </c>
      <c r="G74" s="3">
        <v>0</v>
      </c>
      <c r="H74" s="3">
        <v>0.44</v>
      </c>
      <c r="I74" s="3">
        <v>0</v>
      </c>
      <c r="J74" s="3">
        <v>0.115</v>
      </c>
      <c r="K74" s="3">
        <v>0</v>
      </c>
      <c r="L74" s="3">
        <v>0.871</v>
      </c>
      <c r="M74" s="3">
        <v>0</v>
      </c>
      <c r="N74" s="3">
        <v>0.92500000000000004</v>
      </c>
      <c r="O74" s="3">
        <v>0</v>
      </c>
      <c r="P74" s="3">
        <v>0.92500000000000004</v>
      </c>
      <c r="Q74" s="3">
        <v>0</v>
      </c>
      <c r="R74" s="3">
        <v>0.11700000000000001</v>
      </c>
      <c r="S74" s="3">
        <v>0</v>
      </c>
      <c r="T74" s="3">
        <v>0.108</v>
      </c>
      <c r="U74" s="3">
        <v>0</v>
      </c>
      <c r="V74" s="3">
        <v>3.5000000000000003E-2</v>
      </c>
      <c r="W74" s="3">
        <v>0</v>
      </c>
      <c r="X74" s="3">
        <v>4.5999999999999999E-2</v>
      </c>
      <c r="Y74" s="3">
        <v>0</v>
      </c>
      <c r="Z74" s="3">
        <v>0.03</v>
      </c>
      <c r="AA74" s="3">
        <v>0</v>
      </c>
      <c r="AB74" s="3">
        <v>8.5999999999999993E-2</v>
      </c>
      <c r="AC74" s="3">
        <v>0.63200000000000001</v>
      </c>
      <c r="AD74" s="3">
        <v>0.70950000000000002</v>
      </c>
      <c r="AE74" s="3">
        <v>0.70150000000000001</v>
      </c>
      <c r="AF74" s="3">
        <v>0.71033333300000001</v>
      </c>
      <c r="AG74" s="3">
        <v>0.370166667</v>
      </c>
      <c r="AH74" s="3">
        <v>0.59599999999999997</v>
      </c>
      <c r="AI74" s="3">
        <v>0.93400000000000005</v>
      </c>
      <c r="AJ74" s="3">
        <v>0.108333333</v>
      </c>
      <c r="AK74" s="3">
        <v>0.2165</v>
      </c>
      <c r="AL74" s="3">
        <v>4.7666667000000003E-2</v>
      </c>
      <c r="AM74" s="3">
        <v>0.01</v>
      </c>
      <c r="AN74" s="3">
        <v>0.55000000000000004</v>
      </c>
      <c r="AO74" s="3">
        <v>0.157</v>
      </c>
    </row>
    <row r="75" spans="1:41" x14ac:dyDescent="0.3">
      <c r="A75" s="2" t="s">
        <v>316</v>
      </c>
      <c r="B75" s="2" t="s">
        <v>351</v>
      </c>
      <c r="C75" s="3">
        <v>0</v>
      </c>
      <c r="D75" s="3">
        <v>0.224</v>
      </c>
      <c r="E75" s="3">
        <v>0</v>
      </c>
      <c r="F75" s="3">
        <v>0.17299999999999999</v>
      </c>
      <c r="G75" s="3">
        <v>0</v>
      </c>
      <c r="H75" s="3">
        <v>0.34799999999999998</v>
      </c>
      <c r="I75" s="3">
        <v>0</v>
      </c>
      <c r="J75" s="3">
        <v>0.11799999999999999</v>
      </c>
      <c r="K75" s="3">
        <v>0</v>
      </c>
      <c r="L75" s="3">
        <v>0.83399999999999996</v>
      </c>
      <c r="M75" s="3">
        <v>0</v>
      </c>
      <c r="N75" s="3">
        <v>0.92700000000000005</v>
      </c>
      <c r="O75" s="3">
        <v>0</v>
      </c>
      <c r="P75" s="3">
        <v>0.92700000000000005</v>
      </c>
      <c r="Q75" s="3">
        <v>0</v>
      </c>
      <c r="R75" s="3">
        <v>0.127</v>
      </c>
      <c r="S75" s="3">
        <v>0</v>
      </c>
      <c r="T75" s="3">
        <v>0.12</v>
      </c>
      <c r="U75" s="3">
        <v>0</v>
      </c>
      <c r="V75" s="3">
        <v>8.7999999999999995E-2</v>
      </c>
      <c r="W75" s="3">
        <v>0</v>
      </c>
      <c r="X75" s="3">
        <v>1.7000000000000001E-2</v>
      </c>
      <c r="Y75" s="3">
        <v>0</v>
      </c>
      <c r="Z75" s="3">
        <v>1.4999999999999999E-2</v>
      </c>
      <c r="AA75" s="3">
        <v>0</v>
      </c>
      <c r="AB75" s="3">
        <v>6.2E-2</v>
      </c>
      <c r="AC75" s="3">
        <v>0.69550000000000001</v>
      </c>
      <c r="AD75" s="3">
        <v>0.752</v>
      </c>
      <c r="AE75" s="3">
        <v>0.70050000000000001</v>
      </c>
      <c r="AF75" s="3">
        <v>0.73699999999999999</v>
      </c>
      <c r="AG75" s="3">
        <v>0.40725</v>
      </c>
      <c r="AH75" s="3">
        <v>0.67100000000000004</v>
      </c>
      <c r="AI75" s="3">
        <v>0.95150000000000001</v>
      </c>
      <c r="AJ75" s="3">
        <v>0.11899999999999999</v>
      </c>
      <c r="AK75" s="3">
        <v>0.16750000000000001</v>
      </c>
      <c r="AL75" s="3">
        <v>7.5666667000000007E-2</v>
      </c>
      <c r="AM75" s="3">
        <v>0.01</v>
      </c>
      <c r="AN75" s="3">
        <v>0.60699999999999998</v>
      </c>
      <c r="AO75" s="3">
        <v>0.218</v>
      </c>
    </row>
    <row r="76" spans="1:41" x14ac:dyDescent="0.3">
      <c r="A76" s="2" t="s">
        <v>316</v>
      </c>
      <c r="B76" s="2" t="s">
        <v>352</v>
      </c>
      <c r="C76" s="3">
        <v>0</v>
      </c>
      <c r="D76" s="3">
        <v>0.20699999999999999</v>
      </c>
      <c r="E76" s="3">
        <v>0</v>
      </c>
      <c r="F76" s="3">
        <v>0.124</v>
      </c>
      <c r="G76" s="3">
        <v>0</v>
      </c>
      <c r="H76" s="3">
        <v>0.27700000000000002</v>
      </c>
      <c r="I76" s="3">
        <v>0</v>
      </c>
      <c r="J76" s="3">
        <v>0.109</v>
      </c>
      <c r="K76" s="3">
        <v>0</v>
      </c>
      <c r="L76" s="3">
        <v>0.79200000000000004</v>
      </c>
      <c r="M76" s="3">
        <v>0</v>
      </c>
      <c r="N76" s="3">
        <v>0.92900000000000005</v>
      </c>
      <c r="O76" s="3">
        <v>0</v>
      </c>
      <c r="P76" s="3">
        <v>0.92900000000000005</v>
      </c>
      <c r="Q76" s="3">
        <v>0</v>
      </c>
      <c r="R76" s="3">
        <v>0.161</v>
      </c>
      <c r="S76" s="3">
        <v>0</v>
      </c>
      <c r="T76" s="3">
        <v>0.111</v>
      </c>
      <c r="U76" s="3">
        <v>0</v>
      </c>
      <c r="V76" s="3">
        <v>0.17199999999999999</v>
      </c>
      <c r="W76" s="3">
        <v>0</v>
      </c>
      <c r="X76" s="3">
        <v>8.0000000000000002E-3</v>
      </c>
      <c r="Y76" s="3">
        <v>0</v>
      </c>
      <c r="Z76" s="3">
        <v>1.4999999999999999E-2</v>
      </c>
      <c r="AA76" s="3">
        <v>0</v>
      </c>
      <c r="AB76" s="3">
        <v>4.4999999999999998E-2</v>
      </c>
      <c r="AC76" s="3">
        <v>0.72799999999999998</v>
      </c>
      <c r="AD76" s="3">
        <v>0.76500000000000001</v>
      </c>
      <c r="AE76" s="3">
        <v>0.71</v>
      </c>
      <c r="AF76" s="3">
        <v>0.75333333300000005</v>
      </c>
      <c r="AG76" s="3">
        <v>0.439</v>
      </c>
      <c r="AH76" s="3">
        <v>0.70599999999999996</v>
      </c>
      <c r="AI76" s="3">
        <v>0.96350000000000002</v>
      </c>
      <c r="AJ76" s="3">
        <v>0.15</v>
      </c>
      <c r="AK76" s="3">
        <v>0.13400000000000001</v>
      </c>
      <c r="AL76" s="3">
        <v>0.100333333</v>
      </c>
      <c r="AM76" s="3">
        <v>0.01</v>
      </c>
      <c r="AN76" s="3">
        <v>0.64866666699999997</v>
      </c>
      <c r="AO76" s="3">
        <v>0.30299999999999999</v>
      </c>
    </row>
    <row r="77" spans="1:41" x14ac:dyDescent="0.3">
      <c r="A77" s="2" t="s">
        <v>317</v>
      </c>
      <c r="B77" s="2" t="s">
        <v>329</v>
      </c>
      <c r="C77" s="3">
        <v>0</v>
      </c>
      <c r="D77" s="3">
        <v>0.39900000000000002</v>
      </c>
      <c r="E77" s="3">
        <v>0</v>
      </c>
      <c r="F77" s="3">
        <v>0.33800000000000002</v>
      </c>
      <c r="G77" s="3">
        <v>0</v>
      </c>
      <c r="H77" s="3">
        <v>0.41899999999999998</v>
      </c>
      <c r="I77" s="3">
        <v>0</v>
      </c>
      <c r="J77" s="3">
        <v>0.39500000000000002</v>
      </c>
      <c r="K77" s="3">
        <v>0</v>
      </c>
      <c r="L77" s="3">
        <v>0.438</v>
      </c>
      <c r="M77" s="3">
        <v>0</v>
      </c>
      <c r="N77" s="3">
        <v>0.60199999999999998</v>
      </c>
      <c r="O77" s="3">
        <v>0</v>
      </c>
      <c r="P77" s="3">
        <v>0.60199999999999998</v>
      </c>
      <c r="Q77" s="3">
        <v>0</v>
      </c>
      <c r="R77" s="3">
        <v>0.38</v>
      </c>
      <c r="S77" s="3">
        <v>0</v>
      </c>
      <c r="T77" s="3">
        <v>0.436</v>
      </c>
      <c r="U77" s="3">
        <v>0</v>
      </c>
      <c r="V77" s="3">
        <v>0.52200000000000002</v>
      </c>
      <c r="W77" s="3">
        <v>0</v>
      </c>
      <c r="X77" s="3">
        <v>0.36599999999999999</v>
      </c>
      <c r="Y77" s="3">
        <v>0</v>
      </c>
      <c r="Z77" s="3">
        <v>0.45400000000000001</v>
      </c>
      <c r="AA77" s="3">
        <v>0</v>
      </c>
      <c r="AB77" s="3">
        <v>0.38</v>
      </c>
      <c r="AC77" s="3">
        <v>0.79900000000000004</v>
      </c>
      <c r="AD77" s="3">
        <v>0.8175</v>
      </c>
      <c r="AE77" s="3">
        <v>0.63800000000000001</v>
      </c>
      <c r="AF77" s="3">
        <v>0.76866666699999997</v>
      </c>
      <c r="AG77" s="3">
        <v>0.81399999999999995</v>
      </c>
      <c r="AH77" s="3">
        <v>0.81799999999999995</v>
      </c>
      <c r="AI77" s="3">
        <v>0.52349999999999997</v>
      </c>
      <c r="AJ77" s="3">
        <v>0.82899999999999996</v>
      </c>
      <c r="AK77" s="3">
        <v>0.85799999999999998</v>
      </c>
      <c r="AL77" s="3">
        <v>0.92</v>
      </c>
      <c r="AM77" s="3">
        <v>0.01</v>
      </c>
      <c r="AN77" s="3">
        <v>0.78933333299999997</v>
      </c>
      <c r="AO77" s="3">
        <v>0.70099999999999996</v>
      </c>
    </row>
    <row r="78" spans="1:41" x14ac:dyDescent="0.3">
      <c r="A78" s="2" t="s">
        <v>317</v>
      </c>
      <c r="B78" s="2" t="s">
        <v>330</v>
      </c>
      <c r="C78" s="3">
        <v>0</v>
      </c>
      <c r="D78" s="3">
        <v>0.41</v>
      </c>
      <c r="E78" s="3">
        <v>0</v>
      </c>
      <c r="F78" s="3">
        <v>0.307</v>
      </c>
      <c r="G78" s="3">
        <v>0</v>
      </c>
      <c r="H78" s="3">
        <v>0.374</v>
      </c>
      <c r="I78" s="3">
        <v>0</v>
      </c>
      <c r="J78" s="3">
        <v>0.378</v>
      </c>
      <c r="K78" s="3">
        <v>0</v>
      </c>
      <c r="L78" s="3">
        <v>0.432</v>
      </c>
      <c r="M78" s="3">
        <v>0</v>
      </c>
      <c r="N78" s="3">
        <v>0.60899999999999999</v>
      </c>
      <c r="O78" s="3">
        <v>0</v>
      </c>
      <c r="P78" s="3">
        <v>0.60899999999999999</v>
      </c>
      <c r="Q78" s="3">
        <v>0</v>
      </c>
      <c r="R78" s="3">
        <v>0.37</v>
      </c>
      <c r="S78" s="3">
        <v>0</v>
      </c>
      <c r="T78" s="3">
        <v>0.42</v>
      </c>
      <c r="U78" s="3">
        <v>0</v>
      </c>
      <c r="V78" s="3">
        <v>0.52700000000000002</v>
      </c>
      <c r="W78" s="3">
        <v>0</v>
      </c>
      <c r="X78" s="3">
        <v>0.38600000000000001</v>
      </c>
      <c r="Y78" s="3">
        <v>0</v>
      </c>
      <c r="Z78" s="3">
        <v>0.42899999999999999</v>
      </c>
      <c r="AA78" s="3">
        <v>0</v>
      </c>
      <c r="AB78" s="3">
        <v>0.36699999999999999</v>
      </c>
      <c r="AC78" s="3">
        <v>0.80200000000000005</v>
      </c>
      <c r="AD78" s="3">
        <v>0.8125</v>
      </c>
      <c r="AE78" s="3">
        <v>0.65600000000000003</v>
      </c>
      <c r="AF78" s="3">
        <v>0.78166666699999998</v>
      </c>
      <c r="AG78" s="3">
        <v>0.81933333399999997</v>
      </c>
      <c r="AH78" s="3">
        <v>0.81499999999999995</v>
      </c>
      <c r="AI78" s="3">
        <v>0.55449999999999999</v>
      </c>
      <c r="AJ78" s="3">
        <v>0.83666666700000003</v>
      </c>
      <c r="AK78" s="3">
        <v>0.86099999999999999</v>
      </c>
      <c r="AL78" s="3">
        <v>0.91033333299999997</v>
      </c>
      <c r="AM78" s="3">
        <v>0.01</v>
      </c>
      <c r="AN78" s="3">
        <v>0.79700000000000004</v>
      </c>
      <c r="AO78" s="3">
        <v>0.755</v>
      </c>
    </row>
    <row r="79" spans="1:41" x14ac:dyDescent="0.3">
      <c r="A79" s="2" t="s">
        <v>317</v>
      </c>
      <c r="B79" s="2" t="s">
        <v>331</v>
      </c>
      <c r="C79" s="3">
        <v>0</v>
      </c>
      <c r="D79" s="3">
        <v>0.40600000000000003</v>
      </c>
      <c r="E79" s="3">
        <v>0</v>
      </c>
      <c r="F79" s="3">
        <v>0.311</v>
      </c>
      <c r="G79" s="3">
        <v>0</v>
      </c>
      <c r="H79" s="3">
        <v>0.36299999999999999</v>
      </c>
      <c r="I79" s="3">
        <v>0</v>
      </c>
      <c r="J79" s="3">
        <v>0.39</v>
      </c>
      <c r="K79" s="3">
        <v>0</v>
      </c>
      <c r="L79" s="3">
        <v>0.44900000000000001</v>
      </c>
      <c r="M79" s="3">
        <v>0</v>
      </c>
      <c r="N79" s="3">
        <v>0.60699999999999998</v>
      </c>
      <c r="O79" s="3">
        <v>0</v>
      </c>
      <c r="P79" s="3">
        <v>0.60699999999999998</v>
      </c>
      <c r="Q79" s="3">
        <v>0</v>
      </c>
      <c r="R79" s="3">
        <v>0.35699999999999998</v>
      </c>
      <c r="S79" s="3">
        <v>0</v>
      </c>
      <c r="T79" s="3">
        <v>0.42499999999999999</v>
      </c>
      <c r="U79" s="3">
        <v>0</v>
      </c>
      <c r="V79" s="3">
        <v>0.51400000000000001</v>
      </c>
      <c r="W79" s="3">
        <v>0</v>
      </c>
      <c r="X79" s="3">
        <v>0.40300000000000002</v>
      </c>
      <c r="Y79" s="3">
        <v>0</v>
      </c>
      <c r="Z79" s="3">
        <v>0.40100000000000002</v>
      </c>
      <c r="AA79" s="3">
        <v>0</v>
      </c>
      <c r="AB79" s="3">
        <v>0.35199999999999998</v>
      </c>
      <c r="AC79" s="3">
        <v>0.84599999999999997</v>
      </c>
      <c r="AD79" s="3">
        <v>0.82</v>
      </c>
      <c r="AE79" s="3">
        <v>0.65700000000000003</v>
      </c>
      <c r="AF79" s="3">
        <v>0.78200000000000003</v>
      </c>
      <c r="AG79" s="3">
        <v>0.84533333399999999</v>
      </c>
      <c r="AH79" s="3">
        <v>0.81</v>
      </c>
      <c r="AI79" s="3">
        <v>0.58099999999999996</v>
      </c>
      <c r="AJ79" s="3">
        <v>0.84466666700000004</v>
      </c>
      <c r="AK79" s="3">
        <v>0.875</v>
      </c>
      <c r="AL79" s="3">
        <v>0.89066666699999997</v>
      </c>
      <c r="AM79" s="3">
        <v>0.01</v>
      </c>
      <c r="AN79" s="3">
        <v>0.820333333</v>
      </c>
      <c r="AO79" s="3">
        <v>0.81599999999999995</v>
      </c>
    </row>
    <row r="80" spans="1:41" x14ac:dyDescent="0.3">
      <c r="A80" s="2" t="s">
        <v>317</v>
      </c>
      <c r="B80" s="2" t="s">
        <v>332</v>
      </c>
      <c r="C80" s="3">
        <v>0</v>
      </c>
      <c r="D80" s="3">
        <v>0.41899999999999998</v>
      </c>
      <c r="E80" s="3">
        <v>0</v>
      </c>
      <c r="F80" s="3">
        <v>0.35499999999999998</v>
      </c>
      <c r="G80" s="3">
        <v>0</v>
      </c>
      <c r="H80" s="3">
        <v>0.39</v>
      </c>
      <c r="I80" s="3">
        <v>0</v>
      </c>
      <c r="J80" s="3">
        <v>0.42299999999999999</v>
      </c>
      <c r="K80" s="3">
        <v>0</v>
      </c>
      <c r="L80" s="3">
        <v>0.47899999999999998</v>
      </c>
      <c r="M80" s="3">
        <v>0</v>
      </c>
      <c r="N80" s="3">
        <v>0.59299999999999997</v>
      </c>
      <c r="O80" s="3">
        <v>0</v>
      </c>
      <c r="P80" s="3">
        <v>0.59299999999999997</v>
      </c>
      <c r="Q80" s="3">
        <v>0</v>
      </c>
      <c r="R80" s="3">
        <v>0.35699999999999998</v>
      </c>
      <c r="S80" s="3">
        <v>0</v>
      </c>
      <c r="T80" s="3">
        <v>0.45</v>
      </c>
      <c r="U80" s="3">
        <v>0</v>
      </c>
      <c r="V80" s="3">
        <v>0.495</v>
      </c>
      <c r="W80" s="3">
        <v>0</v>
      </c>
      <c r="X80" s="3">
        <v>0.39800000000000002</v>
      </c>
      <c r="Y80" s="3">
        <v>0</v>
      </c>
      <c r="Z80" s="3">
        <v>0.39500000000000002</v>
      </c>
      <c r="AA80" s="3">
        <v>0</v>
      </c>
      <c r="AB80" s="3">
        <v>0.34599999999999997</v>
      </c>
      <c r="AC80" s="3">
        <v>0.85299999999999998</v>
      </c>
      <c r="AD80" s="3">
        <v>0.79100000000000004</v>
      </c>
      <c r="AE80" s="3">
        <v>0.66800000000000004</v>
      </c>
      <c r="AF80" s="3">
        <v>0.79533333299999998</v>
      </c>
      <c r="AG80" s="3">
        <v>0.84866666700000004</v>
      </c>
      <c r="AH80" s="3">
        <v>0.82899999999999996</v>
      </c>
      <c r="AI80" s="3">
        <v>0.59</v>
      </c>
      <c r="AJ80" s="3">
        <v>0.84433333300000002</v>
      </c>
      <c r="AK80" s="3">
        <v>0.88849999999999996</v>
      </c>
      <c r="AL80" s="3">
        <v>0.86566666699999995</v>
      </c>
      <c r="AM80" s="3">
        <v>0.01</v>
      </c>
      <c r="AN80" s="3">
        <v>0.823333333</v>
      </c>
      <c r="AO80" s="3">
        <v>0.85399999999999998</v>
      </c>
    </row>
    <row r="81" spans="1:41" x14ac:dyDescent="0.3">
      <c r="A81" s="2" t="s">
        <v>317</v>
      </c>
      <c r="B81" s="2" t="s">
        <v>333</v>
      </c>
      <c r="C81" s="3">
        <v>0</v>
      </c>
      <c r="D81" s="3">
        <v>0.44900000000000001</v>
      </c>
      <c r="E81" s="3">
        <v>0</v>
      </c>
      <c r="F81" s="3">
        <v>0.41399999999999998</v>
      </c>
      <c r="G81" s="3">
        <v>0</v>
      </c>
      <c r="H81" s="3">
        <v>0.435</v>
      </c>
      <c r="I81" s="3">
        <v>0</v>
      </c>
      <c r="J81" s="3">
        <v>0.45</v>
      </c>
      <c r="K81" s="3">
        <v>0</v>
      </c>
      <c r="L81" s="3">
        <v>0.50700000000000001</v>
      </c>
      <c r="M81" s="3">
        <v>0</v>
      </c>
      <c r="N81" s="3">
        <v>0.58299999999999996</v>
      </c>
      <c r="O81" s="3">
        <v>0</v>
      </c>
      <c r="P81" s="3">
        <v>0.58299999999999996</v>
      </c>
      <c r="Q81" s="3">
        <v>0</v>
      </c>
      <c r="R81" s="3">
        <v>0.372</v>
      </c>
      <c r="S81" s="3">
        <v>0</v>
      </c>
      <c r="T81" s="3">
        <v>0.46600000000000003</v>
      </c>
      <c r="U81" s="3">
        <v>0</v>
      </c>
      <c r="V81" s="3">
        <v>0.48299999999999998</v>
      </c>
      <c r="W81" s="3">
        <v>0</v>
      </c>
      <c r="X81" s="3">
        <v>0.39</v>
      </c>
      <c r="Y81" s="3">
        <v>0</v>
      </c>
      <c r="Z81" s="3">
        <v>0.40300000000000002</v>
      </c>
      <c r="AA81" s="3">
        <v>0</v>
      </c>
      <c r="AB81" s="3">
        <v>0.33300000000000002</v>
      </c>
      <c r="AC81" s="3">
        <v>0.83399999999999996</v>
      </c>
      <c r="AD81" s="3">
        <v>0.75849999999999995</v>
      </c>
      <c r="AE81" s="3">
        <v>0.68799999999999994</v>
      </c>
      <c r="AF81" s="3">
        <v>0.81699999999999995</v>
      </c>
      <c r="AG81" s="3">
        <v>0.84016666699999998</v>
      </c>
      <c r="AH81" s="3">
        <v>0.84399999999999997</v>
      </c>
      <c r="AI81" s="3">
        <v>0.59799999999999998</v>
      </c>
      <c r="AJ81" s="3">
        <v>0.84633333300000002</v>
      </c>
      <c r="AK81" s="3">
        <v>0.90400000000000003</v>
      </c>
      <c r="AL81" s="3">
        <v>0.85799999999999998</v>
      </c>
      <c r="AM81" s="3">
        <v>0.01</v>
      </c>
      <c r="AN81" s="3">
        <v>0.80700000000000005</v>
      </c>
      <c r="AO81" s="3">
        <v>0.86599999999999999</v>
      </c>
    </row>
    <row r="82" spans="1:41" x14ac:dyDescent="0.3">
      <c r="A82" s="2" t="s">
        <v>317</v>
      </c>
      <c r="B82" s="2" t="s">
        <v>334</v>
      </c>
      <c r="C82" s="3">
        <v>0</v>
      </c>
      <c r="D82" s="3">
        <v>0.47299999999999998</v>
      </c>
      <c r="E82" s="3">
        <v>0</v>
      </c>
      <c r="F82" s="3">
        <v>0.45600000000000002</v>
      </c>
      <c r="G82" s="3">
        <v>0</v>
      </c>
      <c r="H82" s="3">
        <v>0.47799999999999998</v>
      </c>
      <c r="I82" s="3">
        <v>0</v>
      </c>
      <c r="J82" s="3">
        <v>0.47299999999999998</v>
      </c>
      <c r="K82" s="3">
        <v>0</v>
      </c>
      <c r="L82" s="3">
        <v>0.52300000000000002</v>
      </c>
      <c r="M82" s="3">
        <v>0</v>
      </c>
      <c r="N82" s="3">
        <v>0.56299999999999994</v>
      </c>
      <c r="O82" s="3">
        <v>0</v>
      </c>
      <c r="P82" s="3">
        <v>0.56299999999999994</v>
      </c>
      <c r="Q82" s="3">
        <v>0</v>
      </c>
      <c r="R82" s="3">
        <v>0.38700000000000001</v>
      </c>
      <c r="S82" s="3">
        <v>0</v>
      </c>
      <c r="T82" s="3">
        <v>0.47599999999999998</v>
      </c>
      <c r="U82" s="3">
        <v>0</v>
      </c>
      <c r="V82" s="3">
        <v>0.45300000000000001</v>
      </c>
      <c r="W82" s="3">
        <v>0</v>
      </c>
      <c r="X82" s="3">
        <v>0.38500000000000001</v>
      </c>
      <c r="Y82" s="3">
        <v>0</v>
      </c>
      <c r="Z82" s="3">
        <v>0.38500000000000001</v>
      </c>
      <c r="AA82" s="3">
        <v>0</v>
      </c>
      <c r="AB82" s="3">
        <v>0.30299999999999999</v>
      </c>
      <c r="AC82" s="3">
        <v>0.79549999999999998</v>
      </c>
      <c r="AD82" s="3">
        <v>0.72299999999999998</v>
      </c>
      <c r="AE82" s="3">
        <v>0.72550000000000003</v>
      </c>
      <c r="AF82" s="3">
        <v>0.83266666700000003</v>
      </c>
      <c r="AG82" s="3">
        <v>0.83125000000000004</v>
      </c>
      <c r="AH82" s="3">
        <v>0.84699999999999998</v>
      </c>
      <c r="AI82" s="3">
        <v>0.60350000000000004</v>
      </c>
      <c r="AJ82" s="3">
        <v>0.86699999999999999</v>
      </c>
      <c r="AK82" s="3">
        <v>0.91549999999999998</v>
      </c>
      <c r="AL82" s="3">
        <v>0.85</v>
      </c>
      <c r="AM82" s="3">
        <v>0.01</v>
      </c>
      <c r="AN82" s="3">
        <v>0.78200000000000003</v>
      </c>
      <c r="AO82" s="3">
        <v>0.85899999999999999</v>
      </c>
    </row>
    <row r="83" spans="1:41" x14ac:dyDescent="0.3">
      <c r="A83" s="2" t="s">
        <v>317</v>
      </c>
      <c r="B83" s="2" t="s">
        <v>335</v>
      </c>
      <c r="C83" s="3">
        <v>1.2999999999999999E-2</v>
      </c>
      <c r="D83" s="3">
        <v>0.46700000000000003</v>
      </c>
      <c r="E83" s="3">
        <v>2.9000000000000001E-2</v>
      </c>
      <c r="F83" s="3">
        <v>0.44900000000000001</v>
      </c>
      <c r="G83" s="3">
        <v>2.3E-2</v>
      </c>
      <c r="H83" s="3">
        <v>0.48</v>
      </c>
      <c r="I83" s="3">
        <v>8.0000000000000002E-3</v>
      </c>
      <c r="J83" s="3">
        <v>0.45400000000000001</v>
      </c>
      <c r="K83" s="3">
        <v>8.9999999999999993E-3</v>
      </c>
      <c r="L83" s="3">
        <v>0.53900000000000003</v>
      </c>
      <c r="M83" s="3">
        <v>0.01</v>
      </c>
      <c r="N83" s="3">
        <v>0.54200000000000004</v>
      </c>
      <c r="O83" s="3">
        <v>2E-3</v>
      </c>
      <c r="P83" s="3">
        <v>0.54200000000000004</v>
      </c>
      <c r="Q83" s="3">
        <v>1.0999999999999999E-2</v>
      </c>
      <c r="R83" s="3">
        <v>0.38400000000000001</v>
      </c>
      <c r="S83" s="3">
        <v>1.0999999999999999E-2</v>
      </c>
      <c r="T83" s="3">
        <v>0.46600000000000003</v>
      </c>
      <c r="U83" s="3">
        <v>1.0999999999999999E-2</v>
      </c>
      <c r="V83" s="3">
        <v>0.41299999999999998</v>
      </c>
      <c r="W83" s="3">
        <v>6.0000000000000001E-3</v>
      </c>
      <c r="X83" s="3">
        <v>0.35899999999999999</v>
      </c>
      <c r="Y83" s="3">
        <v>2.3E-2</v>
      </c>
      <c r="Z83" s="3">
        <v>0.34499999999999997</v>
      </c>
      <c r="AA83" s="3">
        <v>8.9999999999999993E-3</v>
      </c>
      <c r="AB83" s="3">
        <v>0.27</v>
      </c>
      <c r="AC83" s="3">
        <v>0.76700000000000002</v>
      </c>
      <c r="AD83" s="3">
        <v>0.69899999999999995</v>
      </c>
      <c r="AE83" s="3">
        <v>0.73750000000000004</v>
      </c>
      <c r="AF83" s="3">
        <v>0.83733333300000001</v>
      </c>
      <c r="AG83" s="3">
        <v>0.83183333400000004</v>
      </c>
      <c r="AH83" s="3">
        <v>0.84599999999999997</v>
      </c>
      <c r="AI83" s="3">
        <v>0.60299999999999998</v>
      </c>
      <c r="AJ83" s="3">
        <v>0.89666666699999997</v>
      </c>
      <c r="AK83" s="3">
        <v>0.92149999999999999</v>
      </c>
      <c r="AL83" s="3">
        <v>0.83066666700000003</v>
      </c>
      <c r="AM83" s="3">
        <v>0.01</v>
      </c>
      <c r="AN83" s="3">
        <v>0.75700000000000001</v>
      </c>
      <c r="AO83" s="3">
        <v>0.84299999999999997</v>
      </c>
    </row>
    <row r="84" spans="1:41" x14ac:dyDescent="0.3">
      <c r="A84" s="2" t="s">
        <v>317</v>
      </c>
      <c r="B84" s="2" t="s">
        <v>336</v>
      </c>
      <c r="C84" s="3">
        <v>0.10199999999999999</v>
      </c>
      <c r="D84" s="3">
        <v>0.34100000000000003</v>
      </c>
      <c r="E84" s="3">
        <v>0.189</v>
      </c>
      <c r="F84" s="3">
        <v>0.31900000000000001</v>
      </c>
      <c r="G84" s="3">
        <v>0.13300000000000001</v>
      </c>
      <c r="H84" s="3">
        <v>0.38100000000000001</v>
      </c>
      <c r="I84" s="3">
        <v>7.0999999999999994E-2</v>
      </c>
      <c r="J84" s="3">
        <v>0.28899999999999998</v>
      </c>
      <c r="K84" s="3">
        <v>9.5000000000000001E-2</v>
      </c>
      <c r="L84" s="3">
        <v>0.55900000000000005</v>
      </c>
      <c r="M84" s="3">
        <v>0.10100000000000001</v>
      </c>
      <c r="N84" s="3">
        <v>0.46700000000000003</v>
      </c>
      <c r="O84" s="3">
        <v>5.0999999999999997E-2</v>
      </c>
      <c r="P84" s="3">
        <v>0.46700000000000003</v>
      </c>
      <c r="Q84" s="3">
        <v>7.9000000000000001E-2</v>
      </c>
      <c r="R84" s="3">
        <v>0.30299999999999999</v>
      </c>
      <c r="S84" s="3">
        <v>8.2000000000000003E-2</v>
      </c>
      <c r="T84" s="3">
        <v>0.34799999999999998</v>
      </c>
      <c r="U84" s="3">
        <v>8.1000000000000003E-2</v>
      </c>
      <c r="V84" s="3">
        <v>0.30199999999999999</v>
      </c>
      <c r="W84" s="3">
        <v>6.7000000000000004E-2</v>
      </c>
      <c r="X84" s="3">
        <v>0.26400000000000001</v>
      </c>
      <c r="Y84" s="3">
        <v>0.182</v>
      </c>
      <c r="Z84" s="3">
        <v>0.26800000000000002</v>
      </c>
      <c r="AA84" s="3">
        <v>0.123</v>
      </c>
      <c r="AB84" s="3">
        <v>0.23400000000000001</v>
      </c>
      <c r="AC84" s="3">
        <v>0.72850000000000004</v>
      </c>
      <c r="AD84" s="3">
        <v>0.63</v>
      </c>
      <c r="AE84" s="3">
        <v>0.72150000000000003</v>
      </c>
      <c r="AF84" s="3">
        <v>0.83233333300000001</v>
      </c>
      <c r="AG84" s="3">
        <v>0.81141666700000004</v>
      </c>
      <c r="AH84" s="3">
        <v>0.83899999999999997</v>
      </c>
      <c r="AI84" s="3">
        <v>0.56999999999999995</v>
      </c>
      <c r="AJ84" s="3">
        <v>0.89433333299999995</v>
      </c>
      <c r="AK84" s="3">
        <v>0.89</v>
      </c>
      <c r="AL84" s="3">
        <v>0.79466666699999999</v>
      </c>
      <c r="AM84" s="3">
        <v>0.01</v>
      </c>
      <c r="AN84" s="3">
        <v>0.72</v>
      </c>
      <c r="AO84" s="3">
        <v>0.80700000000000005</v>
      </c>
    </row>
    <row r="85" spans="1:41" x14ac:dyDescent="0.3">
      <c r="A85" s="2" t="s">
        <v>317</v>
      </c>
      <c r="B85" s="2" t="s">
        <v>337</v>
      </c>
      <c r="C85" s="3">
        <v>0.32900000000000001</v>
      </c>
      <c r="D85" s="3">
        <v>0.34899999999999998</v>
      </c>
      <c r="E85" s="3">
        <v>0.38</v>
      </c>
      <c r="F85" s="3">
        <v>0.27300000000000002</v>
      </c>
      <c r="G85" s="3">
        <v>0.28100000000000003</v>
      </c>
      <c r="H85" s="3">
        <v>0.34799999999999998</v>
      </c>
      <c r="I85" s="3">
        <v>0.14599999999999999</v>
      </c>
      <c r="J85" s="3">
        <v>0.26400000000000001</v>
      </c>
      <c r="K85" s="3">
        <v>0.248</v>
      </c>
      <c r="L85" s="3">
        <v>0.58599999999999997</v>
      </c>
      <c r="M85" s="3">
        <v>0.252</v>
      </c>
      <c r="N85" s="3">
        <v>0.38800000000000001</v>
      </c>
      <c r="O85" s="3">
        <v>0.124</v>
      </c>
      <c r="P85" s="3">
        <v>0.38800000000000001</v>
      </c>
      <c r="Q85" s="3">
        <v>0.17</v>
      </c>
      <c r="R85" s="3">
        <v>0.251</v>
      </c>
      <c r="S85" s="3">
        <v>0.189</v>
      </c>
      <c r="T85" s="3">
        <v>0.3</v>
      </c>
      <c r="U85" s="3">
        <v>0.19</v>
      </c>
      <c r="V85" s="3">
        <v>0.218</v>
      </c>
      <c r="W85" s="3">
        <v>0.20300000000000001</v>
      </c>
      <c r="X85" s="3">
        <v>0.22900000000000001</v>
      </c>
      <c r="Y85" s="3">
        <v>0.37</v>
      </c>
      <c r="Z85" s="3">
        <v>0.21</v>
      </c>
      <c r="AA85" s="3">
        <v>0.33</v>
      </c>
      <c r="AB85" s="3">
        <v>0.222</v>
      </c>
      <c r="AC85" s="3">
        <v>0.75549999999999995</v>
      </c>
      <c r="AD85" s="3">
        <v>0.71099999999999997</v>
      </c>
      <c r="AE85" s="3">
        <v>0.78500000000000003</v>
      </c>
      <c r="AF85" s="3">
        <v>0.86033333300000003</v>
      </c>
      <c r="AG85" s="3">
        <v>0.81825000000000003</v>
      </c>
      <c r="AH85" s="3">
        <v>0.84699999999999998</v>
      </c>
      <c r="AI85" s="3">
        <v>0.56850000000000001</v>
      </c>
      <c r="AJ85" s="3">
        <v>0.88100000000000001</v>
      </c>
      <c r="AK85" s="3">
        <v>0.88200000000000001</v>
      </c>
      <c r="AL85" s="3">
        <v>0.76200000000000001</v>
      </c>
      <c r="AM85" s="3">
        <v>0.01</v>
      </c>
      <c r="AN85" s="3">
        <v>0.72399999999999998</v>
      </c>
      <c r="AO85" s="3">
        <v>0.80900000000000005</v>
      </c>
    </row>
    <row r="86" spans="1:41" x14ac:dyDescent="0.3">
      <c r="A86" s="2" t="s">
        <v>317</v>
      </c>
      <c r="B86" s="2" t="s">
        <v>338</v>
      </c>
      <c r="C86" s="3">
        <v>0.51200000000000001</v>
      </c>
      <c r="D86" s="3">
        <v>0.40300000000000002</v>
      </c>
      <c r="E86" s="3">
        <v>0.52300000000000002</v>
      </c>
      <c r="F86" s="3">
        <v>0.39400000000000002</v>
      </c>
      <c r="G86" s="3">
        <v>0.38900000000000001</v>
      </c>
      <c r="H86" s="3">
        <v>0.46300000000000002</v>
      </c>
      <c r="I86" s="3">
        <v>0.25700000000000001</v>
      </c>
      <c r="J86" s="3">
        <v>0.34</v>
      </c>
      <c r="K86" s="3">
        <v>0.443</v>
      </c>
      <c r="L86" s="3">
        <v>0.60899999999999999</v>
      </c>
      <c r="M86" s="3">
        <v>0.42799999999999999</v>
      </c>
      <c r="N86" s="3">
        <v>0.439</v>
      </c>
      <c r="O86" s="3">
        <v>0.248</v>
      </c>
      <c r="P86" s="3">
        <v>0.439</v>
      </c>
      <c r="Q86" s="3">
        <v>0.26</v>
      </c>
      <c r="R86" s="3">
        <v>0.25600000000000001</v>
      </c>
      <c r="S86" s="3">
        <v>0.38300000000000001</v>
      </c>
      <c r="T86" s="3">
        <v>0.33500000000000002</v>
      </c>
      <c r="U86" s="3">
        <v>0.38600000000000001</v>
      </c>
      <c r="V86" s="3">
        <v>0.20100000000000001</v>
      </c>
      <c r="W86" s="3">
        <v>0.48</v>
      </c>
      <c r="X86" s="3">
        <v>0.29499999999999998</v>
      </c>
      <c r="Y86" s="3">
        <v>0.52</v>
      </c>
      <c r="Z86" s="3">
        <v>0.19700000000000001</v>
      </c>
      <c r="AA86" s="3">
        <v>0.495</v>
      </c>
      <c r="AB86" s="3">
        <v>0.23499999999999999</v>
      </c>
      <c r="AC86" s="3">
        <v>0.80700000000000005</v>
      </c>
      <c r="AD86" s="3">
        <v>0.79600000000000004</v>
      </c>
      <c r="AE86" s="3">
        <v>0.8175</v>
      </c>
      <c r="AF86" s="3">
        <v>0.87433333300000005</v>
      </c>
      <c r="AG86" s="3">
        <v>0.83050000000000002</v>
      </c>
      <c r="AH86" s="3">
        <v>0.86499999999999999</v>
      </c>
      <c r="AI86" s="3">
        <v>0.65049999999999997</v>
      </c>
      <c r="AJ86" s="3">
        <v>0.85399999999999998</v>
      </c>
      <c r="AK86" s="3">
        <v>0.82199999999999995</v>
      </c>
      <c r="AL86" s="3">
        <v>0.75666666699999996</v>
      </c>
      <c r="AM86" s="3">
        <v>0.01</v>
      </c>
      <c r="AN86" s="3">
        <v>0.746</v>
      </c>
      <c r="AO86" s="3">
        <v>0.80800000000000005</v>
      </c>
    </row>
    <row r="87" spans="1:41" x14ac:dyDescent="0.3">
      <c r="A87" s="2" t="s">
        <v>317</v>
      </c>
      <c r="B87" s="2" t="s">
        <v>339</v>
      </c>
      <c r="C87" s="3">
        <v>0.62</v>
      </c>
      <c r="D87" s="3">
        <v>0.41</v>
      </c>
      <c r="E87" s="3">
        <v>0.60699999999999998</v>
      </c>
      <c r="F87" s="3">
        <v>0.44500000000000001</v>
      </c>
      <c r="G87" s="3">
        <v>0.51200000000000001</v>
      </c>
      <c r="H87" s="3">
        <v>0.52400000000000002</v>
      </c>
      <c r="I87" s="3">
        <v>0.51800000000000002</v>
      </c>
      <c r="J87" s="3">
        <v>0.36799999999999999</v>
      </c>
      <c r="K87" s="3">
        <v>0.61499999999999999</v>
      </c>
      <c r="L87" s="3">
        <v>0.61699999999999999</v>
      </c>
      <c r="M87" s="3">
        <v>0.59499999999999997</v>
      </c>
      <c r="N87" s="3">
        <v>0.437</v>
      </c>
      <c r="O87" s="3">
        <v>0.36099999999999999</v>
      </c>
      <c r="P87" s="3">
        <v>0.437</v>
      </c>
      <c r="Q87" s="3">
        <v>0.40200000000000002</v>
      </c>
      <c r="R87" s="3">
        <v>0.27100000000000002</v>
      </c>
      <c r="S87" s="3">
        <v>0.60699999999999998</v>
      </c>
      <c r="T87" s="3">
        <v>0.36699999999999999</v>
      </c>
      <c r="U87" s="3">
        <v>0.60799999999999998</v>
      </c>
      <c r="V87" s="3">
        <v>0.19800000000000001</v>
      </c>
      <c r="W87" s="3">
        <v>0.52100000000000002</v>
      </c>
      <c r="X87" s="3">
        <v>0.34499999999999997</v>
      </c>
      <c r="Y87" s="3">
        <v>0.60599999999999998</v>
      </c>
      <c r="Z87" s="3">
        <v>0.20300000000000001</v>
      </c>
      <c r="AA87" s="3">
        <v>0.58899999999999997</v>
      </c>
      <c r="AB87" s="3">
        <v>0.26300000000000001</v>
      </c>
      <c r="AC87" s="3">
        <v>0.82950000000000002</v>
      </c>
      <c r="AD87" s="3">
        <v>0.79649999999999999</v>
      </c>
      <c r="AE87" s="3">
        <v>0.8145</v>
      </c>
      <c r="AF87" s="3">
        <v>0.87966666699999996</v>
      </c>
      <c r="AG87" s="3">
        <v>0.82158333400000005</v>
      </c>
      <c r="AH87" s="3">
        <v>0.86899999999999999</v>
      </c>
      <c r="AI87" s="3">
        <v>0.70199999999999996</v>
      </c>
      <c r="AJ87" s="3">
        <v>0.81366666700000001</v>
      </c>
      <c r="AK87" s="3">
        <v>0.746</v>
      </c>
      <c r="AL87" s="3">
        <v>0.76300000000000001</v>
      </c>
      <c r="AM87" s="3">
        <v>0.01</v>
      </c>
      <c r="AN87" s="3">
        <v>0.76133333299999995</v>
      </c>
      <c r="AO87" s="3">
        <v>0.80400000000000005</v>
      </c>
    </row>
    <row r="88" spans="1:41" x14ac:dyDescent="0.3">
      <c r="A88" s="2" t="s">
        <v>317</v>
      </c>
      <c r="B88" s="2" t="s">
        <v>340</v>
      </c>
      <c r="C88" s="3">
        <v>0.65100000000000002</v>
      </c>
      <c r="D88" s="3">
        <v>0.42299999999999999</v>
      </c>
      <c r="E88" s="3">
        <v>0.63500000000000001</v>
      </c>
      <c r="F88" s="3">
        <v>0.45900000000000002</v>
      </c>
      <c r="G88" s="3">
        <v>0.61699999999999999</v>
      </c>
      <c r="H88" s="3">
        <v>0.55700000000000005</v>
      </c>
      <c r="I88" s="3">
        <v>0.63800000000000001</v>
      </c>
      <c r="J88" s="3">
        <v>0.38700000000000001</v>
      </c>
      <c r="K88" s="3">
        <v>0.65600000000000003</v>
      </c>
      <c r="L88" s="3">
        <v>0.61299999999999999</v>
      </c>
      <c r="M88" s="3">
        <v>0.66</v>
      </c>
      <c r="N88" s="3">
        <v>0.44900000000000001</v>
      </c>
      <c r="O88" s="3">
        <v>0.26100000000000001</v>
      </c>
      <c r="P88" s="3">
        <v>0.44900000000000001</v>
      </c>
      <c r="Q88" s="3">
        <v>0.61199999999999999</v>
      </c>
      <c r="R88" s="3">
        <v>0.30199999999999999</v>
      </c>
      <c r="S88" s="3">
        <v>0.66200000000000003</v>
      </c>
      <c r="T88" s="3">
        <v>0.4</v>
      </c>
      <c r="U88" s="3">
        <v>0.66100000000000003</v>
      </c>
      <c r="V88" s="3">
        <v>0.215</v>
      </c>
      <c r="W88" s="3">
        <v>0.60899999999999999</v>
      </c>
      <c r="X88" s="3">
        <v>0.37</v>
      </c>
      <c r="Y88" s="3">
        <v>0.64700000000000002</v>
      </c>
      <c r="Z88" s="3">
        <v>0.20499999999999999</v>
      </c>
      <c r="AA88" s="3">
        <v>0.63700000000000001</v>
      </c>
      <c r="AB88" s="3">
        <v>0.19600000000000001</v>
      </c>
      <c r="AC88" s="3">
        <v>0.82950000000000002</v>
      </c>
      <c r="AD88" s="3">
        <v>0.78200000000000003</v>
      </c>
      <c r="AE88" s="3">
        <v>0.80600000000000005</v>
      </c>
      <c r="AF88" s="3">
        <v>0.89366666699999997</v>
      </c>
      <c r="AG88" s="3">
        <v>0.80358333400000004</v>
      </c>
      <c r="AH88" s="3">
        <v>0.879</v>
      </c>
      <c r="AI88" s="3">
        <v>0.747</v>
      </c>
      <c r="AJ88" s="3">
        <v>0.77766666699999998</v>
      </c>
      <c r="AK88" s="3">
        <v>0.73299999999999998</v>
      </c>
      <c r="AL88" s="3">
        <v>0.77900000000000003</v>
      </c>
      <c r="AM88" s="3">
        <v>0.01</v>
      </c>
      <c r="AN88" s="3">
        <v>0.76666666699999997</v>
      </c>
      <c r="AO88" s="3">
        <v>0.81599999999999995</v>
      </c>
    </row>
    <row r="89" spans="1:41" x14ac:dyDescent="0.3">
      <c r="A89" s="2" t="s">
        <v>317</v>
      </c>
      <c r="B89" s="2" t="s">
        <v>341</v>
      </c>
      <c r="C89" s="3">
        <v>0.64400000000000002</v>
      </c>
      <c r="D89" s="3">
        <v>0.436</v>
      </c>
      <c r="E89" s="3">
        <v>0.63100000000000001</v>
      </c>
      <c r="F89" s="3">
        <v>0.45600000000000002</v>
      </c>
      <c r="G89" s="3">
        <v>0.65100000000000002</v>
      </c>
      <c r="H89" s="3">
        <v>0.56899999999999995</v>
      </c>
      <c r="I89" s="3">
        <v>0.64100000000000001</v>
      </c>
      <c r="J89" s="3">
        <v>0.39500000000000002</v>
      </c>
      <c r="K89" s="3">
        <v>0.65100000000000002</v>
      </c>
      <c r="L89" s="3">
        <v>0.59699999999999998</v>
      </c>
      <c r="M89" s="3">
        <v>0.65400000000000003</v>
      </c>
      <c r="N89" s="3">
        <v>0.39200000000000002</v>
      </c>
      <c r="O89" s="3">
        <v>0.14199999999999999</v>
      </c>
      <c r="P89" s="3">
        <v>0.39200000000000002</v>
      </c>
      <c r="Q89" s="3">
        <v>0.65500000000000003</v>
      </c>
      <c r="R89" s="3">
        <v>0.32200000000000001</v>
      </c>
      <c r="S89" s="3">
        <v>0.65500000000000003</v>
      </c>
      <c r="T89" s="3">
        <v>0.42099999999999999</v>
      </c>
      <c r="U89" s="3">
        <v>0.65400000000000003</v>
      </c>
      <c r="V89" s="3">
        <v>0.24199999999999999</v>
      </c>
      <c r="W89" s="3">
        <v>0.55900000000000005</v>
      </c>
      <c r="X89" s="3">
        <v>0.35399999999999998</v>
      </c>
      <c r="Y89" s="3">
        <v>0.626</v>
      </c>
      <c r="Z89" s="3">
        <v>0.20899999999999999</v>
      </c>
      <c r="AA89" s="3">
        <v>0.61499999999999999</v>
      </c>
      <c r="AB89" s="3">
        <v>0.182</v>
      </c>
      <c r="AC89" s="3">
        <v>0.82450000000000001</v>
      </c>
      <c r="AD89" s="3">
        <v>0.77800000000000002</v>
      </c>
      <c r="AE89" s="3">
        <v>0.80900000000000005</v>
      </c>
      <c r="AF89" s="3">
        <v>0.90933333299999997</v>
      </c>
      <c r="AG89" s="3">
        <v>0.78408333399999997</v>
      </c>
      <c r="AH89" s="3">
        <v>0.89</v>
      </c>
      <c r="AI89" s="3">
        <v>0.77049999999999996</v>
      </c>
      <c r="AJ89" s="3">
        <v>0.74366666699999995</v>
      </c>
      <c r="AK89" s="3">
        <v>0.76649999999999996</v>
      </c>
      <c r="AL89" s="3">
        <v>0.79900000000000004</v>
      </c>
      <c r="AM89" s="3">
        <v>0.01</v>
      </c>
      <c r="AN89" s="3">
        <v>0.77133333299999995</v>
      </c>
      <c r="AO89" s="3">
        <v>0.83399999999999996</v>
      </c>
    </row>
    <row r="90" spans="1:41" x14ac:dyDescent="0.3">
      <c r="A90" s="2" t="s">
        <v>317</v>
      </c>
      <c r="B90" s="2" t="s">
        <v>342</v>
      </c>
      <c r="C90" s="3">
        <v>0.55200000000000005</v>
      </c>
      <c r="D90" s="3">
        <v>0.439</v>
      </c>
      <c r="E90" s="3">
        <v>0.58299999999999996</v>
      </c>
      <c r="F90" s="3">
        <v>0.442</v>
      </c>
      <c r="G90" s="3">
        <v>0.60699999999999998</v>
      </c>
      <c r="H90" s="3">
        <v>0.56599999999999995</v>
      </c>
      <c r="I90" s="3">
        <v>0.59099999999999997</v>
      </c>
      <c r="J90" s="3">
        <v>0.39300000000000002</v>
      </c>
      <c r="K90" s="3">
        <v>0.51</v>
      </c>
      <c r="L90" s="3">
        <v>0.59399999999999997</v>
      </c>
      <c r="M90" s="3">
        <v>0.59599999999999997</v>
      </c>
      <c r="N90" s="3">
        <v>0.30199999999999999</v>
      </c>
      <c r="O90" s="3">
        <v>0.127</v>
      </c>
      <c r="P90" s="3">
        <v>0.30199999999999999</v>
      </c>
      <c r="Q90" s="3">
        <v>0.58899999999999997</v>
      </c>
      <c r="R90" s="3">
        <v>0.31900000000000001</v>
      </c>
      <c r="S90" s="3">
        <v>0.48799999999999999</v>
      </c>
      <c r="T90" s="3">
        <v>0.40899999999999997</v>
      </c>
      <c r="U90" s="3">
        <v>0.48499999999999999</v>
      </c>
      <c r="V90" s="3">
        <v>0.25</v>
      </c>
      <c r="W90" s="3">
        <v>0.36699999999999999</v>
      </c>
      <c r="X90" s="3">
        <v>0.32100000000000001</v>
      </c>
      <c r="Y90" s="3">
        <v>0.55600000000000005</v>
      </c>
      <c r="Z90" s="3">
        <v>0.20200000000000001</v>
      </c>
      <c r="AA90" s="3">
        <v>0.50600000000000001</v>
      </c>
      <c r="AB90" s="3">
        <v>0.20699999999999999</v>
      </c>
      <c r="AC90" s="3">
        <v>0.82950000000000002</v>
      </c>
      <c r="AD90" s="3">
        <v>0.78549999999999998</v>
      </c>
      <c r="AE90" s="3">
        <v>0.82599999999999996</v>
      </c>
      <c r="AF90" s="3">
        <v>0.92600000000000005</v>
      </c>
      <c r="AG90" s="3">
        <v>0.77875000000000005</v>
      </c>
      <c r="AH90" s="3">
        <v>0.90600000000000003</v>
      </c>
      <c r="AI90" s="3">
        <v>0.79900000000000004</v>
      </c>
      <c r="AJ90" s="3">
        <v>0.72799999999999998</v>
      </c>
      <c r="AK90" s="3">
        <v>0.80549999999999999</v>
      </c>
      <c r="AL90" s="3">
        <v>0.81666666700000001</v>
      </c>
      <c r="AM90" s="3">
        <v>0.01</v>
      </c>
      <c r="AN90" s="3">
        <v>0.77333333299999996</v>
      </c>
      <c r="AO90" s="3">
        <v>0.85299999999999998</v>
      </c>
    </row>
    <row r="91" spans="1:41" x14ac:dyDescent="0.3">
      <c r="A91" s="2" t="s">
        <v>317</v>
      </c>
      <c r="B91" s="2" t="s">
        <v>343</v>
      </c>
      <c r="C91" s="3">
        <v>0.374</v>
      </c>
      <c r="D91" s="3">
        <v>0.42899999999999999</v>
      </c>
      <c r="E91" s="3">
        <v>0.48499999999999999</v>
      </c>
      <c r="F91" s="3">
        <v>0.41299999999999998</v>
      </c>
      <c r="G91" s="3">
        <v>0.51100000000000001</v>
      </c>
      <c r="H91" s="3">
        <v>0.54300000000000004</v>
      </c>
      <c r="I91" s="3">
        <v>0.48</v>
      </c>
      <c r="J91" s="3">
        <v>0.373</v>
      </c>
      <c r="K91" s="3">
        <v>0.33400000000000002</v>
      </c>
      <c r="L91" s="3">
        <v>0.627</v>
      </c>
      <c r="M91" s="3">
        <v>0.499</v>
      </c>
      <c r="N91" s="3">
        <v>0.248</v>
      </c>
      <c r="O91" s="3">
        <v>9.7000000000000003E-2</v>
      </c>
      <c r="P91" s="3">
        <v>0.248</v>
      </c>
      <c r="Q91" s="3">
        <v>0.439</v>
      </c>
      <c r="R91" s="3">
        <v>0.28999999999999998</v>
      </c>
      <c r="S91" s="3">
        <v>0.312</v>
      </c>
      <c r="T91" s="3">
        <v>0.35599999999999998</v>
      </c>
      <c r="U91" s="3">
        <v>0.313</v>
      </c>
      <c r="V91" s="3">
        <v>0.23</v>
      </c>
      <c r="W91" s="3">
        <v>0.32600000000000001</v>
      </c>
      <c r="X91" s="3">
        <v>0.27700000000000002</v>
      </c>
      <c r="Y91" s="3">
        <v>0.47799999999999998</v>
      </c>
      <c r="Z91" s="3">
        <v>0.16500000000000001</v>
      </c>
      <c r="AA91" s="3">
        <v>0.46500000000000002</v>
      </c>
      <c r="AB91" s="3">
        <v>0.17299999999999999</v>
      </c>
      <c r="AC91" s="3">
        <v>0.83350000000000002</v>
      </c>
      <c r="AD91" s="3">
        <v>0.79300000000000004</v>
      </c>
      <c r="AE91" s="3">
        <v>0.84850000000000003</v>
      </c>
      <c r="AF91" s="3">
        <v>0.93533333299999999</v>
      </c>
      <c r="AG91" s="3">
        <v>0.77991666699999995</v>
      </c>
      <c r="AH91" s="3">
        <v>0.91600000000000004</v>
      </c>
      <c r="AI91" s="3">
        <v>0.83099999999999996</v>
      </c>
      <c r="AJ91" s="3">
        <v>0.72633333300000003</v>
      </c>
      <c r="AK91" s="3">
        <v>0.82499999999999996</v>
      </c>
      <c r="AL91" s="3">
        <v>0.81499999999999995</v>
      </c>
      <c r="AM91" s="3">
        <v>0.01</v>
      </c>
      <c r="AN91" s="3">
        <v>0.76300000000000001</v>
      </c>
      <c r="AO91" s="3">
        <v>0.86199999999999999</v>
      </c>
    </row>
    <row r="92" spans="1:41" x14ac:dyDescent="0.3">
      <c r="A92" s="2" t="s">
        <v>317</v>
      </c>
      <c r="B92" s="2" t="s">
        <v>344</v>
      </c>
      <c r="C92" s="3">
        <v>0.23499999999999999</v>
      </c>
      <c r="D92" s="3">
        <v>0.38400000000000001</v>
      </c>
      <c r="E92" s="3">
        <v>0.35199999999999998</v>
      </c>
      <c r="F92" s="3">
        <v>0.41</v>
      </c>
      <c r="G92" s="3">
        <v>0.36799999999999999</v>
      </c>
      <c r="H92" s="3">
        <v>0.497</v>
      </c>
      <c r="I92" s="3">
        <v>0.27300000000000002</v>
      </c>
      <c r="J92" s="3">
        <v>0.309</v>
      </c>
      <c r="K92" s="3">
        <v>0.24199999999999999</v>
      </c>
      <c r="L92" s="3">
        <v>0.69</v>
      </c>
      <c r="M92" s="3">
        <v>0.35399999999999998</v>
      </c>
      <c r="N92" s="3">
        <v>0.22700000000000001</v>
      </c>
      <c r="O92" s="3">
        <v>0.1</v>
      </c>
      <c r="P92" s="3">
        <v>0.22700000000000001</v>
      </c>
      <c r="Q92" s="3">
        <v>0.24199999999999999</v>
      </c>
      <c r="R92" s="3">
        <v>0.23499999999999999</v>
      </c>
      <c r="S92" s="3">
        <v>0.23699999999999999</v>
      </c>
      <c r="T92" s="3">
        <v>0.28100000000000003</v>
      </c>
      <c r="U92" s="3">
        <v>0.23899999999999999</v>
      </c>
      <c r="V92" s="3">
        <v>0.20200000000000001</v>
      </c>
      <c r="W92" s="3">
        <v>0.318</v>
      </c>
      <c r="X92" s="3">
        <v>0.23799999999999999</v>
      </c>
      <c r="Y92" s="3">
        <v>0.36199999999999999</v>
      </c>
      <c r="Z92" s="3">
        <v>0.112</v>
      </c>
      <c r="AA92" s="3">
        <v>0.36199999999999999</v>
      </c>
      <c r="AB92" s="3">
        <v>0.129</v>
      </c>
      <c r="AC92" s="3">
        <v>0.82499999999999996</v>
      </c>
      <c r="AD92" s="3">
        <v>0.79</v>
      </c>
      <c r="AE92" s="3">
        <v>0.86299999999999999</v>
      </c>
      <c r="AF92" s="3">
        <v>0.93533333299999999</v>
      </c>
      <c r="AG92" s="3">
        <v>0.78166666699999998</v>
      </c>
      <c r="AH92" s="3">
        <v>0.91300000000000003</v>
      </c>
      <c r="AI92" s="3">
        <v>0.83799999999999997</v>
      </c>
      <c r="AJ92" s="3">
        <v>0.73833333300000004</v>
      </c>
      <c r="AK92" s="3">
        <v>0.83299999999999996</v>
      </c>
      <c r="AL92" s="3">
        <v>0.79900000000000004</v>
      </c>
      <c r="AM92" s="3">
        <v>0.01</v>
      </c>
      <c r="AN92" s="3">
        <v>0.73833333300000004</v>
      </c>
      <c r="AO92" s="3">
        <v>0.85699999999999998</v>
      </c>
    </row>
    <row r="93" spans="1:41" x14ac:dyDescent="0.3">
      <c r="A93" s="2" t="s">
        <v>317</v>
      </c>
      <c r="B93" s="2" t="s">
        <v>345</v>
      </c>
      <c r="C93" s="3">
        <v>0.11700000000000001</v>
      </c>
      <c r="D93" s="3">
        <v>0.34499999999999997</v>
      </c>
      <c r="E93" s="3">
        <v>0.185</v>
      </c>
      <c r="F93" s="3">
        <v>0.42399999999999999</v>
      </c>
      <c r="G93" s="3">
        <v>0.189</v>
      </c>
      <c r="H93" s="3">
        <v>0.47</v>
      </c>
      <c r="I93" s="3">
        <v>0.11700000000000001</v>
      </c>
      <c r="J93" s="3">
        <v>0.23899999999999999</v>
      </c>
      <c r="K93" s="3">
        <v>0.11</v>
      </c>
      <c r="L93" s="3">
        <v>0.73099999999999998</v>
      </c>
      <c r="M93" s="3">
        <v>0.13</v>
      </c>
      <c r="N93" s="3">
        <v>0.222</v>
      </c>
      <c r="O93" s="3">
        <v>7.8E-2</v>
      </c>
      <c r="P93" s="3">
        <v>0.222</v>
      </c>
      <c r="Q93" s="3">
        <v>0.105</v>
      </c>
      <c r="R93" s="3">
        <v>0.215</v>
      </c>
      <c r="S93" s="3">
        <v>0.123</v>
      </c>
      <c r="T93" s="3">
        <v>0.20300000000000001</v>
      </c>
      <c r="U93" s="3">
        <v>0.125</v>
      </c>
      <c r="V93" s="3">
        <v>0.16200000000000001</v>
      </c>
      <c r="W93" s="3">
        <v>0.19500000000000001</v>
      </c>
      <c r="X93" s="3">
        <v>0.23599999999999999</v>
      </c>
      <c r="Y93" s="3">
        <v>0.191</v>
      </c>
      <c r="Z93" s="3">
        <v>7.8E-2</v>
      </c>
      <c r="AA93" s="3">
        <v>0.20200000000000001</v>
      </c>
      <c r="AB93" s="3">
        <v>0.104</v>
      </c>
      <c r="AC93" s="3">
        <v>0.78900000000000003</v>
      </c>
      <c r="AD93" s="3">
        <v>0.76300000000000001</v>
      </c>
      <c r="AE93" s="3">
        <v>0.85499999999999998</v>
      </c>
      <c r="AF93" s="3">
        <v>0.92433333299999998</v>
      </c>
      <c r="AG93" s="3">
        <v>0.76483333399999998</v>
      </c>
      <c r="AH93" s="3">
        <v>0.88600000000000001</v>
      </c>
      <c r="AI93" s="3">
        <v>0.84399999999999997</v>
      </c>
      <c r="AJ93" s="3">
        <v>0.74066666699999995</v>
      </c>
      <c r="AK93" s="3">
        <v>0.8175</v>
      </c>
      <c r="AL93" s="3">
        <v>0.77033333299999995</v>
      </c>
      <c r="AM93" s="3">
        <v>0.01</v>
      </c>
      <c r="AN93" s="3">
        <v>0.699333333</v>
      </c>
      <c r="AO93" s="3">
        <v>0.82899999999999996</v>
      </c>
    </row>
    <row r="94" spans="1:41" x14ac:dyDescent="0.3">
      <c r="A94" s="2" t="s">
        <v>317</v>
      </c>
      <c r="B94" s="2" t="s">
        <v>346</v>
      </c>
      <c r="C94" s="3">
        <v>2.1999999999999999E-2</v>
      </c>
      <c r="D94" s="3">
        <v>0.38300000000000001</v>
      </c>
      <c r="E94" s="3">
        <v>3.9E-2</v>
      </c>
      <c r="F94" s="3">
        <v>0.47599999999999998</v>
      </c>
      <c r="G94" s="3">
        <v>3.5999999999999997E-2</v>
      </c>
      <c r="H94" s="3">
        <v>0.505</v>
      </c>
      <c r="I94" s="3">
        <v>3.2000000000000001E-2</v>
      </c>
      <c r="J94" s="3">
        <v>0.25700000000000001</v>
      </c>
      <c r="K94" s="3">
        <v>2.7E-2</v>
      </c>
      <c r="L94" s="3">
        <v>0.73599999999999999</v>
      </c>
      <c r="M94" s="3">
        <v>4.1000000000000002E-2</v>
      </c>
      <c r="N94" s="3">
        <v>0.23100000000000001</v>
      </c>
      <c r="O94" s="3">
        <v>3.6999999999999998E-2</v>
      </c>
      <c r="P94" s="3">
        <v>0.23100000000000001</v>
      </c>
      <c r="Q94" s="3">
        <v>0.02</v>
      </c>
      <c r="R94" s="3">
        <v>0.27900000000000003</v>
      </c>
      <c r="S94" s="3">
        <v>3.1E-2</v>
      </c>
      <c r="T94" s="3">
        <v>0.19700000000000001</v>
      </c>
      <c r="U94" s="3">
        <v>3.1E-2</v>
      </c>
      <c r="V94" s="3">
        <v>0.154</v>
      </c>
      <c r="W94" s="3">
        <v>4.7E-2</v>
      </c>
      <c r="X94" s="3">
        <v>0.25600000000000001</v>
      </c>
      <c r="Y94" s="3">
        <v>4.7E-2</v>
      </c>
      <c r="Z94" s="3">
        <v>0.06</v>
      </c>
      <c r="AA94" s="3">
        <v>5.7000000000000002E-2</v>
      </c>
      <c r="AB94" s="3">
        <v>8.2000000000000003E-2</v>
      </c>
      <c r="AC94" s="3">
        <v>0.76249999999999996</v>
      </c>
      <c r="AD94" s="3">
        <v>0.73899999999999999</v>
      </c>
      <c r="AE94" s="3">
        <v>0.82050000000000001</v>
      </c>
      <c r="AF94" s="3">
        <v>0.91133333299999997</v>
      </c>
      <c r="AG94" s="3">
        <v>0.74941666699999998</v>
      </c>
      <c r="AH94" s="3">
        <v>0.86699999999999999</v>
      </c>
      <c r="AI94" s="3">
        <v>0.85</v>
      </c>
      <c r="AJ94" s="3">
        <v>0.73633333300000003</v>
      </c>
      <c r="AK94" s="3">
        <v>0.8095</v>
      </c>
      <c r="AL94" s="3">
        <v>0.74166666699999995</v>
      </c>
      <c r="AM94" s="3">
        <v>0.01</v>
      </c>
      <c r="AN94" s="3">
        <v>0.67433333299999998</v>
      </c>
      <c r="AO94" s="3">
        <v>0.78500000000000003</v>
      </c>
    </row>
    <row r="95" spans="1:41" x14ac:dyDescent="0.3">
      <c r="A95" s="2" t="s">
        <v>317</v>
      </c>
      <c r="B95" s="2" t="s">
        <v>347</v>
      </c>
      <c r="C95" s="3">
        <v>0</v>
      </c>
      <c r="D95" s="3">
        <v>0.439</v>
      </c>
      <c r="E95" s="3">
        <v>0</v>
      </c>
      <c r="F95" s="3">
        <v>0.497</v>
      </c>
      <c r="G95" s="3">
        <v>0</v>
      </c>
      <c r="H95" s="3">
        <v>0.52400000000000002</v>
      </c>
      <c r="I95" s="3">
        <v>0</v>
      </c>
      <c r="J95" s="3">
        <v>0.3</v>
      </c>
      <c r="K95" s="3">
        <v>0</v>
      </c>
      <c r="L95" s="3">
        <v>0.73299999999999998</v>
      </c>
      <c r="M95" s="3">
        <v>0</v>
      </c>
      <c r="N95" s="3">
        <v>0.24</v>
      </c>
      <c r="O95" s="3">
        <v>0</v>
      </c>
      <c r="P95" s="3">
        <v>0.24</v>
      </c>
      <c r="Q95" s="3">
        <v>0</v>
      </c>
      <c r="R95" s="3">
        <v>0.376</v>
      </c>
      <c r="S95" s="3">
        <v>0</v>
      </c>
      <c r="T95" s="3">
        <v>0.24299999999999999</v>
      </c>
      <c r="U95" s="3">
        <v>0</v>
      </c>
      <c r="V95" s="3">
        <v>0.14199999999999999</v>
      </c>
      <c r="W95" s="3">
        <v>0</v>
      </c>
      <c r="X95" s="3">
        <v>0.28100000000000003</v>
      </c>
      <c r="Y95" s="3">
        <v>0</v>
      </c>
      <c r="Z95" s="3">
        <v>4.8000000000000001E-2</v>
      </c>
      <c r="AA95" s="3">
        <v>0</v>
      </c>
      <c r="AB95" s="3">
        <v>4.5999999999999999E-2</v>
      </c>
      <c r="AC95" s="3">
        <v>0.76500000000000001</v>
      </c>
      <c r="AD95" s="3">
        <v>0.72750000000000004</v>
      </c>
      <c r="AE95" s="3">
        <v>0.79800000000000004</v>
      </c>
      <c r="AF95" s="3">
        <v>0.90800000000000003</v>
      </c>
      <c r="AG95" s="3">
        <v>0.75349999999999995</v>
      </c>
      <c r="AH95" s="3">
        <v>0.87</v>
      </c>
      <c r="AI95" s="3">
        <v>0.85099999999999998</v>
      </c>
      <c r="AJ95" s="3">
        <v>0.74199999999999999</v>
      </c>
      <c r="AK95" s="3">
        <v>0.8105</v>
      </c>
      <c r="AL95" s="3">
        <v>0.73299999999999998</v>
      </c>
      <c r="AM95" s="3">
        <v>0.01</v>
      </c>
      <c r="AN95" s="3">
        <v>0.681666667</v>
      </c>
      <c r="AO95" s="3">
        <v>0.77500000000000002</v>
      </c>
    </row>
    <row r="96" spans="1:41" x14ac:dyDescent="0.3">
      <c r="A96" s="2" t="s">
        <v>317</v>
      </c>
      <c r="B96" s="2" t="s">
        <v>348</v>
      </c>
      <c r="C96" s="3">
        <v>0</v>
      </c>
      <c r="D96" s="3">
        <v>0.442</v>
      </c>
      <c r="E96" s="3">
        <v>0</v>
      </c>
      <c r="F96" s="3">
        <v>0.45600000000000002</v>
      </c>
      <c r="G96" s="3">
        <v>0</v>
      </c>
      <c r="H96" s="3">
        <v>0.51200000000000001</v>
      </c>
      <c r="I96" s="3">
        <v>0</v>
      </c>
      <c r="J96" s="3">
        <v>0.311</v>
      </c>
      <c r="K96" s="3">
        <v>0</v>
      </c>
      <c r="L96" s="3">
        <v>0.75800000000000001</v>
      </c>
      <c r="M96" s="3">
        <v>0</v>
      </c>
      <c r="N96" s="3">
        <v>0.23300000000000001</v>
      </c>
      <c r="O96" s="3">
        <v>0</v>
      </c>
      <c r="P96" s="3">
        <v>0.23300000000000001</v>
      </c>
      <c r="Q96" s="3">
        <v>0</v>
      </c>
      <c r="R96" s="3">
        <v>0.44800000000000001</v>
      </c>
      <c r="S96" s="3">
        <v>0</v>
      </c>
      <c r="T96" s="3">
        <v>0.27900000000000003</v>
      </c>
      <c r="U96" s="3">
        <v>0</v>
      </c>
      <c r="V96" s="3">
        <v>0.107</v>
      </c>
      <c r="W96" s="3">
        <v>0</v>
      </c>
      <c r="X96" s="3">
        <v>0.28499999999999998</v>
      </c>
      <c r="Y96" s="3">
        <v>0</v>
      </c>
      <c r="Z96" s="3">
        <v>4.2999999999999997E-2</v>
      </c>
      <c r="AA96" s="3">
        <v>0</v>
      </c>
      <c r="AB96" s="3">
        <v>2.4E-2</v>
      </c>
      <c r="AC96" s="3">
        <v>0.75800000000000001</v>
      </c>
      <c r="AD96" s="3">
        <v>0.7</v>
      </c>
      <c r="AE96" s="3">
        <v>0.77800000000000002</v>
      </c>
      <c r="AF96" s="3">
        <v>0.89633333299999995</v>
      </c>
      <c r="AG96" s="3">
        <v>0.74483333399999996</v>
      </c>
      <c r="AH96" s="3">
        <v>0.86099999999999999</v>
      </c>
      <c r="AI96" s="3">
        <v>0.86550000000000005</v>
      </c>
      <c r="AJ96" s="3">
        <v>0.73166666700000005</v>
      </c>
      <c r="AK96" s="3">
        <v>0.79100000000000004</v>
      </c>
      <c r="AL96" s="3">
        <v>0.73366666700000005</v>
      </c>
      <c r="AM96" s="3">
        <v>0.01</v>
      </c>
      <c r="AN96" s="3">
        <v>0.68966666700000001</v>
      </c>
      <c r="AO96" s="3">
        <v>0.76200000000000001</v>
      </c>
    </row>
    <row r="97" spans="1:41" x14ac:dyDescent="0.3">
      <c r="A97" s="2" t="s">
        <v>317</v>
      </c>
      <c r="B97" s="2" t="s">
        <v>349</v>
      </c>
      <c r="C97" s="3">
        <v>0</v>
      </c>
      <c r="D97" s="3">
        <v>0.443</v>
      </c>
      <c r="E97" s="3">
        <v>0</v>
      </c>
      <c r="F97" s="3">
        <v>0.39800000000000002</v>
      </c>
      <c r="G97" s="3">
        <v>0</v>
      </c>
      <c r="H97" s="3">
        <v>0.48699999999999999</v>
      </c>
      <c r="I97" s="3">
        <v>0</v>
      </c>
      <c r="J97" s="3">
        <v>0.28699999999999998</v>
      </c>
      <c r="K97" s="3">
        <v>0</v>
      </c>
      <c r="L97" s="3">
        <v>0.79100000000000004</v>
      </c>
      <c r="M97" s="3">
        <v>0</v>
      </c>
      <c r="N97" s="3">
        <v>0.22500000000000001</v>
      </c>
      <c r="O97" s="3">
        <v>0</v>
      </c>
      <c r="P97" s="3">
        <v>0.22500000000000001</v>
      </c>
      <c r="Q97" s="3">
        <v>0</v>
      </c>
      <c r="R97" s="3">
        <v>0.442</v>
      </c>
      <c r="S97" s="3">
        <v>0</v>
      </c>
      <c r="T97" s="3">
        <v>0.27200000000000002</v>
      </c>
      <c r="U97" s="3">
        <v>0</v>
      </c>
      <c r="V97" s="3">
        <v>0.08</v>
      </c>
      <c r="W97" s="3">
        <v>0</v>
      </c>
      <c r="X97" s="3">
        <v>0.26100000000000001</v>
      </c>
      <c r="Y97" s="3">
        <v>0</v>
      </c>
      <c r="Z97" s="3">
        <v>4.2999999999999997E-2</v>
      </c>
      <c r="AA97" s="3">
        <v>0</v>
      </c>
      <c r="AB97" s="3">
        <v>2.3E-2</v>
      </c>
      <c r="AC97" s="3">
        <v>0.73850000000000005</v>
      </c>
      <c r="AD97" s="3">
        <v>0.6845</v>
      </c>
      <c r="AE97" s="3">
        <v>0.76549999999999996</v>
      </c>
      <c r="AF97" s="3">
        <v>0.88833333299999995</v>
      </c>
      <c r="AG97" s="3">
        <v>0.72291666700000001</v>
      </c>
      <c r="AH97" s="3">
        <v>0.85399999999999998</v>
      </c>
      <c r="AI97" s="3">
        <v>0.89049999999999996</v>
      </c>
      <c r="AJ97" s="3">
        <v>0.70733333300000001</v>
      </c>
      <c r="AK97" s="3">
        <v>0.754</v>
      </c>
      <c r="AL97" s="3">
        <v>0.73066666700000005</v>
      </c>
      <c r="AM97" s="3">
        <v>0.01</v>
      </c>
      <c r="AN97" s="3">
        <v>0.68633333299999999</v>
      </c>
      <c r="AO97" s="3">
        <v>0.73699999999999999</v>
      </c>
    </row>
    <row r="98" spans="1:41" x14ac:dyDescent="0.3">
      <c r="A98" s="2" t="s">
        <v>317</v>
      </c>
      <c r="B98" s="2" t="s">
        <v>350</v>
      </c>
      <c r="C98" s="3">
        <v>0</v>
      </c>
      <c r="D98" s="3">
        <v>0.439</v>
      </c>
      <c r="E98" s="3">
        <v>0</v>
      </c>
      <c r="F98" s="3">
        <v>0.34200000000000003</v>
      </c>
      <c r="G98" s="3">
        <v>0</v>
      </c>
      <c r="H98" s="3">
        <v>0.45500000000000002</v>
      </c>
      <c r="I98" s="3">
        <v>0</v>
      </c>
      <c r="J98" s="3">
        <v>0.26</v>
      </c>
      <c r="K98" s="3">
        <v>0</v>
      </c>
      <c r="L98" s="3">
        <v>0.80400000000000005</v>
      </c>
      <c r="M98" s="3">
        <v>0</v>
      </c>
      <c r="N98" s="3">
        <v>0.223</v>
      </c>
      <c r="O98" s="3">
        <v>0</v>
      </c>
      <c r="P98" s="3">
        <v>0.223</v>
      </c>
      <c r="Q98" s="3">
        <v>0</v>
      </c>
      <c r="R98" s="3">
        <v>0.39300000000000002</v>
      </c>
      <c r="S98" s="3">
        <v>0</v>
      </c>
      <c r="T98" s="3">
        <v>0.25800000000000001</v>
      </c>
      <c r="U98" s="3">
        <v>0</v>
      </c>
      <c r="V98" s="3">
        <v>5.3999999999999999E-2</v>
      </c>
      <c r="W98" s="3">
        <v>0</v>
      </c>
      <c r="X98" s="3">
        <v>0.247</v>
      </c>
      <c r="Y98" s="3">
        <v>0</v>
      </c>
      <c r="Z98" s="3">
        <v>4.2999999999999997E-2</v>
      </c>
      <c r="AA98" s="3">
        <v>0</v>
      </c>
      <c r="AB98" s="3">
        <v>3.5999999999999997E-2</v>
      </c>
      <c r="AC98" s="3">
        <v>0.748</v>
      </c>
      <c r="AD98" s="3">
        <v>0.69350000000000001</v>
      </c>
      <c r="AE98" s="3">
        <v>0.77100000000000002</v>
      </c>
      <c r="AF98" s="3">
        <v>0.88300000000000001</v>
      </c>
      <c r="AG98" s="3">
        <v>0.71683333400000004</v>
      </c>
      <c r="AH98" s="3">
        <v>0.86399999999999999</v>
      </c>
      <c r="AI98" s="3">
        <v>0.91100000000000003</v>
      </c>
      <c r="AJ98" s="3">
        <v>0.68566666700000001</v>
      </c>
      <c r="AK98" s="3">
        <v>0.71199999999999997</v>
      </c>
      <c r="AL98" s="3">
        <v>0.69099999999999995</v>
      </c>
      <c r="AM98" s="3">
        <v>0.01</v>
      </c>
      <c r="AN98" s="3">
        <v>0.69133333299999999</v>
      </c>
      <c r="AO98" s="3">
        <v>0.70299999999999996</v>
      </c>
    </row>
    <row r="99" spans="1:41" x14ac:dyDescent="0.3">
      <c r="A99" s="2" t="s">
        <v>317</v>
      </c>
      <c r="B99" s="2" t="s">
        <v>351</v>
      </c>
      <c r="C99" s="3">
        <v>0</v>
      </c>
      <c r="D99" s="3">
        <v>0.439</v>
      </c>
      <c r="E99" s="3">
        <v>0</v>
      </c>
      <c r="F99" s="3">
        <v>0.312</v>
      </c>
      <c r="G99" s="3">
        <v>0</v>
      </c>
      <c r="H99" s="3">
        <v>0.42899999999999999</v>
      </c>
      <c r="I99" s="3">
        <v>0</v>
      </c>
      <c r="J99" s="3">
        <v>0.27</v>
      </c>
      <c r="K99" s="3">
        <v>0</v>
      </c>
      <c r="L99" s="3">
        <v>0.80600000000000005</v>
      </c>
      <c r="M99" s="3">
        <v>0</v>
      </c>
      <c r="N99" s="3">
        <v>0.22500000000000001</v>
      </c>
      <c r="O99" s="3">
        <v>0</v>
      </c>
      <c r="P99" s="3">
        <v>0.22500000000000001</v>
      </c>
      <c r="Q99" s="3">
        <v>0</v>
      </c>
      <c r="R99" s="3">
        <v>0.35299999999999998</v>
      </c>
      <c r="S99" s="3">
        <v>0</v>
      </c>
      <c r="T99" s="3">
        <v>0.25900000000000001</v>
      </c>
      <c r="U99" s="3">
        <v>0</v>
      </c>
      <c r="V99" s="3">
        <v>4.1000000000000002E-2</v>
      </c>
      <c r="W99" s="3">
        <v>0</v>
      </c>
      <c r="X99" s="3">
        <v>0.224</v>
      </c>
      <c r="Y99" s="3">
        <v>0</v>
      </c>
      <c r="Z99" s="3">
        <v>4.5999999999999999E-2</v>
      </c>
      <c r="AA99" s="3">
        <v>0</v>
      </c>
      <c r="AB99" s="3">
        <v>5.0999999999999997E-2</v>
      </c>
      <c r="AC99" s="3">
        <v>0.75549999999999995</v>
      </c>
      <c r="AD99" s="3">
        <v>0.70699999999999996</v>
      </c>
      <c r="AE99" s="3">
        <v>0.78200000000000003</v>
      </c>
      <c r="AF99" s="3">
        <v>0.88333333300000005</v>
      </c>
      <c r="AG99" s="3">
        <v>0.71074999999999999</v>
      </c>
      <c r="AH99" s="3">
        <v>0.872</v>
      </c>
      <c r="AI99" s="3">
        <v>0.91649999999999998</v>
      </c>
      <c r="AJ99" s="3">
        <v>0.66600000000000004</v>
      </c>
      <c r="AK99" s="3">
        <v>0.66600000000000004</v>
      </c>
      <c r="AL99" s="3">
        <v>0.622</v>
      </c>
      <c r="AM99" s="3">
        <v>0.01</v>
      </c>
      <c r="AN99" s="3">
        <v>0.68333333299999999</v>
      </c>
      <c r="AO99" s="3">
        <v>0.66200000000000003</v>
      </c>
    </row>
    <row r="100" spans="1:41" x14ac:dyDescent="0.3">
      <c r="A100" s="2" t="s">
        <v>317</v>
      </c>
      <c r="B100" s="2" t="s">
        <v>352</v>
      </c>
      <c r="C100" s="3">
        <v>0</v>
      </c>
      <c r="D100" s="3">
        <v>0.44800000000000001</v>
      </c>
      <c r="E100" s="3">
        <v>0</v>
      </c>
      <c r="F100" s="3">
        <v>0.28699999999999998</v>
      </c>
      <c r="G100" s="3">
        <v>0</v>
      </c>
      <c r="H100" s="3">
        <v>0.39600000000000002</v>
      </c>
      <c r="I100" s="3">
        <v>0</v>
      </c>
      <c r="J100" s="3">
        <v>0.27</v>
      </c>
      <c r="K100" s="3">
        <v>0</v>
      </c>
      <c r="L100" s="3">
        <v>0.79700000000000004</v>
      </c>
      <c r="M100" s="3">
        <v>0</v>
      </c>
      <c r="N100" s="3">
        <v>0.23899999999999999</v>
      </c>
      <c r="O100" s="3">
        <v>0</v>
      </c>
      <c r="P100" s="3">
        <v>0.23899999999999999</v>
      </c>
      <c r="Q100" s="3">
        <v>0</v>
      </c>
      <c r="R100" s="3">
        <v>0.34899999999999998</v>
      </c>
      <c r="S100" s="3">
        <v>0</v>
      </c>
      <c r="T100" s="3">
        <v>0.27</v>
      </c>
      <c r="U100" s="3">
        <v>0</v>
      </c>
      <c r="V100" s="3">
        <v>2.9000000000000001E-2</v>
      </c>
      <c r="W100" s="3">
        <v>0</v>
      </c>
      <c r="X100" s="3">
        <v>0.19700000000000001</v>
      </c>
      <c r="Y100" s="3">
        <v>0</v>
      </c>
      <c r="Z100" s="3">
        <v>5.5E-2</v>
      </c>
      <c r="AA100" s="3">
        <v>0</v>
      </c>
      <c r="AB100" s="3">
        <v>7.3999999999999996E-2</v>
      </c>
      <c r="AC100" s="3">
        <v>0.75749999999999995</v>
      </c>
      <c r="AD100" s="3">
        <v>0.70599999999999996</v>
      </c>
      <c r="AE100" s="3">
        <v>0.78049999999999997</v>
      </c>
      <c r="AF100" s="3">
        <v>0.87866666699999996</v>
      </c>
      <c r="AG100" s="3">
        <v>0.70541666700000005</v>
      </c>
      <c r="AH100" s="3">
        <v>0.86599999999999999</v>
      </c>
      <c r="AI100" s="3">
        <v>0.91100000000000003</v>
      </c>
      <c r="AJ100" s="3">
        <v>0.65333333299999996</v>
      </c>
      <c r="AK100" s="3">
        <v>0.62350000000000005</v>
      </c>
      <c r="AL100" s="3">
        <v>0.55700000000000005</v>
      </c>
      <c r="AM100" s="3">
        <v>0.01</v>
      </c>
      <c r="AN100" s="3">
        <v>0.66433333299999997</v>
      </c>
      <c r="AO100" s="3">
        <v>0.63900000000000001</v>
      </c>
    </row>
    <row r="101" spans="1:41" x14ac:dyDescent="0.3">
      <c r="A101" s="2" t="s">
        <v>318</v>
      </c>
      <c r="B101" s="2" t="s">
        <v>329</v>
      </c>
      <c r="C101" s="3">
        <v>0</v>
      </c>
      <c r="D101" s="3">
        <v>0.161</v>
      </c>
      <c r="E101" s="3">
        <v>0</v>
      </c>
      <c r="F101" s="3">
        <v>0.11899999999999999</v>
      </c>
      <c r="G101" s="3">
        <v>0</v>
      </c>
      <c r="H101" s="3">
        <v>0.13400000000000001</v>
      </c>
      <c r="I101" s="3">
        <v>0</v>
      </c>
      <c r="J101" s="3">
        <v>0.185</v>
      </c>
      <c r="K101" s="3">
        <v>0</v>
      </c>
      <c r="L101" s="3">
        <v>0.221</v>
      </c>
      <c r="M101" s="3">
        <v>0</v>
      </c>
      <c r="N101" s="3">
        <v>0.315</v>
      </c>
      <c r="O101" s="3">
        <v>0</v>
      </c>
      <c r="P101" s="3">
        <v>0.315</v>
      </c>
      <c r="Q101" s="3">
        <v>0</v>
      </c>
      <c r="R101" s="3">
        <v>0.17499999999999999</v>
      </c>
      <c r="S101" s="3">
        <v>0</v>
      </c>
      <c r="T101" s="3">
        <v>0.20200000000000001</v>
      </c>
      <c r="U101" s="3">
        <v>0</v>
      </c>
      <c r="V101" s="3">
        <v>9.6000000000000002E-2</v>
      </c>
      <c r="W101" s="3">
        <v>0</v>
      </c>
      <c r="X101" s="3">
        <v>0.10299999999999999</v>
      </c>
      <c r="Y101" s="3">
        <v>0</v>
      </c>
      <c r="Z101" s="3">
        <v>5.8000000000000003E-2</v>
      </c>
      <c r="AA101" s="3">
        <v>0</v>
      </c>
      <c r="AB101" s="3">
        <v>2.3E-2</v>
      </c>
      <c r="AC101" s="3">
        <v>8.7999999999999995E-2</v>
      </c>
      <c r="AD101" s="3">
        <v>0.33100000000000002</v>
      </c>
      <c r="AE101" s="3">
        <v>0.34350000000000003</v>
      </c>
      <c r="AF101" s="3">
        <v>0.235666667</v>
      </c>
      <c r="AG101" s="3">
        <v>8.7333333999999999E-2</v>
      </c>
      <c r="AH101" s="3">
        <v>7.4999999999999997E-2</v>
      </c>
      <c r="AI101" s="3">
        <v>0.47649999999999998</v>
      </c>
      <c r="AJ101" s="3">
        <v>8.6666667000000003E-2</v>
      </c>
      <c r="AK101" s="3">
        <v>0.16350000000000001</v>
      </c>
      <c r="AL101" s="3">
        <v>0.142666667</v>
      </c>
      <c r="AM101" s="3">
        <v>0.01</v>
      </c>
      <c r="AN101" s="3">
        <v>6.3666666999999996E-2</v>
      </c>
      <c r="AO101" s="3">
        <v>0.13100000000000001</v>
      </c>
    </row>
    <row r="102" spans="1:41" x14ac:dyDescent="0.3">
      <c r="A102" s="2" t="s">
        <v>318</v>
      </c>
      <c r="B102" s="2" t="s">
        <v>330</v>
      </c>
      <c r="C102" s="3">
        <v>0</v>
      </c>
      <c r="D102" s="3">
        <v>0.16300000000000001</v>
      </c>
      <c r="E102" s="3">
        <v>0</v>
      </c>
      <c r="F102" s="3">
        <v>0.127</v>
      </c>
      <c r="G102" s="3">
        <v>0</v>
      </c>
      <c r="H102" s="3">
        <v>0.13400000000000001</v>
      </c>
      <c r="I102" s="3">
        <v>0</v>
      </c>
      <c r="J102" s="3">
        <v>0.185</v>
      </c>
      <c r="K102" s="3">
        <v>0</v>
      </c>
      <c r="L102" s="3">
        <v>0.183</v>
      </c>
      <c r="M102" s="3">
        <v>0</v>
      </c>
      <c r="N102" s="3">
        <v>0.30199999999999999</v>
      </c>
      <c r="O102" s="3">
        <v>0</v>
      </c>
      <c r="P102" s="3">
        <v>0.30199999999999999</v>
      </c>
      <c r="Q102" s="3">
        <v>0</v>
      </c>
      <c r="R102" s="3">
        <v>0.157</v>
      </c>
      <c r="S102" s="3">
        <v>0</v>
      </c>
      <c r="T102" s="3">
        <v>0.19400000000000001</v>
      </c>
      <c r="U102" s="3">
        <v>0</v>
      </c>
      <c r="V102" s="3">
        <v>7.1999999999999995E-2</v>
      </c>
      <c r="W102" s="3">
        <v>0</v>
      </c>
      <c r="X102" s="3">
        <v>0.09</v>
      </c>
      <c r="Y102" s="3">
        <v>0</v>
      </c>
      <c r="Z102" s="3">
        <v>3.6999999999999998E-2</v>
      </c>
      <c r="AA102" s="3">
        <v>0</v>
      </c>
      <c r="AB102" s="3">
        <v>1.2999999999999999E-2</v>
      </c>
      <c r="AC102" s="3">
        <v>7.9500000000000001E-2</v>
      </c>
      <c r="AD102" s="3">
        <v>0.29099999999999998</v>
      </c>
      <c r="AE102" s="3">
        <v>0.29149999999999998</v>
      </c>
      <c r="AF102" s="3">
        <v>0.20433333300000001</v>
      </c>
      <c r="AG102" s="3">
        <v>8.9249999999999996E-2</v>
      </c>
      <c r="AH102" s="3">
        <v>5.7000000000000002E-2</v>
      </c>
      <c r="AI102" s="3">
        <v>0.46750000000000003</v>
      </c>
      <c r="AJ102" s="3">
        <v>9.9000000000000005E-2</v>
      </c>
      <c r="AK102" s="3">
        <v>0.1925</v>
      </c>
      <c r="AL102" s="3">
        <v>0.153</v>
      </c>
      <c r="AM102" s="3">
        <v>0.01</v>
      </c>
      <c r="AN102" s="3">
        <v>6.9666667000000002E-2</v>
      </c>
      <c r="AO102" s="3">
        <v>0.16200000000000001</v>
      </c>
    </row>
    <row r="103" spans="1:41" x14ac:dyDescent="0.3">
      <c r="A103" s="2" t="s">
        <v>318</v>
      </c>
      <c r="B103" s="2" t="s">
        <v>331</v>
      </c>
      <c r="C103" s="3">
        <v>0</v>
      </c>
      <c r="D103" s="3">
        <v>0.16200000000000001</v>
      </c>
      <c r="E103" s="3">
        <v>0</v>
      </c>
      <c r="F103" s="3">
        <v>0.124</v>
      </c>
      <c r="G103" s="3">
        <v>0</v>
      </c>
      <c r="H103" s="3">
        <v>0.115</v>
      </c>
      <c r="I103" s="3">
        <v>0</v>
      </c>
      <c r="J103" s="3">
        <v>0.182</v>
      </c>
      <c r="K103" s="3">
        <v>0</v>
      </c>
      <c r="L103" s="3">
        <v>0.17100000000000001</v>
      </c>
      <c r="M103" s="3">
        <v>0</v>
      </c>
      <c r="N103" s="3">
        <v>0.29599999999999999</v>
      </c>
      <c r="O103" s="3">
        <v>0</v>
      </c>
      <c r="P103" s="3">
        <v>0.29599999999999999</v>
      </c>
      <c r="Q103" s="3">
        <v>0</v>
      </c>
      <c r="R103" s="3">
        <v>0.14000000000000001</v>
      </c>
      <c r="S103" s="3">
        <v>0</v>
      </c>
      <c r="T103" s="3">
        <v>0.18</v>
      </c>
      <c r="U103" s="3">
        <v>0</v>
      </c>
      <c r="V103" s="3">
        <v>6.0999999999999999E-2</v>
      </c>
      <c r="W103" s="3">
        <v>0</v>
      </c>
      <c r="X103" s="3">
        <v>7.5999999999999998E-2</v>
      </c>
      <c r="Y103" s="3">
        <v>0</v>
      </c>
      <c r="Z103" s="3">
        <v>2.7E-2</v>
      </c>
      <c r="AA103" s="3">
        <v>0</v>
      </c>
      <c r="AB103" s="3">
        <v>8.9999999999999993E-3</v>
      </c>
      <c r="AC103" s="3">
        <v>7.2999999999999995E-2</v>
      </c>
      <c r="AD103" s="3">
        <v>0.253</v>
      </c>
      <c r="AE103" s="3">
        <v>0.247</v>
      </c>
      <c r="AF103" s="3">
        <v>0.170333333</v>
      </c>
      <c r="AG103" s="3">
        <v>9.3166666999999995E-2</v>
      </c>
      <c r="AH103" s="3">
        <v>3.7999999999999999E-2</v>
      </c>
      <c r="AI103" s="3">
        <v>0.44</v>
      </c>
      <c r="AJ103" s="3">
        <v>0.11333333299999999</v>
      </c>
      <c r="AK103" s="3">
        <v>0.218</v>
      </c>
      <c r="AL103" s="3">
        <v>0.16866666699999999</v>
      </c>
      <c r="AM103" s="3">
        <v>0.01</v>
      </c>
      <c r="AN103" s="3">
        <v>8.2000000000000003E-2</v>
      </c>
      <c r="AO103" s="3">
        <v>0.2</v>
      </c>
    </row>
    <row r="104" spans="1:41" x14ac:dyDescent="0.3">
      <c r="A104" s="2" t="s">
        <v>318</v>
      </c>
      <c r="B104" s="2" t="s">
        <v>332</v>
      </c>
      <c r="C104" s="3">
        <v>0</v>
      </c>
      <c r="D104" s="3">
        <v>0.158</v>
      </c>
      <c r="E104" s="3">
        <v>0</v>
      </c>
      <c r="F104" s="3">
        <v>0.11799999999999999</v>
      </c>
      <c r="G104" s="3">
        <v>0</v>
      </c>
      <c r="H104" s="3">
        <v>9.8000000000000004E-2</v>
      </c>
      <c r="I104" s="3">
        <v>0</v>
      </c>
      <c r="J104" s="3">
        <v>0.183</v>
      </c>
      <c r="K104" s="3">
        <v>0</v>
      </c>
      <c r="L104" s="3">
        <v>0.18099999999999999</v>
      </c>
      <c r="M104" s="3">
        <v>0</v>
      </c>
      <c r="N104" s="3">
        <v>0.28799999999999998</v>
      </c>
      <c r="O104" s="3">
        <v>0</v>
      </c>
      <c r="P104" s="3">
        <v>0.28799999999999998</v>
      </c>
      <c r="Q104" s="3">
        <v>0</v>
      </c>
      <c r="R104" s="3">
        <v>0.123</v>
      </c>
      <c r="S104" s="3">
        <v>0</v>
      </c>
      <c r="T104" s="3">
        <v>0.16900000000000001</v>
      </c>
      <c r="U104" s="3">
        <v>0</v>
      </c>
      <c r="V104" s="3">
        <v>5.8999999999999997E-2</v>
      </c>
      <c r="W104" s="3">
        <v>0</v>
      </c>
      <c r="X104" s="3">
        <v>7.5999999999999998E-2</v>
      </c>
      <c r="Y104" s="3">
        <v>0</v>
      </c>
      <c r="Z104" s="3">
        <v>2.5000000000000001E-2</v>
      </c>
      <c r="AA104" s="3">
        <v>0</v>
      </c>
      <c r="AB104" s="3">
        <v>1.2999999999999999E-2</v>
      </c>
      <c r="AC104" s="3">
        <v>7.2499999999999995E-2</v>
      </c>
      <c r="AD104" s="3">
        <v>0.22800000000000001</v>
      </c>
      <c r="AE104" s="3">
        <v>0.20300000000000001</v>
      </c>
      <c r="AF104" s="3">
        <v>0.129</v>
      </c>
      <c r="AG104" s="3">
        <v>9.8916667E-2</v>
      </c>
      <c r="AH104" s="3">
        <v>1.7999999999999999E-2</v>
      </c>
      <c r="AI104" s="3">
        <v>0.41149999999999998</v>
      </c>
      <c r="AJ104" s="3">
        <v>0.12533333299999999</v>
      </c>
      <c r="AK104" s="3">
        <v>0.23749999999999999</v>
      </c>
      <c r="AL104" s="3">
        <v>0.200333333</v>
      </c>
      <c r="AM104" s="3">
        <v>0.01</v>
      </c>
      <c r="AN104" s="3">
        <v>0.102666667</v>
      </c>
      <c r="AO104" s="3">
        <v>0.249</v>
      </c>
    </row>
    <row r="105" spans="1:41" x14ac:dyDescent="0.3">
      <c r="A105" s="2" t="s">
        <v>318</v>
      </c>
      <c r="B105" s="2" t="s">
        <v>333</v>
      </c>
      <c r="C105" s="3">
        <v>0</v>
      </c>
      <c r="D105" s="3">
        <v>0.156</v>
      </c>
      <c r="E105" s="3">
        <v>0</v>
      </c>
      <c r="F105" s="3">
        <v>0.115</v>
      </c>
      <c r="G105" s="3">
        <v>0</v>
      </c>
      <c r="H105" s="3">
        <v>0.09</v>
      </c>
      <c r="I105" s="3">
        <v>0</v>
      </c>
      <c r="J105" s="3">
        <v>0.19400000000000001</v>
      </c>
      <c r="K105" s="3">
        <v>0</v>
      </c>
      <c r="L105" s="3">
        <v>0.21</v>
      </c>
      <c r="M105" s="3">
        <v>0</v>
      </c>
      <c r="N105" s="3">
        <v>0.28999999999999998</v>
      </c>
      <c r="O105" s="3">
        <v>0</v>
      </c>
      <c r="P105" s="3">
        <v>0.28999999999999998</v>
      </c>
      <c r="Q105" s="3">
        <v>0</v>
      </c>
      <c r="R105" s="3">
        <v>0.113</v>
      </c>
      <c r="S105" s="3">
        <v>0</v>
      </c>
      <c r="T105" s="3">
        <v>0.17399999999999999</v>
      </c>
      <c r="U105" s="3">
        <v>0</v>
      </c>
      <c r="V105" s="3">
        <v>6.3E-2</v>
      </c>
      <c r="W105" s="3">
        <v>0</v>
      </c>
      <c r="X105" s="3">
        <v>8.6999999999999994E-2</v>
      </c>
      <c r="Y105" s="3">
        <v>0</v>
      </c>
      <c r="Z105" s="3">
        <v>2.7E-2</v>
      </c>
      <c r="AA105" s="3">
        <v>0</v>
      </c>
      <c r="AB105" s="3">
        <v>2.1000000000000001E-2</v>
      </c>
      <c r="AC105" s="3">
        <v>8.1500000000000003E-2</v>
      </c>
      <c r="AD105" s="3">
        <v>0.20349999999999999</v>
      </c>
      <c r="AE105" s="3">
        <v>0.152</v>
      </c>
      <c r="AF105" s="3">
        <v>8.8666667000000005E-2</v>
      </c>
      <c r="AG105" s="3">
        <v>0.108583334</v>
      </c>
      <c r="AH105" s="3">
        <v>0.01</v>
      </c>
      <c r="AI105" s="3">
        <v>0.372</v>
      </c>
      <c r="AJ105" s="3">
        <v>0.13566666699999999</v>
      </c>
      <c r="AK105" s="3">
        <v>0.2495</v>
      </c>
      <c r="AL105" s="3">
        <v>0.24399999999999999</v>
      </c>
      <c r="AM105" s="3">
        <v>0.01</v>
      </c>
      <c r="AN105" s="3">
        <v>0.13300000000000001</v>
      </c>
      <c r="AO105" s="3">
        <v>0.30499999999999999</v>
      </c>
    </row>
    <row r="106" spans="1:41" x14ac:dyDescent="0.3">
      <c r="A106" s="2" t="s">
        <v>318</v>
      </c>
      <c r="B106" s="2" t="s">
        <v>334</v>
      </c>
      <c r="C106" s="3">
        <v>0</v>
      </c>
      <c r="D106" s="3">
        <v>0.153</v>
      </c>
      <c r="E106" s="3">
        <v>0</v>
      </c>
      <c r="F106" s="3">
        <v>0.11799999999999999</v>
      </c>
      <c r="G106" s="3">
        <v>0</v>
      </c>
      <c r="H106" s="3">
        <v>9.2999999999999999E-2</v>
      </c>
      <c r="I106" s="3">
        <v>0</v>
      </c>
      <c r="J106" s="3">
        <v>0.20399999999999999</v>
      </c>
      <c r="K106" s="3">
        <v>0</v>
      </c>
      <c r="L106" s="3">
        <v>0.23699999999999999</v>
      </c>
      <c r="M106" s="3">
        <v>0</v>
      </c>
      <c r="N106" s="3">
        <v>0.30599999999999999</v>
      </c>
      <c r="O106" s="3">
        <v>0</v>
      </c>
      <c r="P106" s="3">
        <v>0.30599999999999999</v>
      </c>
      <c r="Q106" s="3">
        <v>0</v>
      </c>
      <c r="R106" s="3">
        <v>0.112</v>
      </c>
      <c r="S106" s="3">
        <v>0</v>
      </c>
      <c r="T106" s="3">
        <v>0.184</v>
      </c>
      <c r="U106" s="3">
        <v>0</v>
      </c>
      <c r="V106" s="3">
        <v>7.0000000000000007E-2</v>
      </c>
      <c r="W106" s="3">
        <v>0</v>
      </c>
      <c r="X106" s="3">
        <v>9.9000000000000005E-2</v>
      </c>
      <c r="Y106" s="3">
        <v>0</v>
      </c>
      <c r="Z106" s="3">
        <v>3.3000000000000002E-2</v>
      </c>
      <c r="AA106" s="3">
        <v>0</v>
      </c>
      <c r="AB106" s="3">
        <v>3.3000000000000002E-2</v>
      </c>
      <c r="AC106" s="3">
        <v>9.6000000000000002E-2</v>
      </c>
      <c r="AD106" s="3">
        <v>0.16650000000000001</v>
      </c>
      <c r="AE106" s="3">
        <v>0.10150000000000001</v>
      </c>
      <c r="AF106" s="3">
        <v>6.3666666999999996E-2</v>
      </c>
      <c r="AG106" s="3">
        <v>0.1235</v>
      </c>
      <c r="AH106" s="3">
        <v>1.7000000000000001E-2</v>
      </c>
      <c r="AI106" s="3">
        <v>0.34399999999999997</v>
      </c>
      <c r="AJ106" s="3">
        <v>0.151</v>
      </c>
      <c r="AK106" s="3">
        <v>0.25950000000000001</v>
      </c>
      <c r="AL106" s="3">
        <v>0.29099999999999998</v>
      </c>
      <c r="AM106" s="3">
        <v>0.01</v>
      </c>
      <c r="AN106" s="3">
        <v>0.16900000000000001</v>
      </c>
      <c r="AO106" s="3">
        <v>0.35699999999999998</v>
      </c>
    </row>
    <row r="107" spans="1:41" x14ac:dyDescent="0.3">
      <c r="A107" s="2" t="s">
        <v>318</v>
      </c>
      <c r="B107" s="2" t="s">
        <v>335</v>
      </c>
      <c r="C107" s="3">
        <v>3.3000000000000002E-2</v>
      </c>
      <c r="D107" s="3">
        <v>0.154</v>
      </c>
      <c r="E107" s="3">
        <v>1.4999999999999999E-2</v>
      </c>
      <c r="F107" s="3">
        <v>0.122</v>
      </c>
      <c r="G107" s="3">
        <v>2.1000000000000001E-2</v>
      </c>
      <c r="H107" s="3">
        <v>0.10299999999999999</v>
      </c>
      <c r="I107" s="3">
        <v>1.2E-2</v>
      </c>
      <c r="J107" s="3">
        <v>0.20899999999999999</v>
      </c>
      <c r="K107" s="3">
        <v>2.1000000000000001E-2</v>
      </c>
      <c r="L107" s="3">
        <v>0.254</v>
      </c>
      <c r="M107" s="3">
        <v>1.4E-2</v>
      </c>
      <c r="N107" s="3">
        <v>0.318</v>
      </c>
      <c r="O107" s="3">
        <v>1E-3</v>
      </c>
      <c r="P107" s="3">
        <v>0.318</v>
      </c>
      <c r="Q107" s="3">
        <v>3.5000000000000003E-2</v>
      </c>
      <c r="R107" s="3">
        <v>0.121</v>
      </c>
      <c r="S107" s="3">
        <v>1.9E-2</v>
      </c>
      <c r="T107" s="3">
        <v>0.189</v>
      </c>
      <c r="U107" s="3">
        <v>1.9E-2</v>
      </c>
      <c r="V107" s="3">
        <v>8.2000000000000003E-2</v>
      </c>
      <c r="W107" s="3">
        <v>1.0999999999999999E-2</v>
      </c>
      <c r="X107" s="3">
        <v>9.8000000000000004E-2</v>
      </c>
      <c r="Y107" s="3">
        <v>1.6E-2</v>
      </c>
      <c r="Z107" s="3">
        <v>4.4999999999999998E-2</v>
      </c>
      <c r="AA107" s="3">
        <v>8.9999999999999993E-3</v>
      </c>
      <c r="AB107" s="3">
        <v>4.7E-2</v>
      </c>
      <c r="AC107" s="3">
        <v>0.115</v>
      </c>
      <c r="AD107" s="3">
        <v>0.124</v>
      </c>
      <c r="AE107" s="3">
        <v>6.3E-2</v>
      </c>
      <c r="AF107" s="3">
        <v>5.7666666999999998E-2</v>
      </c>
      <c r="AG107" s="3">
        <v>0.140333334</v>
      </c>
      <c r="AH107" s="3">
        <v>4.4999999999999998E-2</v>
      </c>
      <c r="AI107" s="3">
        <v>0.31950000000000001</v>
      </c>
      <c r="AJ107" s="3">
        <v>0.16566666699999999</v>
      </c>
      <c r="AK107" s="3">
        <v>0.26400000000000001</v>
      </c>
      <c r="AL107" s="3">
        <v>0.32700000000000001</v>
      </c>
      <c r="AM107" s="3">
        <v>0.01</v>
      </c>
      <c r="AN107" s="3">
        <v>0.20100000000000001</v>
      </c>
      <c r="AO107" s="3">
        <v>0.39200000000000002</v>
      </c>
    </row>
    <row r="108" spans="1:41" x14ac:dyDescent="0.3">
      <c r="A108" s="2" t="s">
        <v>318</v>
      </c>
      <c r="B108" s="2" t="s">
        <v>336</v>
      </c>
      <c r="C108" s="3">
        <v>0.19400000000000001</v>
      </c>
      <c r="D108" s="3">
        <v>0.12</v>
      </c>
      <c r="E108" s="3">
        <v>0.09</v>
      </c>
      <c r="F108" s="3">
        <v>9.4E-2</v>
      </c>
      <c r="G108" s="3">
        <v>0.16700000000000001</v>
      </c>
      <c r="H108" s="3">
        <v>9.2999999999999999E-2</v>
      </c>
      <c r="I108" s="3">
        <v>0.14000000000000001</v>
      </c>
      <c r="J108" s="3">
        <v>0.14799999999999999</v>
      </c>
      <c r="K108" s="3">
        <v>0.13800000000000001</v>
      </c>
      <c r="L108" s="3">
        <v>0.26</v>
      </c>
      <c r="M108" s="3">
        <v>0.14799999999999999</v>
      </c>
      <c r="N108" s="3">
        <v>0.27100000000000002</v>
      </c>
      <c r="O108" s="3">
        <v>4.2000000000000003E-2</v>
      </c>
      <c r="P108" s="3">
        <v>0.27100000000000002</v>
      </c>
      <c r="Q108" s="3">
        <v>0.20100000000000001</v>
      </c>
      <c r="R108" s="3">
        <v>0.114</v>
      </c>
      <c r="S108" s="3">
        <v>0.13400000000000001</v>
      </c>
      <c r="T108" s="3">
        <v>0.14599999999999999</v>
      </c>
      <c r="U108" s="3">
        <v>0.13300000000000001</v>
      </c>
      <c r="V108" s="3">
        <v>7.0000000000000007E-2</v>
      </c>
      <c r="W108" s="3">
        <v>0.124</v>
      </c>
      <c r="X108" s="3">
        <v>7.2999999999999995E-2</v>
      </c>
      <c r="Y108" s="3">
        <v>0.12</v>
      </c>
      <c r="Z108" s="3">
        <v>5.8000000000000003E-2</v>
      </c>
      <c r="AA108" s="3">
        <v>0.121</v>
      </c>
      <c r="AB108" s="3">
        <v>6.9000000000000006E-2</v>
      </c>
      <c r="AC108" s="3">
        <v>0.111</v>
      </c>
      <c r="AD108" s="3">
        <v>7.7499999999999999E-2</v>
      </c>
      <c r="AE108" s="3">
        <v>3.5499999999999997E-2</v>
      </c>
      <c r="AF108" s="3">
        <v>6.1333332999999997E-2</v>
      </c>
      <c r="AG108" s="3">
        <v>0.13266666699999999</v>
      </c>
      <c r="AH108" s="3">
        <v>7.6999999999999999E-2</v>
      </c>
      <c r="AI108" s="3">
        <v>0.28349999999999997</v>
      </c>
      <c r="AJ108" s="3">
        <v>0.15433333299999999</v>
      </c>
      <c r="AK108" s="3">
        <v>0.22</v>
      </c>
      <c r="AL108" s="3">
        <v>0.325333333</v>
      </c>
      <c r="AM108" s="3">
        <v>0.01</v>
      </c>
      <c r="AN108" s="3">
        <v>0.193333333</v>
      </c>
      <c r="AO108" s="3">
        <v>0.35799999999999998</v>
      </c>
    </row>
    <row r="109" spans="1:41" x14ac:dyDescent="0.3">
      <c r="A109" s="2" t="s">
        <v>318</v>
      </c>
      <c r="B109" s="2" t="s">
        <v>337</v>
      </c>
      <c r="C109" s="3">
        <v>0.40699999999999997</v>
      </c>
      <c r="D109" s="3">
        <v>8.6999999999999994E-2</v>
      </c>
      <c r="E109" s="3">
        <v>0.26600000000000001</v>
      </c>
      <c r="F109" s="3">
        <v>6.0999999999999999E-2</v>
      </c>
      <c r="G109" s="3">
        <v>0.35199999999999998</v>
      </c>
      <c r="H109" s="3">
        <v>6.5000000000000002E-2</v>
      </c>
      <c r="I109" s="3">
        <v>0.32700000000000001</v>
      </c>
      <c r="J109" s="3">
        <v>9.9000000000000005E-2</v>
      </c>
      <c r="K109" s="3">
        <v>0.38500000000000001</v>
      </c>
      <c r="L109" s="3">
        <v>0.26300000000000001</v>
      </c>
      <c r="M109" s="3">
        <v>0.32800000000000001</v>
      </c>
      <c r="N109" s="3">
        <v>0.20399999999999999</v>
      </c>
      <c r="O109" s="3">
        <v>0.109</v>
      </c>
      <c r="P109" s="3">
        <v>0.20399999999999999</v>
      </c>
      <c r="Q109" s="3">
        <v>0.39900000000000002</v>
      </c>
      <c r="R109" s="3">
        <v>0.10100000000000001</v>
      </c>
      <c r="S109" s="3">
        <v>0.38900000000000001</v>
      </c>
      <c r="T109" s="3">
        <v>0.105</v>
      </c>
      <c r="U109" s="3">
        <v>0.38900000000000001</v>
      </c>
      <c r="V109" s="3">
        <v>4.5999999999999999E-2</v>
      </c>
      <c r="W109" s="3">
        <v>0.375</v>
      </c>
      <c r="X109" s="3">
        <v>5.6000000000000001E-2</v>
      </c>
      <c r="Y109" s="3">
        <v>0.29699999999999999</v>
      </c>
      <c r="Z109" s="3">
        <v>5.5E-2</v>
      </c>
      <c r="AA109" s="3">
        <v>0.34200000000000003</v>
      </c>
      <c r="AB109" s="3">
        <v>5.8999999999999997E-2</v>
      </c>
      <c r="AC109" s="3">
        <v>7.9500000000000001E-2</v>
      </c>
      <c r="AD109" s="3">
        <v>3.4000000000000002E-2</v>
      </c>
      <c r="AE109" s="3">
        <v>1.2500000000000001E-2</v>
      </c>
      <c r="AF109" s="3">
        <v>5.1999999999999998E-2</v>
      </c>
      <c r="AG109" s="3">
        <v>0.110416667</v>
      </c>
      <c r="AH109" s="3">
        <v>7.2999999999999995E-2</v>
      </c>
      <c r="AI109" s="3">
        <v>0.23749999999999999</v>
      </c>
      <c r="AJ109" s="3">
        <v>0.14133333300000001</v>
      </c>
      <c r="AK109" s="3">
        <v>0.1875</v>
      </c>
      <c r="AL109" s="3">
        <v>0.28766666699999999</v>
      </c>
      <c r="AM109" s="3">
        <v>0.01</v>
      </c>
      <c r="AN109" s="3">
        <v>0.15166666700000001</v>
      </c>
      <c r="AO109" s="3">
        <v>0.26100000000000001</v>
      </c>
    </row>
    <row r="110" spans="1:41" x14ac:dyDescent="0.3">
      <c r="A110" s="2" t="s">
        <v>318</v>
      </c>
      <c r="B110" s="2" t="s">
        <v>338</v>
      </c>
      <c r="C110" s="3">
        <v>0.55400000000000005</v>
      </c>
      <c r="D110" s="3">
        <v>6.9000000000000006E-2</v>
      </c>
      <c r="E110" s="3">
        <v>0.54</v>
      </c>
      <c r="F110" s="3">
        <v>4.9000000000000002E-2</v>
      </c>
      <c r="G110" s="3">
        <v>0.505</v>
      </c>
      <c r="H110" s="3">
        <v>6.4000000000000001E-2</v>
      </c>
      <c r="I110" s="3">
        <v>0.49199999999999999</v>
      </c>
      <c r="J110" s="3">
        <v>7.0999999999999994E-2</v>
      </c>
      <c r="K110" s="3">
        <v>0.55000000000000004</v>
      </c>
      <c r="L110" s="3">
        <v>0.25700000000000001</v>
      </c>
      <c r="M110" s="3">
        <v>0.51300000000000001</v>
      </c>
      <c r="N110" s="3">
        <v>0.23</v>
      </c>
      <c r="O110" s="3">
        <v>0.248</v>
      </c>
      <c r="P110" s="3">
        <v>0.23</v>
      </c>
      <c r="Q110" s="3">
        <v>0.53500000000000003</v>
      </c>
      <c r="R110" s="3">
        <v>8.6999999999999994E-2</v>
      </c>
      <c r="S110" s="3">
        <v>0.54400000000000004</v>
      </c>
      <c r="T110" s="3">
        <v>8.1000000000000003E-2</v>
      </c>
      <c r="U110" s="3">
        <v>0.54400000000000004</v>
      </c>
      <c r="V110" s="3">
        <v>3.7999999999999999E-2</v>
      </c>
      <c r="W110" s="3">
        <v>0.53600000000000003</v>
      </c>
      <c r="X110" s="3">
        <v>6.0999999999999999E-2</v>
      </c>
      <c r="Y110" s="3">
        <v>0.53</v>
      </c>
      <c r="Z110" s="3">
        <v>6.6000000000000003E-2</v>
      </c>
      <c r="AA110" s="3">
        <v>0.52800000000000002</v>
      </c>
      <c r="AB110" s="3">
        <v>7.0999999999999994E-2</v>
      </c>
      <c r="AC110" s="3">
        <v>7.2999999999999995E-2</v>
      </c>
      <c r="AD110" s="3">
        <v>2.1499999999999998E-2</v>
      </c>
      <c r="AE110" s="3">
        <v>7.4999999999999997E-3</v>
      </c>
      <c r="AF110" s="3">
        <v>4.9000000000000002E-2</v>
      </c>
      <c r="AG110" s="3">
        <v>0.1145</v>
      </c>
      <c r="AH110" s="3">
        <v>7.3999999999999996E-2</v>
      </c>
      <c r="AI110" s="3">
        <v>0.2185</v>
      </c>
      <c r="AJ110" s="3">
        <v>0.156</v>
      </c>
      <c r="AK110" s="3">
        <v>0.20549999999999999</v>
      </c>
      <c r="AL110" s="3">
        <v>0.25766666700000002</v>
      </c>
      <c r="AM110" s="3">
        <v>0.01</v>
      </c>
      <c r="AN110" s="3">
        <v>0.13200000000000001</v>
      </c>
      <c r="AO110" s="3">
        <v>0.20399999999999999</v>
      </c>
    </row>
    <row r="111" spans="1:41" x14ac:dyDescent="0.3">
      <c r="A111" s="2" t="s">
        <v>318</v>
      </c>
      <c r="B111" s="2" t="s">
        <v>339</v>
      </c>
      <c r="C111" s="3">
        <v>0.64400000000000002</v>
      </c>
      <c r="D111" s="3">
        <v>5.5E-2</v>
      </c>
      <c r="E111" s="3">
        <v>0.63800000000000001</v>
      </c>
      <c r="F111" s="3">
        <v>4.9000000000000002E-2</v>
      </c>
      <c r="G111" s="3">
        <v>0.59699999999999998</v>
      </c>
      <c r="H111" s="3">
        <v>7.4999999999999997E-2</v>
      </c>
      <c r="I111" s="3">
        <v>0.59299999999999997</v>
      </c>
      <c r="J111" s="3">
        <v>4.2999999999999997E-2</v>
      </c>
      <c r="K111" s="3">
        <v>0.64900000000000002</v>
      </c>
      <c r="L111" s="3">
        <v>0.245</v>
      </c>
      <c r="M111" s="3">
        <v>0.61799999999999999</v>
      </c>
      <c r="N111" s="3">
        <v>0.29399999999999998</v>
      </c>
      <c r="O111" s="3">
        <v>0.31</v>
      </c>
      <c r="P111" s="3">
        <v>0.29399999999999998</v>
      </c>
      <c r="Q111" s="3">
        <v>0.64</v>
      </c>
      <c r="R111" s="3">
        <v>6.9000000000000006E-2</v>
      </c>
      <c r="S111" s="3">
        <v>0.64500000000000002</v>
      </c>
      <c r="T111" s="3">
        <v>5.5E-2</v>
      </c>
      <c r="U111" s="3">
        <v>0.64500000000000002</v>
      </c>
      <c r="V111" s="3">
        <v>2.7E-2</v>
      </c>
      <c r="W111" s="3">
        <v>0.64100000000000001</v>
      </c>
      <c r="X111" s="3">
        <v>5.5E-2</v>
      </c>
      <c r="Y111" s="3">
        <v>0.63800000000000001</v>
      </c>
      <c r="Z111" s="3">
        <v>7.5999999999999998E-2</v>
      </c>
      <c r="AA111" s="3">
        <v>0.63700000000000001</v>
      </c>
      <c r="AB111" s="3">
        <v>0.111</v>
      </c>
      <c r="AC111" s="3">
        <v>7.1499999999999994E-2</v>
      </c>
      <c r="AD111" s="3">
        <v>2.1499999999999998E-2</v>
      </c>
      <c r="AE111" s="3">
        <v>7.0000000000000001E-3</v>
      </c>
      <c r="AF111" s="3">
        <v>5.7666666999999998E-2</v>
      </c>
      <c r="AG111" s="3">
        <v>0.12275</v>
      </c>
      <c r="AH111" s="3">
        <v>7.8E-2</v>
      </c>
      <c r="AI111" s="3">
        <v>0.216</v>
      </c>
      <c r="AJ111" s="3">
        <v>0.17399999999999999</v>
      </c>
      <c r="AK111" s="3">
        <v>0.22</v>
      </c>
      <c r="AL111" s="3">
        <v>0.246</v>
      </c>
      <c r="AM111" s="3">
        <v>0.01</v>
      </c>
      <c r="AN111" s="3">
        <v>0.11600000000000001</v>
      </c>
      <c r="AO111" s="3">
        <v>0.158</v>
      </c>
    </row>
    <row r="112" spans="1:41" x14ac:dyDescent="0.3">
      <c r="A112" s="2" t="s">
        <v>318</v>
      </c>
      <c r="B112" s="2" t="s">
        <v>340</v>
      </c>
      <c r="C112" s="3">
        <v>0.68600000000000005</v>
      </c>
      <c r="D112" s="3">
        <v>0.05</v>
      </c>
      <c r="E112" s="3">
        <v>0.68799999999999994</v>
      </c>
      <c r="F112" s="3">
        <v>5.1999999999999998E-2</v>
      </c>
      <c r="G112" s="3">
        <v>0.46800000000000003</v>
      </c>
      <c r="H112" s="3">
        <v>8.8999999999999996E-2</v>
      </c>
      <c r="I112" s="3">
        <v>0.59699999999999998</v>
      </c>
      <c r="J112" s="3">
        <v>2.9000000000000001E-2</v>
      </c>
      <c r="K112" s="3">
        <v>0.69799999999999995</v>
      </c>
      <c r="L112" s="3">
        <v>0.23</v>
      </c>
      <c r="M112" s="3">
        <v>0.63200000000000001</v>
      </c>
      <c r="N112" s="3">
        <v>0.32500000000000001</v>
      </c>
      <c r="O112" s="3">
        <v>0.27800000000000002</v>
      </c>
      <c r="P112" s="3">
        <v>0.32500000000000001</v>
      </c>
      <c r="Q112" s="3">
        <v>0.68300000000000005</v>
      </c>
      <c r="R112" s="3">
        <v>5.2999999999999999E-2</v>
      </c>
      <c r="S112" s="3">
        <v>0.69499999999999995</v>
      </c>
      <c r="T112" s="3">
        <v>3.6999999999999998E-2</v>
      </c>
      <c r="U112" s="3">
        <v>0.69499999999999995</v>
      </c>
      <c r="V112" s="3">
        <v>1.9E-2</v>
      </c>
      <c r="W112" s="3">
        <v>0.69799999999999995</v>
      </c>
      <c r="X112" s="3">
        <v>0.05</v>
      </c>
      <c r="Y112" s="3">
        <v>0.69199999999999995</v>
      </c>
      <c r="Z112" s="3">
        <v>7.8E-2</v>
      </c>
      <c r="AA112" s="3">
        <v>0.69399999999999995</v>
      </c>
      <c r="AB112" s="3">
        <v>0.13400000000000001</v>
      </c>
      <c r="AC112" s="3">
        <v>7.1499999999999994E-2</v>
      </c>
      <c r="AD112" s="3">
        <v>2.8500000000000001E-2</v>
      </c>
      <c r="AE112" s="3">
        <v>5.4999999999999997E-3</v>
      </c>
      <c r="AF112" s="3">
        <v>6.7333332999999995E-2</v>
      </c>
      <c r="AG112" s="3">
        <v>0.13008333399999999</v>
      </c>
      <c r="AH112" s="3">
        <v>7.5999999999999998E-2</v>
      </c>
      <c r="AI112" s="3">
        <v>0.2205</v>
      </c>
      <c r="AJ112" s="3">
        <v>0.18866666700000001</v>
      </c>
      <c r="AK112" s="3">
        <v>0.22850000000000001</v>
      </c>
      <c r="AL112" s="3">
        <v>0.25800000000000001</v>
      </c>
      <c r="AM112" s="3">
        <v>0.01</v>
      </c>
      <c r="AN112" s="3">
        <v>0.101333333</v>
      </c>
      <c r="AO112" s="3">
        <v>0.124</v>
      </c>
    </row>
    <row r="113" spans="1:41" x14ac:dyDescent="0.3">
      <c r="A113" s="2" t="s">
        <v>318</v>
      </c>
      <c r="B113" s="2" t="s">
        <v>341</v>
      </c>
      <c r="C113" s="3">
        <v>0.68600000000000005</v>
      </c>
      <c r="D113" s="3">
        <v>4.8000000000000001E-2</v>
      </c>
      <c r="E113" s="3">
        <v>0.68700000000000006</v>
      </c>
      <c r="F113" s="3">
        <v>5.8999999999999997E-2</v>
      </c>
      <c r="G113" s="3">
        <v>0.57499999999999996</v>
      </c>
      <c r="H113" s="3">
        <v>0.107</v>
      </c>
      <c r="I113" s="3">
        <v>0.53900000000000003</v>
      </c>
      <c r="J113" s="3">
        <v>2.1000000000000001E-2</v>
      </c>
      <c r="K113" s="3">
        <v>0.69799999999999995</v>
      </c>
      <c r="L113" s="3">
        <v>0.214</v>
      </c>
      <c r="M113" s="3">
        <v>0.65600000000000003</v>
      </c>
      <c r="N113" s="3">
        <v>0.33500000000000002</v>
      </c>
      <c r="O113" s="3">
        <v>0.26600000000000001</v>
      </c>
      <c r="P113" s="3">
        <v>0.33500000000000002</v>
      </c>
      <c r="Q113" s="3">
        <v>0.68799999999999994</v>
      </c>
      <c r="R113" s="3">
        <v>4.2000000000000003E-2</v>
      </c>
      <c r="S113" s="3">
        <v>0.7</v>
      </c>
      <c r="T113" s="3">
        <v>2.5999999999999999E-2</v>
      </c>
      <c r="U113" s="3">
        <v>0.7</v>
      </c>
      <c r="V113" s="3">
        <v>1.6E-2</v>
      </c>
      <c r="W113" s="3">
        <v>0.70699999999999996</v>
      </c>
      <c r="X113" s="3">
        <v>4.7E-2</v>
      </c>
      <c r="Y113" s="3">
        <v>0.69699999999999995</v>
      </c>
      <c r="Z113" s="3">
        <v>7.9000000000000001E-2</v>
      </c>
      <c r="AA113" s="3">
        <v>0.70499999999999996</v>
      </c>
      <c r="AB113" s="3">
        <v>0.13700000000000001</v>
      </c>
      <c r="AC113" s="3">
        <v>7.4499999999999997E-2</v>
      </c>
      <c r="AD113" s="3">
        <v>4.4499999999999998E-2</v>
      </c>
      <c r="AE113" s="3">
        <v>5.0000000000000001E-3</v>
      </c>
      <c r="AF113" s="3">
        <v>7.0999999999999994E-2</v>
      </c>
      <c r="AG113" s="3">
        <v>0.14074999999999999</v>
      </c>
      <c r="AH113" s="3">
        <v>6.9000000000000006E-2</v>
      </c>
      <c r="AI113" s="3">
        <v>0.20649999999999999</v>
      </c>
      <c r="AJ113" s="3">
        <v>0.20699999999999999</v>
      </c>
      <c r="AK113" s="3">
        <v>0.23499999999999999</v>
      </c>
      <c r="AL113" s="3">
        <v>0.28666666699999999</v>
      </c>
      <c r="AM113" s="3">
        <v>0.01</v>
      </c>
      <c r="AN113" s="3">
        <v>9.0666667000000006E-2</v>
      </c>
      <c r="AO113" s="3">
        <v>0.1</v>
      </c>
    </row>
    <row r="114" spans="1:41" x14ac:dyDescent="0.3">
      <c r="A114" s="2" t="s">
        <v>318</v>
      </c>
      <c r="B114" s="2" t="s">
        <v>342</v>
      </c>
      <c r="C114" s="3">
        <v>0.63600000000000001</v>
      </c>
      <c r="D114" s="3">
        <v>4.8000000000000001E-2</v>
      </c>
      <c r="E114" s="3">
        <v>0.64300000000000002</v>
      </c>
      <c r="F114" s="3">
        <v>6.9000000000000006E-2</v>
      </c>
      <c r="G114" s="3">
        <v>0.54200000000000004</v>
      </c>
      <c r="H114" s="3">
        <v>0.125</v>
      </c>
      <c r="I114" s="3">
        <v>0.52</v>
      </c>
      <c r="J114" s="3">
        <v>1.7000000000000001E-2</v>
      </c>
      <c r="K114" s="3">
        <v>0.64900000000000002</v>
      </c>
      <c r="L114" s="3">
        <v>0.20300000000000001</v>
      </c>
      <c r="M114" s="3">
        <v>0.626</v>
      </c>
      <c r="N114" s="3">
        <v>0.34699999999999998</v>
      </c>
      <c r="O114" s="3">
        <v>0.128</v>
      </c>
      <c r="P114" s="3">
        <v>0.34699999999999998</v>
      </c>
      <c r="Q114" s="3">
        <v>0.63800000000000001</v>
      </c>
      <c r="R114" s="3">
        <v>3.6999999999999998E-2</v>
      </c>
      <c r="S114" s="3">
        <v>0.65500000000000003</v>
      </c>
      <c r="T114" s="3">
        <v>1.7999999999999999E-2</v>
      </c>
      <c r="U114" s="3">
        <v>0.65600000000000003</v>
      </c>
      <c r="V114" s="3">
        <v>1.7999999999999999E-2</v>
      </c>
      <c r="W114" s="3">
        <v>0.66700000000000004</v>
      </c>
      <c r="X114" s="3">
        <v>4.3999999999999997E-2</v>
      </c>
      <c r="Y114" s="3">
        <v>0.65400000000000003</v>
      </c>
      <c r="Z114" s="3">
        <v>8.3000000000000004E-2</v>
      </c>
      <c r="AA114" s="3">
        <v>0.66700000000000004</v>
      </c>
      <c r="AB114" s="3">
        <v>0.14299999999999999</v>
      </c>
      <c r="AC114" s="3">
        <v>8.2000000000000003E-2</v>
      </c>
      <c r="AD114" s="3">
        <v>7.1999999999999995E-2</v>
      </c>
      <c r="AE114" s="3">
        <v>8.0000000000000002E-3</v>
      </c>
      <c r="AF114" s="3">
        <v>6.6666666999999999E-2</v>
      </c>
      <c r="AG114" s="3">
        <v>0.16</v>
      </c>
      <c r="AH114" s="3">
        <v>5.8000000000000003E-2</v>
      </c>
      <c r="AI114" s="3">
        <v>0.17199999999999999</v>
      </c>
      <c r="AJ114" s="3">
        <v>0.23799999999999999</v>
      </c>
      <c r="AK114" s="3">
        <v>0.2525</v>
      </c>
      <c r="AL114" s="3">
        <v>0.33033333300000001</v>
      </c>
      <c r="AM114" s="3">
        <v>0.01</v>
      </c>
      <c r="AN114" s="3">
        <v>8.6999999999999994E-2</v>
      </c>
      <c r="AO114" s="3">
        <v>8.4000000000000005E-2</v>
      </c>
    </row>
    <row r="115" spans="1:41" x14ac:dyDescent="0.3">
      <c r="A115" s="2" t="s">
        <v>318</v>
      </c>
      <c r="B115" s="2" t="s">
        <v>343</v>
      </c>
      <c r="C115" s="3">
        <v>0.54</v>
      </c>
      <c r="D115" s="3">
        <v>5.3999999999999999E-2</v>
      </c>
      <c r="E115" s="3">
        <v>0.54800000000000004</v>
      </c>
      <c r="F115" s="3">
        <v>0.08</v>
      </c>
      <c r="G115" s="3">
        <v>0.51200000000000001</v>
      </c>
      <c r="H115" s="3">
        <v>0.14099999999999999</v>
      </c>
      <c r="I115" s="3">
        <v>0.46200000000000002</v>
      </c>
      <c r="J115" s="3">
        <v>1.6E-2</v>
      </c>
      <c r="K115" s="3">
        <v>0.55200000000000005</v>
      </c>
      <c r="L115" s="3">
        <v>0.20599999999999999</v>
      </c>
      <c r="M115" s="3">
        <v>0.54100000000000004</v>
      </c>
      <c r="N115" s="3">
        <v>0.36</v>
      </c>
      <c r="O115" s="3">
        <v>0.155</v>
      </c>
      <c r="P115" s="3">
        <v>0.36</v>
      </c>
      <c r="Q115" s="3">
        <v>0.55100000000000005</v>
      </c>
      <c r="R115" s="3">
        <v>3.6999999999999998E-2</v>
      </c>
      <c r="S115" s="3">
        <v>0.56200000000000006</v>
      </c>
      <c r="T115" s="3">
        <v>1.4E-2</v>
      </c>
      <c r="U115" s="3">
        <v>0.56200000000000006</v>
      </c>
      <c r="V115" s="3">
        <v>2.4E-2</v>
      </c>
      <c r="W115" s="3">
        <v>0.57899999999999996</v>
      </c>
      <c r="X115" s="3">
        <v>4.5999999999999999E-2</v>
      </c>
      <c r="Y115" s="3">
        <v>0.56299999999999994</v>
      </c>
      <c r="Z115" s="3">
        <v>8.5000000000000006E-2</v>
      </c>
      <c r="AA115" s="3">
        <v>0.57999999999999996</v>
      </c>
      <c r="AB115" s="3">
        <v>0.13800000000000001</v>
      </c>
      <c r="AC115" s="3">
        <v>9.9000000000000005E-2</v>
      </c>
      <c r="AD115" s="3">
        <v>0.11</v>
      </c>
      <c r="AE115" s="3">
        <v>1.6500000000000001E-2</v>
      </c>
      <c r="AF115" s="3">
        <v>6.0666667000000001E-2</v>
      </c>
      <c r="AG115" s="3">
        <v>0.19</v>
      </c>
      <c r="AH115" s="3">
        <v>4.9000000000000002E-2</v>
      </c>
      <c r="AI115" s="3">
        <v>0.14000000000000001</v>
      </c>
      <c r="AJ115" s="3">
        <v>0.28100000000000003</v>
      </c>
      <c r="AK115" s="3">
        <v>0.29399999999999998</v>
      </c>
      <c r="AL115" s="3">
        <v>0.38066666700000001</v>
      </c>
      <c r="AM115" s="3">
        <v>0.01</v>
      </c>
      <c r="AN115" s="3">
        <v>8.8999999999999996E-2</v>
      </c>
      <c r="AO115" s="3">
        <v>7.8E-2</v>
      </c>
    </row>
    <row r="116" spans="1:41" x14ac:dyDescent="0.3">
      <c r="A116" s="2" t="s">
        <v>318</v>
      </c>
      <c r="B116" s="2" t="s">
        <v>344</v>
      </c>
      <c r="C116" s="3">
        <v>0.38200000000000001</v>
      </c>
      <c r="D116" s="3">
        <v>7.0000000000000007E-2</v>
      </c>
      <c r="E116" s="3">
        <v>0.40400000000000003</v>
      </c>
      <c r="F116" s="3">
        <v>0.1</v>
      </c>
      <c r="G116" s="3">
        <v>0.36199999999999999</v>
      </c>
      <c r="H116" s="3">
        <v>0.16</v>
      </c>
      <c r="I116" s="3">
        <v>0.32300000000000001</v>
      </c>
      <c r="J116" s="3">
        <v>2.1999999999999999E-2</v>
      </c>
      <c r="K116" s="3">
        <v>0.40500000000000003</v>
      </c>
      <c r="L116" s="3">
        <v>0.23</v>
      </c>
      <c r="M116" s="3">
        <v>0.40100000000000002</v>
      </c>
      <c r="N116" s="3">
        <v>0.33900000000000002</v>
      </c>
      <c r="O116" s="3">
        <v>0.104</v>
      </c>
      <c r="P116" s="3">
        <v>0.33900000000000002</v>
      </c>
      <c r="Q116" s="3">
        <v>0.40400000000000003</v>
      </c>
      <c r="R116" s="3">
        <v>4.2999999999999997E-2</v>
      </c>
      <c r="S116" s="3">
        <v>0.41699999999999998</v>
      </c>
      <c r="T116" s="3">
        <v>1.6E-2</v>
      </c>
      <c r="U116" s="3">
        <v>0.41799999999999998</v>
      </c>
      <c r="V116" s="3">
        <v>3.4000000000000002E-2</v>
      </c>
      <c r="W116" s="3">
        <v>0.441</v>
      </c>
      <c r="X116" s="3">
        <v>5.7000000000000002E-2</v>
      </c>
      <c r="Y116" s="3">
        <v>0.42199999999999999</v>
      </c>
      <c r="Z116" s="3">
        <v>8.4000000000000005E-2</v>
      </c>
      <c r="AA116" s="3">
        <v>0.443</v>
      </c>
      <c r="AB116" s="3">
        <v>0.11799999999999999</v>
      </c>
      <c r="AC116" s="3">
        <v>0.122</v>
      </c>
      <c r="AD116" s="3">
        <v>0.151</v>
      </c>
      <c r="AE116" s="3">
        <v>3.4500000000000003E-2</v>
      </c>
      <c r="AF116" s="3">
        <v>6.3E-2</v>
      </c>
      <c r="AG116" s="3">
        <v>0.22700000000000001</v>
      </c>
      <c r="AH116" s="3">
        <v>5.2999999999999999E-2</v>
      </c>
      <c r="AI116" s="3">
        <v>0.11600000000000001</v>
      </c>
      <c r="AJ116" s="3">
        <v>0.33200000000000002</v>
      </c>
      <c r="AK116" s="3">
        <v>0.35949999999999999</v>
      </c>
      <c r="AL116" s="3">
        <v>0.436</v>
      </c>
      <c r="AM116" s="3">
        <v>0.01</v>
      </c>
      <c r="AN116" s="3">
        <v>9.5000000000000001E-2</v>
      </c>
      <c r="AO116" s="3">
        <v>8.6999999999999994E-2</v>
      </c>
    </row>
    <row r="117" spans="1:41" x14ac:dyDescent="0.3">
      <c r="A117" s="2" t="s">
        <v>318</v>
      </c>
      <c r="B117" s="2" t="s">
        <v>345</v>
      </c>
      <c r="C117" s="3">
        <v>0.19400000000000001</v>
      </c>
      <c r="D117" s="3">
        <v>0.108</v>
      </c>
      <c r="E117" s="3">
        <v>0.219</v>
      </c>
      <c r="F117" s="3">
        <v>0.13700000000000001</v>
      </c>
      <c r="G117" s="3">
        <v>0.14899999999999999</v>
      </c>
      <c r="H117" s="3">
        <v>0.182</v>
      </c>
      <c r="I117" s="3">
        <v>0.155</v>
      </c>
      <c r="J117" s="3">
        <v>4.2999999999999997E-2</v>
      </c>
      <c r="K117" s="3">
        <v>0.216</v>
      </c>
      <c r="L117" s="3">
        <v>0.27500000000000002</v>
      </c>
      <c r="M117" s="3">
        <v>0.22600000000000001</v>
      </c>
      <c r="N117" s="3">
        <v>0.33900000000000002</v>
      </c>
      <c r="O117" s="3">
        <v>6.9000000000000006E-2</v>
      </c>
      <c r="P117" s="3">
        <v>0.33900000000000002</v>
      </c>
      <c r="Q117" s="3">
        <v>0.19600000000000001</v>
      </c>
      <c r="R117" s="3">
        <v>6.5000000000000002E-2</v>
      </c>
      <c r="S117" s="3">
        <v>0.22600000000000001</v>
      </c>
      <c r="T117" s="3">
        <v>0.03</v>
      </c>
      <c r="U117" s="3">
        <v>0.22700000000000001</v>
      </c>
      <c r="V117" s="3">
        <v>4.9000000000000002E-2</v>
      </c>
      <c r="W117" s="3">
        <v>0.25700000000000001</v>
      </c>
      <c r="X117" s="3">
        <v>7.6999999999999999E-2</v>
      </c>
      <c r="Y117" s="3">
        <v>0.23799999999999999</v>
      </c>
      <c r="Z117" s="3">
        <v>0.08</v>
      </c>
      <c r="AA117" s="3">
        <v>0.26200000000000001</v>
      </c>
      <c r="AB117" s="3">
        <v>0.11799999999999999</v>
      </c>
      <c r="AC117" s="3">
        <v>0.1525</v>
      </c>
      <c r="AD117" s="3">
        <v>0.19700000000000001</v>
      </c>
      <c r="AE117" s="3">
        <v>6.9000000000000006E-2</v>
      </c>
      <c r="AF117" s="3">
        <v>8.2000000000000003E-2</v>
      </c>
      <c r="AG117" s="3">
        <v>0.26958333400000001</v>
      </c>
      <c r="AH117" s="3">
        <v>7.3999999999999996E-2</v>
      </c>
      <c r="AI117" s="3">
        <v>0.1225</v>
      </c>
      <c r="AJ117" s="3">
        <v>0.38666666700000002</v>
      </c>
      <c r="AK117" s="3">
        <v>0.4425</v>
      </c>
      <c r="AL117" s="3">
        <v>0.48599999999999999</v>
      </c>
      <c r="AM117" s="3">
        <v>0.01</v>
      </c>
      <c r="AN117" s="3">
        <v>0.10766666699999999</v>
      </c>
      <c r="AO117" s="3">
        <v>0.106</v>
      </c>
    </row>
    <row r="118" spans="1:41" x14ac:dyDescent="0.3">
      <c r="A118" s="2" t="s">
        <v>318</v>
      </c>
      <c r="B118" s="2" t="s">
        <v>346</v>
      </c>
      <c r="C118" s="3">
        <v>2.4E-2</v>
      </c>
      <c r="D118" s="3">
        <v>0.188</v>
      </c>
      <c r="E118" s="3">
        <v>3.7999999999999999E-2</v>
      </c>
      <c r="F118" s="3">
        <v>0.22700000000000001</v>
      </c>
      <c r="G118" s="3">
        <v>2.7E-2</v>
      </c>
      <c r="H118" s="3">
        <v>0.249</v>
      </c>
      <c r="I118" s="3">
        <v>1.9E-2</v>
      </c>
      <c r="J118" s="3">
        <v>0.108</v>
      </c>
      <c r="K118" s="3">
        <v>3.2000000000000001E-2</v>
      </c>
      <c r="L118" s="3">
        <v>0.33600000000000002</v>
      </c>
      <c r="M118" s="3">
        <v>4.4999999999999998E-2</v>
      </c>
      <c r="N118" s="3">
        <v>0.40899999999999997</v>
      </c>
      <c r="O118" s="3">
        <v>1.9E-2</v>
      </c>
      <c r="P118" s="3">
        <v>0.40899999999999997</v>
      </c>
      <c r="Q118" s="3">
        <v>2.3E-2</v>
      </c>
      <c r="R118" s="3">
        <v>0.106</v>
      </c>
      <c r="S118" s="3">
        <v>4.2999999999999997E-2</v>
      </c>
      <c r="T118" s="3">
        <v>6.3E-2</v>
      </c>
      <c r="U118" s="3">
        <v>4.3999999999999997E-2</v>
      </c>
      <c r="V118" s="3">
        <v>7.6999999999999999E-2</v>
      </c>
      <c r="W118" s="3">
        <v>6.6000000000000003E-2</v>
      </c>
      <c r="X118" s="3">
        <v>0.11799999999999999</v>
      </c>
      <c r="Y118" s="3">
        <v>5.1999999999999998E-2</v>
      </c>
      <c r="Z118" s="3">
        <v>9.5000000000000001E-2</v>
      </c>
      <c r="AA118" s="3">
        <v>7.0000000000000007E-2</v>
      </c>
      <c r="AB118" s="3">
        <v>0.16700000000000001</v>
      </c>
      <c r="AC118" s="3">
        <v>0.20599999999999999</v>
      </c>
      <c r="AD118" s="3">
        <v>0.27100000000000002</v>
      </c>
      <c r="AE118" s="3">
        <v>0.13300000000000001</v>
      </c>
      <c r="AF118" s="3">
        <v>0.136333333</v>
      </c>
      <c r="AG118" s="3">
        <v>0.33250000000000002</v>
      </c>
      <c r="AH118" s="3">
        <v>0.126</v>
      </c>
      <c r="AI118" s="3">
        <v>0.17100000000000001</v>
      </c>
      <c r="AJ118" s="3">
        <v>0.45900000000000002</v>
      </c>
      <c r="AK118" s="3">
        <v>0.55700000000000005</v>
      </c>
      <c r="AL118" s="3">
        <v>0.53766666699999999</v>
      </c>
      <c r="AM118" s="3">
        <v>0.01</v>
      </c>
      <c r="AN118" s="3">
        <v>0.13200000000000001</v>
      </c>
      <c r="AO118" s="3">
        <v>0.13700000000000001</v>
      </c>
    </row>
    <row r="119" spans="1:41" x14ac:dyDescent="0.3">
      <c r="A119" s="2" t="s">
        <v>318</v>
      </c>
      <c r="B119" s="2" t="s">
        <v>347</v>
      </c>
      <c r="C119" s="3">
        <v>0</v>
      </c>
      <c r="D119" s="3">
        <v>0.26900000000000002</v>
      </c>
      <c r="E119" s="3">
        <v>0</v>
      </c>
      <c r="F119" s="3">
        <v>0.33</v>
      </c>
      <c r="G119" s="3">
        <v>0</v>
      </c>
      <c r="H119" s="3">
        <v>0.33800000000000002</v>
      </c>
      <c r="I119" s="3">
        <v>0</v>
      </c>
      <c r="J119" s="3">
        <v>0.19600000000000001</v>
      </c>
      <c r="K119" s="3">
        <v>0</v>
      </c>
      <c r="L119" s="3">
        <v>0.38900000000000001</v>
      </c>
      <c r="M119" s="3">
        <v>0</v>
      </c>
      <c r="N119" s="3">
        <v>0.498</v>
      </c>
      <c r="O119" s="3">
        <v>0</v>
      </c>
      <c r="P119" s="3">
        <v>0.498</v>
      </c>
      <c r="Q119" s="3">
        <v>0</v>
      </c>
      <c r="R119" s="3">
        <v>0.14199999999999999</v>
      </c>
      <c r="S119" s="3">
        <v>0</v>
      </c>
      <c r="T119" s="3">
        <v>0.10199999999999999</v>
      </c>
      <c r="U119" s="3">
        <v>0</v>
      </c>
      <c r="V119" s="3">
        <v>0.10299999999999999</v>
      </c>
      <c r="W119" s="3">
        <v>0</v>
      </c>
      <c r="X119" s="3">
        <v>0.184</v>
      </c>
      <c r="Y119" s="3">
        <v>0</v>
      </c>
      <c r="Z119" s="3">
        <v>0.121</v>
      </c>
      <c r="AA119" s="3">
        <v>0</v>
      </c>
      <c r="AB119" s="3">
        <v>0.20599999999999999</v>
      </c>
      <c r="AC119" s="3">
        <v>0.26650000000000001</v>
      </c>
      <c r="AD119" s="3">
        <v>0.312</v>
      </c>
      <c r="AE119" s="3">
        <v>0.193</v>
      </c>
      <c r="AF119" s="3">
        <v>0.222</v>
      </c>
      <c r="AG119" s="3">
        <v>0.38641666699999999</v>
      </c>
      <c r="AH119" s="3">
        <v>0.215</v>
      </c>
      <c r="AI119" s="3">
        <v>0.22750000000000001</v>
      </c>
      <c r="AJ119" s="3">
        <v>0.50633333300000005</v>
      </c>
      <c r="AK119" s="3">
        <v>0.64949999999999997</v>
      </c>
      <c r="AL119" s="3">
        <v>0.58799999999999997</v>
      </c>
      <c r="AM119" s="3">
        <v>0.01</v>
      </c>
      <c r="AN119" s="3">
        <v>0.161</v>
      </c>
      <c r="AO119" s="3">
        <v>0.17299999999999999</v>
      </c>
    </row>
    <row r="120" spans="1:41" x14ac:dyDescent="0.3">
      <c r="A120" s="2" t="s">
        <v>318</v>
      </c>
      <c r="B120" s="2" t="s">
        <v>348</v>
      </c>
      <c r="C120" s="3">
        <v>0</v>
      </c>
      <c r="D120" s="3">
        <v>0.29199999999999998</v>
      </c>
      <c r="E120" s="3">
        <v>0</v>
      </c>
      <c r="F120" s="3">
        <v>0.36299999999999999</v>
      </c>
      <c r="G120" s="3">
        <v>0</v>
      </c>
      <c r="H120" s="3">
        <v>0.36099999999999999</v>
      </c>
      <c r="I120" s="3">
        <v>0</v>
      </c>
      <c r="J120" s="3">
        <v>0.251</v>
      </c>
      <c r="K120" s="3">
        <v>0</v>
      </c>
      <c r="L120" s="3">
        <v>0.41</v>
      </c>
      <c r="M120" s="3">
        <v>0</v>
      </c>
      <c r="N120" s="3">
        <v>0.54600000000000004</v>
      </c>
      <c r="O120" s="3">
        <v>0</v>
      </c>
      <c r="P120" s="3">
        <v>0.54600000000000004</v>
      </c>
      <c r="Q120" s="3">
        <v>0</v>
      </c>
      <c r="R120" s="3">
        <v>0.157</v>
      </c>
      <c r="S120" s="3">
        <v>0</v>
      </c>
      <c r="T120" s="3">
        <v>0.126</v>
      </c>
      <c r="U120" s="3">
        <v>0</v>
      </c>
      <c r="V120" s="3">
        <v>0.115</v>
      </c>
      <c r="W120" s="3">
        <v>0</v>
      </c>
      <c r="X120" s="3">
        <v>0.251</v>
      </c>
      <c r="Y120" s="3">
        <v>0</v>
      </c>
      <c r="Z120" s="3">
        <v>0.14499999999999999</v>
      </c>
      <c r="AA120" s="3">
        <v>0</v>
      </c>
      <c r="AB120" s="3">
        <v>0.21199999999999999</v>
      </c>
      <c r="AC120" s="3">
        <v>0.32250000000000001</v>
      </c>
      <c r="AD120" s="3">
        <v>0.3115</v>
      </c>
      <c r="AE120" s="3">
        <v>0.22600000000000001</v>
      </c>
      <c r="AF120" s="3">
        <v>0.31033333299999999</v>
      </c>
      <c r="AG120" s="3">
        <v>0.42558333399999998</v>
      </c>
      <c r="AH120" s="3">
        <v>0.32800000000000001</v>
      </c>
      <c r="AI120" s="3">
        <v>0.29199999999999998</v>
      </c>
      <c r="AJ120" s="3">
        <v>0.52866666699999998</v>
      </c>
      <c r="AK120" s="3">
        <v>0.68200000000000005</v>
      </c>
      <c r="AL120" s="3">
        <v>0.62533333300000005</v>
      </c>
      <c r="AM120" s="3">
        <v>0.01</v>
      </c>
      <c r="AN120" s="3">
        <v>0.193333333</v>
      </c>
      <c r="AO120" s="3">
        <v>0.216</v>
      </c>
    </row>
    <row r="121" spans="1:41" x14ac:dyDescent="0.3">
      <c r="A121" s="2" t="s">
        <v>318</v>
      </c>
      <c r="B121" s="2" t="s">
        <v>349</v>
      </c>
      <c r="C121" s="3">
        <v>0</v>
      </c>
      <c r="D121" s="3">
        <v>0.28100000000000003</v>
      </c>
      <c r="E121" s="3">
        <v>0</v>
      </c>
      <c r="F121" s="3">
        <v>0.35099999999999998</v>
      </c>
      <c r="G121" s="3">
        <v>0</v>
      </c>
      <c r="H121" s="3">
        <v>0.35199999999999998</v>
      </c>
      <c r="I121" s="3">
        <v>0</v>
      </c>
      <c r="J121" s="3">
        <v>0.253</v>
      </c>
      <c r="K121" s="3">
        <v>0</v>
      </c>
      <c r="L121" s="3">
        <v>0.39300000000000002</v>
      </c>
      <c r="M121" s="3">
        <v>0</v>
      </c>
      <c r="N121" s="3">
        <v>0.58499999999999996</v>
      </c>
      <c r="O121" s="3">
        <v>0</v>
      </c>
      <c r="P121" s="3">
        <v>0.58499999999999996</v>
      </c>
      <c r="Q121" s="3">
        <v>0</v>
      </c>
      <c r="R121" s="3">
        <v>0.157</v>
      </c>
      <c r="S121" s="3">
        <v>0</v>
      </c>
      <c r="T121" s="3">
        <v>0.13100000000000001</v>
      </c>
      <c r="U121" s="3">
        <v>0</v>
      </c>
      <c r="V121" s="3">
        <v>0.114</v>
      </c>
      <c r="W121" s="3">
        <v>0</v>
      </c>
      <c r="X121" s="3">
        <v>0.29499999999999998</v>
      </c>
      <c r="Y121" s="3">
        <v>0</v>
      </c>
      <c r="Z121" s="3">
        <v>0.16200000000000001</v>
      </c>
      <c r="AA121" s="3">
        <v>0</v>
      </c>
      <c r="AB121" s="3">
        <v>0.216</v>
      </c>
      <c r="AC121" s="3">
        <v>0.35849999999999999</v>
      </c>
      <c r="AD121" s="3">
        <v>0.3</v>
      </c>
      <c r="AE121" s="3">
        <v>0.23749999999999999</v>
      </c>
      <c r="AF121" s="3">
        <v>0.37933333299999999</v>
      </c>
      <c r="AG121" s="3">
        <v>0.449583334</v>
      </c>
      <c r="AH121" s="3">
        <v>0.434</v>
      </c>
      <c r="AI121" s="3">
        <v>0.35549999999999998</v>
      </c>
      <c r="AJ121" s="3">
        <v>0.54066666699999999</v>
      </c>
      <c r="AK121" s="3">
        <v>0.66849999999999998</v>
      </c>
      <c r="AL121" s="3">
        <v>0.64366666699999997</v>
      </c>
      <c r="AM121" s="3">
        <v>0.01</v>
      </c>
      <c r="AN121" s="3">
        <v>0.22033333299999999</v>
      </c>
      <c r="AO121" s="3">
        <v>0.25</v>
      </c>
    </row>
    <row r="122" spans="1:41" x14ac:dyDescent="0.3">
      <c r="A122" s="2" t="s">
        <v>318</v>
      </c>
      <c r="B122" s="2" t="s">
        <v>350</v>
      </c>
      <c r="C122" s="3">
        <v>0</v>
      </c>
      <c r="D122" s="3">
        <v>0.254</v>
      </c>
      <c r="E122" s="3">
        <v>0</v>
      </c>
      <c r="F122" s="3">
        <v>0.34100000000000003</v>
      </c>
      <c r="G122" s="3">
        <v>0</v>
      </c>
      <c r="H122" s="3">
        <v>0.36099999999999999</v>
      </c>
      <c r="I122" s="3">
        <v>0</v>
      </c>
      <c r="J122" s="3">
        <v>0.217</v>
      </c>
      <c r="K122" s="3">
        <v>0</v>
      </c>
      <c r="L122" s="3">
        <v>0.35799999999999998</v>
      </c>
      <c r="M122" s="3">
        <v>0</v>
      </c>
      <c r="N122" s="3">
        <v>0.59699999999999998</v>
      </c>
      <c r="O122" s="3">
        <v>0</v>
      </c>
      <c r="P122" s="3">
        <v>0.59699999999999998</v>
      </c>
      <c r="Q122" s="3">
        <v>0</v>
      </c>
      <c r="R122" s="3">
        <v>0.14699999999999999</v>
      </c>
      <c r="S122" s="3">
        <v>0</v>
      </c>
      <c r="T122" s="3">
        <v>0.11899999999999999</v>
      </c>
      <c r="U122" s="3">
        <v>0</v>
      </c>
      <c r="V122" s="3">
        <v>0.10299999999999999</v>
      </c>
      <c r="W122" s="3">
        <v>0</v>
      </c>
      <c r="X122" s="3">
        <v>0.309</v>
      </c>
      <c r="Y122" s="3">
        <v>0</v>
      </c>
      <c r="Z122" s="3">
        <v>0.17399999999999999</v>
      </c>
      <c r="AA122" s="3">
        <v>0</v>
      </c>
      <c r="AB122" s="3">
        <v>0.23499999999999999</v>
      </c>
      <c r="AC122" s="3">
        <v>0.3695</v>
      </c>
      <c r="AD122" s="3">
        <v>0.27100000000000002</v>
      </c>
      <c r="AE122" s="3">
        <v>0.21249999999999999</v>
      </c>
      <c r="AF122" s="3">
        <v>0.41199999999999998</v>
      </c>
      <c r="AG122" s="3">
        <v>0.46608333400000002</v>
      </c>
      <c r="AH122" s="3">
        <v>0.49099999999999999</v>
      </c>
      <c r="AI122" s="3">
        <v>0.39450000000000002</v>
      </c>
      <c r="AJ122" s="3">
        <v>0.56266666700000001</v>
      </c>
      <c r="AK122" s="3">
        <v>0.66500000000000004</v>
      </c>
      <c r="AL122" s="3">
        <v>0.62866666699999996</v>
      </c>
      <c r="AM122" s="3">
        <v>0.01</v>
      </c>
      <c r="AN122" s="3">
        <v>0.24099999999999999</v>
      </c>
      <c r="AO122" s="3">
        <v>0.26900000000000002</v>
      </c>
    </row>
    <row r="123" spans="1:41" x14ac:dyDescent="0.3">
      <c r="A123" s="2" t="s">
        <v>318</v>
      </c>
      <c r="B123" s="2" t="s">
        <v>351</v>
      </c>
      <c r="C123" s="3">
        <v>0</v>
      </c>
      <c r="D123" s="3">
        <v>0.222</v>
      </c>
      <c r="E123" s="3">
        <v>0</v>
      </c>
      <c r="F123" s="3">
        <v>0.34100000000000003</v>
      </c>
      <c r="G123" s="3">
        <v>0</v>
      </c>
      <c r="H123" s="3">
        <v>0.37</v>
      </c>
      <c r="I123" s="3">
        <v>0</v>
      </c>
      <c r="J123" s="3">
        <v>0.18099999999999999</v>
      </c>
      <c r="K123" s="3">
        <v>0</v>
      </c>
      <c r="L123" s="3">
        <v>0.32100000000000001</v>
      </c>
      <c r="M123" s="3">
        <v>0</v>
      </c>
      <c r="N123" s="3">
        <v>0.58099999999999996</v>
      </c>
      <c r="O123" s="3">
        <v>0</v>
      </c>
      <c r="P123" s="3">
        <v>0.58099999999999996</v>
      </c>
      <c r="Q123" s="3">
        <v>0</v>
      </c>
      <c r="R123" s="3">
        <v>0.13800000000000001</v>
      </c>
      <c r="S123" s="3">
        <v>0</v>
      </c>
      <c r="T123" s="3">
        <v>0.113</v>
      </c>
      <c r="U123" s="3">
        <v>0</v>
      </c>
      <c r="V123" s="3">
        <v>9.4E-2</v>
      </c>
      <c r="W123" s="3">
        <v>0</v>
      </c>
      <c r="X123" s="3">
        <v>0.31</v>
      </c>
      <c r="Y123" s="3">
        <v>0</v>
      </c>
      <c r="Z123" s="3">
        <v>0.183</v>
      </c>
      <c r="AA123" s="3">
        <v>0</v>
      </c>
      <c r="AB123" s="3">
        <v>0.25700000000000001</v>
      </c>
      <c r="AC123" s="3">
        <v>0.35599999999999998</v>
      </c>
      <c r="AD123" s="3">
        <v>0.215</v>
      </c>
      <c r="AE123" s="3">
        <v>0.16</v>
      </c>
      <c r="AF123" s="3">
        <v>0.424666667</v>
      </c>
      <c r="AG123" s="3">
        <v>0.46933333399999999</v>
      </c>
      <c r="AH123" s="3">
        <v>0.50800000000000001</v>
      </c>
      <c r="AI123" s="3">
        <v>0.42049999999999998</v>
      </c>
      <c r="AJ123" s="3">
        <v>0.58266666700000003</v>
      </c>
      <c r="AK123" s="3">
        <v>0.67249999999999999</v>
      </c>
      <c r="AL123" s="3">
        <v>0.58133333300000001</v>
      </c>
      <c r="AM123" s="3">
        <v>0.01</v>
      </c>
      <c r="AN123" s="3">
        <v>0.25333333299999999</v>
      </c>
      <c r="AO123" s="3">
        <v>0.27700000000000002</v>
      </c>
    </row>
    <row r="124" spans="1:41" x14ac:dyDescent="0.3">
      <c r="A124" s="2" t="s">
        <v>318</v>
      </c>
      <c r="B124" s="2" t="s">
        <v>352</v>
      </c>
      <c r="C124" s="3">
        <v>0</v>
      </c>
      <c r="D124" s="3">
        <v>0.19900000000000001</v>
      </c>
      <c r="E124" s="3">
        <v>0</v>
      </c>
      <c r="F124" s="3">
        <v>0.33</v>
      </c>
      <c r="G124" s="3">
        <v>0</v>
      </c>
      <c r="H124" s="3">
        <v>0.376</v>
      </c>
      <c r="I124" s="3">
        <v>0</v>
      </c>
      <c r="J124" s="3">
        <v>0.159</v>
      </c>
      <c r="K124" s="3">
        <v>0</v>
      </c>
      <c r="L124" s="3">
        <v>0.28499999999999998</v>
      </c>
      <c r="M124" s="3">
        <v>0</v>
      </c>
      <c r="N124" s="3">
        <v>0.59899999999999998</v>
      </c>
      <c r="O124" s="3">
        <v>0</v>
      </c>
      <c r="P124" s="3">
        <v>0.59899999999999998</v>
      </c>
      <c r="Q124" s="3">
        <v>0</v>
      </c>
      <c r="R124" s="3">
        <v>0.13400000000000001</v>
      </c>
      <c r="S124" s="3">
        <v>0</v>
      </c>
      <c r="T124" s="3">
        <v>0.121</v>
      </c>
      <c r="U124" s="3">
        <v>0</v>
      </c>
      <c r="V124" s="3">
        <v>0.11799999999999999</v>
      </c>
      <c r="W124" s="3">
        <v>0</v>
      </c>
      <c r="X124" s="3">
        <v>0.314</v>
      </c>
      <c r="Y124" s="3">
        <v>0</v>
      </c>
      <c r="Z124" s="3">
        <v>0.20499999999999999</v>
      </c>
      <c r="AA124" s="3">
        <v>0</v>
      </c>
      <c r="AB124" s="3">
        <v>0.28100000000000003</v>
      </c>
      <c r="AC124" s="3">
        <v>0.33750000000000002</v>
      </c>
      <c r="AD124" s="3">
        <v>0.1545</v>
      </c>
      <c r="AE124" s="3">
        <v>0.1135</v>
      </c>
      <c r="AF124" s="3">
        <v>0.43766666700000001</v>
      </c>
      <c r="AG124" s="3">
        <v>0.46975</v>
      </c>
      <c r="AH124" s="3">
        <v>0.51700000000000002</v>
      </c>
      <c r="AI124" s="3">
        <v>0.4345</v>
      </c>
      <c r="AJ124" s="3">
        <v>0.60199999999999998</v>
      </c>
      <c r="AK124" s="3">
        <v>0.68</v>
      </c>
      <c r="AL124" s="3">
        <v>0.53866666699999999</v>
      </c>
      <c r="AM124" s="3">
        <v>0.01</v>
      </c>
      <c r="AN124" s="3">
        <v>0.26</v>
      </c>
      <c r="AO124" s="3">
        <v>0.27400000000000002</v>
      </c>
    </row>
    <row r="125" spans="1:41" x14ac:dyDescent="0.3">
      <c r="A125" s="2" t="s">
        <v>319</v>
      </c>
      <c r="B125" s="2" t="s">
        <v>329</v>
      </c>
      <c r="C125" s="3">
        <v>0</v>
      </c>
      <c r="D125" s="3">
        <v>0.46899999999999997</v>
      </c>
      <c r="E125" s="3">
        <v>0</v>
      </c>
      <c r="F125" s="3">
        <v>0.46500000000000002</v>
      </c>
      <c r="G125" s="3">
        <v>0</v>
      </c>
      <c r="H125" s="3">
        <v>0.54400000000000004</v>
      </c>
      <c r="I125" s="3">
        <v>0</v>
      </c>
      <c r="J125" s="3">
        <v>0.42</v>
      </c>
      <c r="K125" s="3">
        <v>0</v>
      </c>
      <c r="L125" s="3">
        <v>0.87</v>
      </c>
      <c r="M125" s="3">
        <v>0</v>
      </c>
      <c r="N125" s="3">
        <v>0.81599999999999995</v>
      </c>
      <c r="O125" s="3">
        <v>0</v>
      </c>
      <c r="P125" s="3">
        <v>0.81599999999999995</v>
      </c>
      <c r="Q125" s="3">
        <v>0</v>
      </c>
      <c r="R125" s="3">
        <v>0.56299999999999994</v>
      </c>
      <c r="S125" s="3">
        <v>0</v>
      </c>
      <c r="T125" s="3">
        <v>0.48299999999999998</v>
      </c>
      <c r="U125" s="3">
        <v>0</v>
      </c>
      <c r="V125" s="3">
        <v>0.56399999999999995</v>
      </c>
      <c r="W125" s="3">
        <v>0</v>
      </c>
      <c r="X125" s="3">
        <v>0.56399999999999995</v>
      </c>
      <c r="Y125" s="3">
        <v>0</v>
      </c>
      <c r="Z125" s="3">
        <v>0.66700000000000004</v>
      </c>
      <c r="AA125" s="3">
        <v>0</v>
      </c>
      <c r="AB125" s="3">
        <v>0.68</v>
      </c>
      <c r="AC125" s="3">
        <v>0.45050000000000001</v>
      </c>
      <c r="AD125" s="3">
        <v>0.19800000000000001</v>
      </c>
      <c r="AE125" s="3">
        <v>0.192</v>
      </c>
      <c r="AF125" s="3">
        <v>0.27433333300000001</v>
      </c>
      <c r="AG125" s="3">
        <v>0.56558333400000005</v>
      </c>
      <c r="AH125" s="3">
        <v>0.29199999999999998</v>
      </c>
      <c r="AI125" s="3">
        <v>0.1895</v>
      </c>
      <c r="AJ125" s="3">
        <v>0.680666667</v>
      </c>
      <c r="AK125" s="3">
        <v>0.74150000000000005</v>
      </c>
      <c r="AL125" s="3">
        <v>0.97533333300000002</v>
      </c>
      <c r="AM125" s="3">
        <v>0.01</v>
      </c>
      <c r="AN125" s="3">
        <v>0.70899999999999996</v>
      </c>
      <c r="AO125" s="3">
        <v>0.96599999999999997</v>
      </c>
    </row>
    <row r="126" spans="1:41" x14ac:dyDescent="0.3">
      <c r="A126" s="2" t="s">
        <v>319</v>
      </c>
      <c r="B126" s="2" t="s">
        <v>330</v>
      </c>
      <c r="C126" s="3">
        <v>0</v>
      </c>
      <c r="D126" s="3">
        <v>0.47899999999999998</v>
      </c>
      <c r="E126" s="3">
        <v>0</v>
      </c>
      <c r="F126" s="3">
        <v>0.55000000000000004</v>
      </c>
      <c r="G126" s="3">
        <v>0</v>
      </c>
      <c r="H126" s="3">
        <v>0.56899999999999995</v>
      </c>
      <c r="I126" s="3">
        <v>0</v>
      </c>
      <c r="J126" s="3">
        <v>0.46600000000000003</v>
      </c>
      <c r="K126" s="3">
        <v>0</v>
      </c>
      <c r="L126" s="3">
        <v>0.91900000000000004</v>
      </c>
      <c r="M126" s="3">
        <v>0</v>
      </c>
      <c r="N126" s="3">
        <v>0.82099999999999995</v>
      </c>
      <c r="O126" s="3">
        <v>0</v>
      </c>
      <c r="P126" s="3">
        <v>0.82099999999999995</v>
      </c>
      <c r="Q126" s="3">
        <v>0</v>
      </c>
      <c r="R126" s="3">
        <v>0.63100000000000001</v>
      </c>
      <c r="S126" s="3">
        <v>0</v>
      </c>
      <c r="T126" s="3">
        <v>0.54900000000000004</v>
      </c>
      <c r="U126" s="3">
        <v>0</v>
      </c>
      <c r="V126" s="3">
        <v>0.60099999999999998</v>
      </c>
      <c r="W126" s="3">
        <v>0</v>
      </c>
      <c r="X126" s="3">
        <v>0.52400000000000002</v>
      </c>
      <c r="Y126" s="3">
        <v>0</v>
      </c>
      <c r="Z126" s="3">
        <v>0.69399999999999995</v>
      </c>
      <c r="AA126" s="3">
        <v>0</v>
      </c>
      <c r="AB126" s="3">
        <v>0.68500000000000005</v>
      </c>
      <c r="AC126" s="3">
        <v>0.46750000000000003</v>
      </c>
      <c r="AD126" s="3">
        <v>0.14399999999999999</v>
      </c>
      <c r="AE126" s="3">
        <v>0.152</v>
      </c>
      <c r="AF126" s="3">
        <v>0.36199999999999999</v>
      </c>
      <c r="AG126" s="3">
        <v>0.56025000000000003</v>
      </c>
      <c r="AH126" s="3">
        <v>0.41499999999999998</v>
      </c>
      <c r="AI126" s="3">
        <v>0.23649999999999999</v>
      </c>
      <c r="AJ126" s="3">
        <v>0.65300000000000002</v>
      </c>
      <c r="AK126" s="3">
        <v>0.8135</v>
      </c>
      <c r="AL126" s="3">
        <v>0.95899999999999996</v>
      </c>
      <c r="AM126" s="3">
        <v>0.01</v>
      </c>
      <c r="AN126" s="3">
        <v>0.69766666700000002</v>
      </c>
      <c r="AO126" s="3">
        <v>0.96099999999999997</v>
      </c>
    </row>
    <row r="127" spans="1:41" x14ac:dyDescent="0.3">
      <c r="A127" s="2" t="s">
        <v>319</v>
      </c>
      <c r="B127" s="2" t="s">
        <v>331</v>
      </c>
      <c r="C127" s="3">
        <v>0</v>
      </c>
      <c r="D127" s="3">
        <v>0.505</v>
      </c>
      <c r="E127" s="3">
        <v>0</v>
      </c>
      <c r="F127" s="3">
        <v>0.57899999999999996</v>
      </c>
      <c r="G127" s="3">
        <v>0</v>
      </c>
      <c r="H127" s="3">
        <v>0.59599999999999997</v>
      </c>
      <c r="I127" s="3">
        <v>0</v>
      </c>
      <c r="J127" s="3">
        <v>0.51300000000000001</v>
      </c>
      <c r="K127" s="3">
        <v>0</v>
      </c>
      <c r="L127" s="3">
        <v>0.95299999999999996</v>
      </c>
      <c r="M127" s="3">
        <v>0</v>
      </c>
      <c r="N127" s="3">
        <v>0.86099999999999999</v>
      </c>
      <c r="O127" s="3">
        <v>0</v>
      </c>
      <c r="P127" s="3">
        <v>0.86099999999999999</v>
      </c>
      <c r="Q127" s="3">
        <v>0</v>
      </c>
      <c r="R127" s="3">
        <v>0.69399999999999995</v>
      </c>
      <c r="S127" s="3">
        <v>0</v>
      </c>
      <c r="T127" s="3">
        <v>0.6</v>
      </c>
      <c r="U127" s="3">
        <v>0</v>
      </c>
      <c r="V127" s="3">
        <v>0.63100000000000001</v>
      </c>
      <c r="W127" s="3">
        <v>0</v>
      </c>
      <c r="X127" s="3">
        <v>0.56599999999999995</v>
      </c>
      <c r="Y127" s="3">
        <v>0</v>
      </c>
      <c r="Z127" s="3">
        <v>0.72299999999999998</v>
      </c>
      <c r="AA127" s="3">
        <v>0</v>
      </c>
      <c r="AB127" s="3">
        <v>0.71599999999999997</v>
      </c>
      <c r="AC127" s="3">
        <v>0.47399999999999998</v>
      </c>
      <c r="AD127" s="3">
        <v>0.1305</v>
      </c>
      <c r="AE127" s="3">
        <v>0.1255</v>
      </c>
      <c r="AF127" s="3">
        <v>0.44400000000000001</v>
      </c>
      <c r="AG127" s="3">
        <v>0.56533333399999997</v>
      </c>
      <c r="AH127" s="3">
        <v>0.57099999999999995</v>
      </c>
      <c r="AI127" s="3">
        <v>0.30199999999999999</v>
      </c>
      <c r="AJ127" s="3">
        <v>0.65666666699999998</v>
      </c>
      <c r="AK127" s="3">
        <v>0.86750000000000005</v>
      </c>
      <c r="AL127" s="3">
        <v>0.93700000000000006</v>
      </c>
      <c r="AM127" s="3">
        <v>0.01</v>
      </c>
      <c r="AN127" s="3">
        <v>0.67533333299999998</v>
      </c>
      <c r="AO127" s="3">
        <v>0.95</v>
      </c>
    </row>
    <row r="128" spans="1:41" x14ac:dyDescent="0.3">
      <c r="A128" s="2" t="s">
        <v>319</v>
      </c>
      <c r="B128" s="2" t="s">
        <v>332</v>
      </c>
      <c r="C128" s="3">
        <v>0</v>
      </c>
      <c r="D128" s="3">
        <v>0.64</v>
      </c>
      <c r="E128" s="3">
        <v>0</v>
      </c>
      <c r="F128" s="3">
        <v>0.625</v>
      </c>
      <c r="G128" s="3">
        <v>0</v>
      </c>
      <c r="H128" s="3">
        <v>0.71099999999999997</v>
      </c>
      <c r="I128" s="3">
        <v>0</v>
      </c>
      <c r="J128" s="3">
        <v>0.65100000000000002</v>
      </c>
      <c r="K128" s="3">
        <v>0</v>
      </c>
      <c r="L128" s="3">
        <v>0.96699999999999997</v>
      </c>
      <c r="M128" s="3">
        <v>0</v>
      </c>
      <c r="N128" s="3">
        <v>0.874</v>
      </c>
      <c r="O128" s="3">
        <v>0</v>
      </c>
      <c r="P128" s="3">
        <v>0.874</v>
      </c>
      <c r="Q128" s="3">
        <v>0</v>
      </c>
      <c r="R128" s="3">
        <v>0.75700000000000001</v>
      </c>
      <c r="S128" s="3">
        <v>0</v>
      </c>
      <c r="T128" s="3">
        <v>0.7</v>
      </c>
      <c r="U128" s="3">
        <v>0</v>
      </c>
      <c r="V128" s="3">
        <v>0.67700000000000005</v>
      </c>
      <c r="W128" s="3">
        <v>0</v>
      </c>
      <c r="X128" s="3">
        <v>0.624</v>
      </c>
      <c r="Y128" s="3">
        <v>0</v>
      </c>
      <c r="Z128" s="3">
        <v>0.746</v>
      </c>
      <c r="AA128" s="3">
        <v>0</v>
      </c>
      <c r="AB128" s="3">
        <v>0.69599999999999995</v>
      </c>
      <c r="AC128" s="3">
        <v>0.47</v>
      </c>
      <c r="AD128" s="3">
        <v>0.113</v>
      </c>
      <c r="AE128" s="3">
        <v>9.6500000000000002E-2</v>
      </c>
      <c r="AF128" s="3">
        <v>0.49733333299999999</v>
      </c>
      <c r="AG128" s="3">
        <v>0.58083333400000003</v>
      </c>
      <c r="AH128" s="3">
        <v>0.68400000000000005</v>
      </c>
      <c r="AI128" s="3">
        <v>0.38300000000000001</v>
      </c>
      <c r="AJ128" s="3">
        <v>0.69166666700000001</v>
      </c>
      <c r="AK128" s="3">
        <v>0.89649999999999996</v>
      </c>
      <c r="AL128" s="3">
        <v>0.91766666699999999</v>
      </c>
      <c r="AM128" s="3">
        <v>0.01</v>
      </c>
      <c r="AN128" s="3">
        <v>0.65033333299999996</v>
      </c>
      <c r="AO128" s="3">
        <v>0.93700000000000006</v>
      </c>
    </row>
    <row r="129" spans="1:41" x14ac:dyDescent="0.3">
      <c r="A129" s="2" t="s">
        <v>319</v>
      </c>
      <c r="B129" s="2" t="s">
        <v>333</v>
      </c>
      <c r="C129" s="3">
        <v>0</v>
      </c>
      <c r="D129" s="3">
        <v>0.69199999999999995</v>
      </c>
      <c r="E129" s="3">
        <v>0</v>
      </c>
      <c r="F129" s="3">
        <v>0.72899999999999998</v>
      </c>
      <c r="G129" s="3">
        <v>0</v>
      </c>
      <c r="H129" s="3">
        <v>0.72099999999999997</v>
      </c>
      <c r="I129" s="3">
        <v>0</v>
      </c>
      <c r="J129" s="3">
        <v>0.70499999999999996</v>
      </c>
      <c r="K129" s="3">
        <v>0</v>
      </c>
      <c r="L129" s="3">
        <v>0.96799999999999997</v>
      </c>
      <c r="M129" s="3">
        <v>0</v>
      </c>
      <c r="N129" s="3">
        <v>0.86299999999999999</v>
      </c>
      <c r="O129" s="3">
        <v>0</v>
      </c>
      <c r="P129" s="3">
        <v>0.86299999999999999</v>
      </c>
      <c r="Q129" s="3">
        <v>0</v>
      </c>
      <c r="R129" s="3">
        <v>0.82599999999999996</v>
      </c>
      <c r="S129" s="3">
        <v>0</v>
      </c>
      <c r="T129" s="3">
        <v>0.74299999999999999</v>
      </c>
      <c r="U129" s="3">
        <v>0</v>
      </c>
      <c r="V129" s="3">
        <v>0.7</v>
      </c>
      <c r="W129" s="3">
        <v>0</v>
      </c>
      <c r="X129" s="3">
        <v>0.65500000000000003</v>
      </c>
      <c r="Y129" s="3">
        <v>0</v>
      </c>
      <c r="Z129" s="3">
        <v>0.73799999999999999</v>
      </c>
      <c r="AA129" s="3">
        <v>0</v>
      </c>
      <c r="AB129" s="3">
        <v>0.64500000000000002</v>
      </c>
      <c r="AC129" s="3">
        <v>0.4955</v>
      </c>
      <c r="AD129" s="3">
        <v>8.2000000000000003E-2</v>
      </c>
      <c r="AE129" s="3">
        <v>6.8500000000000005E-2</v>
      </c>
      <c r="AF129" s="3">
        <v>0.53866666699999999</v>
      </c>
      <c r="AG129" s="3">
        <v>0.61258333399999998</v>
      </c>
      <c r="AH129" s="3">
        <v>0.79300000000000004</v>
      </c>
      <c r="AI129" s="3">
        <v>0.48</v>
      </c>
      <c r="AJ129" s="3">
        <v>0.72966666700000005</v>
      </c>
      <c r="AK129" s="3">
        <v>0.91500000000000004</v>
      </c>
      <c r="AL129" s="3">
        <v>0.90133333299999996</v>
      </c>
      <c r="AM129" s="3">
        <v>0.01</v>
      </c>
      <c r="AN129" s="3">
        <v>0.63700000000000001</v>
      </c>
      <c r="AO129" s="3">
        <v>0.92400000000000004</v>
      </c>
    </row>
    <row r="130" spans="1:41" x14ac:dyDescent="0.3">
      <c r="A130" s="2" t="s">
        <v>319</v>
      </c>
      <c r="B130" s="2" t="s">
        <v>334</v>
      </c>
      <c r="C130" s="3">
        <v>0</v>
      </c>
      <c r="D130" s="3">
        <v>0.67200000000000004</v>
      </c>
      <c r="E130" s="3">
        <v>0</v>
      </c>
      <c r="F130" s="3">
        <v>0.71499999999999997</v>
      </c>
      <c r="G130" s="3">
        <v>0</v>
      </c>
      <c r="H130" s="3">
        <v>0.754</v>
      </c>
      <c r="I130" s="3">
        <v>0</v>
      </c>
      <c r="J130" s="3">
        <v>0.68600000000000005</v>
      </c>
      <c r="K130" s="3">
        <v>0</v>
      </c>
      <c r="L130" s="3">
        <v>0.97199999999999998</v>
      </c>
      <c r="M130" s="3">
        <v>0</v>
      </c>
      <c r="N130" s="3">
        <v>0.86</v>
      </c>
      <c r="O130" s="3">
        <v>0</v>
      </c>
      <c r="P130" s="3">
        <v>0.86</v>
      </c>
      <c r="Q130" s="3">
        <v>0</v>
      </c>
      <c r="R130" s="3">
        <v>0.85699999999999998</v>
      </c>
      <c r="S130" s="3">
        <v>0</v>
      </c>
      <c r="T130" s="3">
        <v>0.76600000000000001</v>
      </c>
      <c r="U130" s="3">
        <v>0</v>
      </c>
      <c r="V130" s="3">
        <v>0.69599999999999995</v>
      </c>
      <c r="W130" s="3">
        <v>0</v>
      </c>
      <c r="X130" s="3">
        <v>0.69199999999999995</v>
      </c>
      <c r="Y130" s="3">
        <v>0</v>
      </c>
      <c r="Z130" s="3">
        <v>0.74</v>
      </c>
      <c r="AA130" s="3">
        <v>0</v>
      </c>
      <c r="AB130" s="3">
        <v>0.59299999999999997</v>
      </c>
      <c r="AC130" s="3">
        <v>0.504</v>
      </c>
      <c r="AD130" s="3">
        <v>9.9000000000000005E-2</v>
      </c>
      <c r="AE130" s="3">
        <v>4.8500000000000001E-2</v>
      </c>
      <c r="AF130" s="3">
        <v>0.572333333</v>
      </c>
      <c r="AG130" s="3">
        <v>0.624</v>
      </c>
      <c r="AH130" s="3">
        <v>0.85099999999999998</v>
      </c>
      <c r="AI130" s="3">
        <v>0.56950000000000001</v>
      </c>
      <c r="AJ130" s="3">
        <v>0.74399999999999999</v>
      </c>
      <c r="AK130" s="3">
        <v>0.92800000000000005</v>
      </c>
      <c r="AL130" s="3">
        <v>0.88333333300000005</v>
      </c>
      <c r="AM130" s="3">
        <v>0.01</v>
      </c>
      <c r="AN130" s="3">
        <v>0.62833333300000005</v>
      </c>
      <c r="AO130" s="3">
        <v>0.90400000000000003</v>
      </c>
    </row>
    <row r="131" spans="1:41" x14ac:dyDescent="0.3">
      <c r="A131" s="2" t="s">
        <v>319</v>
      </c>
      <c r="B131" s="2" t="s">
        <v>335</v>
      </c>
      <c r="C131" s="3">
        <v>2E-3</v>
      </c>
      <c r="D131" s="3">
        <v>0.78600000000000003</v>
      </c>
      <c r="E131" s="3">
        <v>0</v>
      </c>
      <c r="F131" s="3">
        <v>0.71099999999999997</v>
      </c>
      <c r="G131" s="3">
        <v>0</v>
      </c>
      <c r="H131" s="3">
        <v>0.73499999999999999</v>
      </c>
      <c r="I131" s="3">
        <v>0</v>
      </c>
      <c r="J131" s="3">
        <v>0.67900000000000005</v>
      </c>
      <c r="K131" s="3">
        <v>0</v>
      </c>
      <c r="L131" s="3">
        <v>0.97899999999999998</v>
      </c>
      <c r="M131" s="3">
        <v>0</v>
      </c>
      <c r="N131" s="3">
        <v>0.85499999999999998</v>
      </c>
      <c r="O131" s="3">
        <v>0</v>
      </c>
      <c r="P131" s="3">
        <v>0.85499999999999998</v>
      </c>
      <c r="Q131" s="3">
        <v>2E-3</v>
      </c>
      <c r="R131" s="3">
        <v>0.87</v>
      </c>
      <c r="S131" s="3">
        <v>0</v>
      </c>
      <c r="T131" s="3">
        <v>0.79900000000000004</v>
      </c>
      <c r="U131" s="3">
        <v>0</v>
      </c>
      <c r="V131" s="3">
        <v>0.71299999999999997</v>
      </c>
      <c r="W131" s="3">
        <v>0</v>
      </c>
      <c r="X131" s="3">
        <v>0.66900000000000004</v>
      </c>
      <c r="Y131" s="3">
        <v>0</v>
      </c>
      <c r="Z131" s="3">
        <v>0.71199999999999997</v>
      </c>
      <c r="AA131" s="3">
        <v>0</v>
      </c>
      <c r="AB131" s="3">
        <v>0.56100000000000005</v>
      </c>
      <c r="AC131" s="3">
        <v>0.52400000000000002</v>
      </c>
      <c r="AD131" s="3">
        <v>0.13350000000000001</v>
      </c>
      <c r="AE131" s="3">
        <v>3.7999999999999999E-2</v>
      </c>
      <c r="AF131" s="3">
        <v>0.60099999999999998</v>
      </c>
      <c r="AG131" s="3">
        <v>0.63566666699999996</v>
      </c>
      <c r="AH131" s="3">
        <v>0.88700000000000001</v>
      </c>
      <c r="AI131" s="3">
        <v>0.61550000000000005</v>
      </c>
      <c r="AJ131" s="3">
        <v>0.74733333300000004</v>
      </c>
      <c r="AK131" s="3">
        <v>0.94350000000000001</v>
      </c>
      <c r="AL131" s="3">
        <v>0.86066666700000005</v>
      </c>
      <c r="AM131" s="3">
        <v>0.01</v>
      </c>
      <c r="AN131" s="3">
        <v>0.62266666699999995</v>
      </c>
      <c r="AO131" s="3">
        <v>0.88900000000000001</v>
      </c>
    </row>
    <row r="132" spans="1:41" x14ac:dyDescent="0.3">
      <c r="A132" s="2" t="s">
        <v>319</v>
      </c>
      <c r="B132" s="2" t="s">
        <v>336</v>
      </c>
      <c r="C132" s="3">
        <v>7.1999999999999995E-2</v>
      </c>
      <c r="D132" s="3">
        <v>0.76800000000000002</v>
      </c>
      <c r="E132" s="3">
        <v>3.4000000000000002E-2</v>
      </c>
      <c r="F132" s="3">
        <v>0.68200000000000005</v>
      </c>
      <c r="G132" s="3">
        <v>3.1E-2</v>
      </c>
      <c r="H132" s="3">
        <v>0.746</v>
      </c>
      <c r="I132" s="3">
        <v>4.0000000000000001E-3</v>
      </c>
      <c r="J132" s="3">
        <v>0.69199999999999995</v>
      </c>
      <c r="K132" s="3">
        <v>4.1000000000000002E-2</v>
      </c>
      <c r="L132" s="3">
        <v>0.98199999999999998</v>
      </c>
      <c r="M132" s="3">
        <v>7.0000000000000001E-3</v>
      </c>
      <c r="N132" s="3">
        <v>0.85199999999999998</v>
      </c>
      <c r="O132" s="3">
        <v>0.01</v>
      </c>
      <c r="P132" s="3">
        <v>0.85199999999999998</v>
      </c>
      <c r="Q132" s="3">
        <v>4.9000000000000002E-2</v>
      </c>
      <c r="R132" s="3">
        <v>0.86399999999999999</v>
      </c>
      <c r="S132" s="3">
        <v>3.1E-2</v>
      </c>
      <c r="T132" s="3">
        <v>0.79700000000000004</v>
      </c>
      <c r="U132" s="3">
        <v>3.1E-2</v>
      </c>
      <c r="V132" s="3">
        <v>0.70799999999999996</v>
      </c>
      <c r="W132" s="3">
        <v>9.0999999999999998E-2</v>
      </c>
      <c r="X132" s="3">
        <v>0.58299999999999996</v>
      </c>
      <c r="Y132" s="3">
        <v>1.4999999999999999E-2</v>
      </c>
      <c r="Z132" s="3">
        <v>0.67300000000000004</v>
      </c>
      <c r="AA132" s="3">
        <v>5.2999999999999999E-2</v>
      </c>
      <c r="AB132" s="3">
        <v>0.52</v>
      </c>
      <c r="AC132" s="3">
        <v>0.55049999999999999</v>
      </c>
      <c r="AD132" s="3">
        <v>0.17499999999999999</v>
      </c>
      <c r="AE132" s="3">
        <v>4.3499999999999997E-2</v>
      </c>
      <c r="AF132" s="3">
        <v>0.61666666699999995</v>
      </c>
      <c r="AG132" s="3">
        <v>0.637583334</v>
      </c>
      <c r="AH132" s="3">
        <v>0.90200000000000002</v>
      </c>
      <c r="AI132" s="3">
        <v>0.57799999999999996</v>
      </c>
      <c r="AJ132" s="3">
        <v>0.72466666700000004</v>
      </c>
      <c r="AK132" s="3">
        <v>0.9415</v>
      </c>
      <c r="AL132" s="3">
        <v>0.828333333</v>
      </c>
      <c r="AM132" s="3">
        <v>0.01</v>
      </c>
      <c r="AN132" s="3">
        <v>0.61766666699999995</v>
      </c>
      <c r="AO132" s="3">
        <v>0.871</v>
      </c>
    </row>
    <row r="133" spans="1:41" x14ac:dyDescent="0.3">
      <c r="A133" s="2" t="s">
        <v>319</v>
      </c>
      <c r="B133" s="2" t="s">
        <v>337</v>
      </c>
      <c r="C133" s="3">
        <v>0.16700000000000001</v>
      </c>
      <c r="D133" s="3">
        <v>0.81200000000000006</v>
      </c>
      <c r="E133" s="3">
        <v>8.3000000000000004E-2</v>
      </c>
      <c r="F133" s="3">
        <v>0.63100000000000001</v>
      </c>
      <c r="G133" s="3">
        <v>5.8000000000000003E-2</v>
      </c>
      <c r="H133" s="3">
        <v>0.71</v>
      </c>
      <c r="I133" s="3">
        <v>0.02</v>
      </c>
      <c r="J133" s="3">
        <v>0.76500000000000001</v>
      </c>
      <c r="K133" s="3">
        <v>0.107</v>
      </c>
      <c r="L133" s="3">
        <v>0.97799999999999998</v>
      </c>
      <c r="M133" s="3">
        <v>3.1E-2</v>
      </c>
      <c r="N133" s="3">
        <v>0.84599999999999997</v>
      </c>
      <c r="O133" s="3">
        <v>4.5999999999999999E-2</v>
      </c>
      <c r="P133" s="3">
        <v>0.84599999999999997</v>
      </c>
      <c r="Q133" s="3">
        <v>0.113</v>
      </c>
      <c r="R133" s="3">
        <v>0.86799999999999999</v>
      </c>
      <c r="S133" s="3">
        <v>0.114</v>
      </c>
      <c r="T133" s="3">
        <v>0.82599999999999996</v>
      </c>
      <c r="U133" s="3">
        <v>0.115</v>
      </c>
      <c r="V133" s="3">
        <v>0.73899999999999999</v>
      </c>
      <c r="W133" s="3">
        <v>0.28499999999999998</v>
      </c>
      <c r="X133" s="3">
        <v>0.48699999999999999</v>
      </c>
      <c r="Y133" s="3">
        <v>6.4000000000000001E-2</v>
      </c>
      <c r="Z133" s="3">
        <v>0.60899999999999999</v>
      </c>
      <c r="AA133" s="3">
        <v>0.19</v>
      </c>
      <c r="AB133" s="3">
        <v>0.48699999999999999</v>
      </c>
      <c r="AC133" s="3">
        <v>0.57750000000000001</v>
      </c>
      <c r="AD133" s="3">
        <v>0.22700000000000001</v>
      </c>
      <c r="AE133" s="3">
        <v>5.6500000000000002E-2</v>
      </c>
      <c r="AF133" s="3">
        <v>0.62933333300000005</v>
      </c>
      <c r="AG133" s="3">
        <v>0.63991666700000005</v>
      </c>
      <c r="AH133" s="3">
        <v>0.91</v>
      </c>
      <c r="AI133" s="3">
        <v>0.52349999999999997</v>
      </c>
      <c r="AJ133" s="3">
        <v>0.702333333</v>
      </c>
      <c r="AK133" s="3">
        <v>0.9335</v>
      </c>
      <c r="AL133" s="3">
        <v>0.78833333299999997</v>
      </c>
      <c r="AM133" s="3">
        <v>0.01</v>
      </c>
      <c r="AN133" s="3">
        <v>0.61166666700000005</v>
      </c>
      <c r="AO133" s="3">
        <v>0.84699999999999998</v>
      </c>
    </row>
    <row r="134" spans="1:41" x14ac:dyDescent="0.3">
      <c r="A134" s="2" t="s">
        <v>319</v>
      </c>
      <c r="B134" s="2" t="s">
        <v>338</v>
      </c>
      <c r="C134" s="3">
        <v>0.24099999999999999</v>
      </c>
      <c r="D134" s="3">
        <v>0.73299999999999998</v>
      </c>
      <c r="E134" s="3">
        <v>0.11799999999999999</v>
      </c>
      <c r="F134" s="3">
        <v>0.66300000000000003</v>
      </c>
      <c r="G134" s="3">
        <v>8.8999999999999996E-2</v>
      </c>
      <c r="H134" s="3">
        <v>0.68500000000000005</v>
      </c>
      <c r="I134" s="3">
        <v>3.6999999999999998E-2</v>
      </c>
      <c r="J134" s="3">
        <v>0.68</v>
      </c>
      <c r="K134" s="3">
        <v>0.18</v>
      </c>
      <c r="L134" s="3">
        <v>0.97299999999999998</v>
      </c>
      <c r="M134" s="3">
        <v>6.4000000000000001E-2</v>
      </c>
      <c r="N134" s="3">
        <v>0.83699999999999997</v>
      </c>
      <c r="O134" s="3">
        <v>8.5000000000000006E-2</v>
      </c>
      <c r="P134" s="3">
        <v>0.83699999999999997</v>
      </c>
      <c r="Q134" s="3">
        <v>0.191</v>
      </c>
      <c r="R134" s="3">
        <v>0.90200000000000002</v>
      </c>
      <c r="S134" s="3">
        <v>0.20699999999999999</v>
      </c>
      <c r="T134" s="3">
        <v>0.82199999999999995</v>
      </c>
      <c r="U134" s="3">
        <v>0.20799999999999999</v>
      </c>
      <c r="V134" s="3">
        <v>0.71399999999999997</v>
      </c>
      <c r="W134" s="3">
        <v>0.47199999999999998</v>
      </c>
      <c r="X134" s="3">
        <v>0.58699999999999997</v>
      </c>
      <c r="Y134" s="3">
        <v>0.15</v>
      </c>
      <c r="Z134" s="3">
        <v>0.63</v>
      </c>
      <c r="AA134" s="3">
        <v>0.36099999999999999</v>
      </c>
      <c r="AB134" s="3">
        <v>0.55100000000000005</v>
      </c>
      <c r="AC134" s="3">
        <v>0.64200000000000002</v>
      </c>
      <c r="AD134" s="3">
        <v>0.35949999999999999</v>
      </c>
      <c r="AE134" s="3">
        <v>7.8E-2</v>
      </c>
      <c r="AF134" s="3">
        <v>0.64100000000000001</v>
      </c>
      <c r="AG134" s="3">
        <v>0.67133333399999995</v>
      </c>
      <c r="AH134" s="3">
        <v>0.90700000000000003</v>
      </c>
      <c r="AI134" s="3">
        <v>0.4945</v>
      </c>
      <c r="AJ134" s="3">
        <v>0.70066666700000002</v>
      </c>
      <c r="AK134" s="3">
        <v>0.92600000000000005</v>
      </c>
      <c r="AL134" s="3">
        <v>0.72533333300000002</v>
      </c>
      <c r="AM134" s="3">
        <v>0.01</v>
      </c>
      <c r="AN134" s="3">
        <v>0.62266666699999995</v>
      </c>
      <c r="AO134" s="3">
        <v>0.81</v>
      </c>
    </row>
    <row r="135" spans="1:41" x14ac:dyDescent="0.3">
      <c r="A135" s="2" t="s">
        <v>319</v>
      </c>
      <c r="B135" s="2" t="s">
        <v>339</v>
      </c>
      <c r="C135" s="3">
        <v>0.29699999999999999</v>
      </c>
      <c r="D135" s="3">
        <v>0.73499999999999999</v>
      </c>
      <c r="E135" s="3">
        <v>0.14000000000000001</v>
      </c>
      <c r="F135" s="3">
        <v>0.72599999999999998</v>
      </c>
      <c r="G135" s="3">
        <v>0.108</v>
      </c>
      <c r="H135" s="3">
        <v>0.70599999999999996</v>
      </c>
      <c r="I135" s="3">
        <v>5.1999999999999998E-2</v>
      </c>
      <c r="J135" s="3">
        <v>0.76</v>
      </c>
      <c r="K135" s="3">
        <v>0.23</v>
      </c>
      <c r="L135" s="3">
        <v>0.97199999999999998</v>
      </c>
      <c r="M135" s="3">
        <v>0.122</v>
      </c>
      <c r="N135" s="3">
        <v>0.86299999999999999</v>
      </c>
      <c r="O135" s="3">
        <v>0.13300000000000001</v>
      </c>
      <c r="P135" s="3">
        <v>0.86299999999999999</v>
      </c>
      <c r="Q135" s="3">
        <v>0.254</v>
      </c>
      <c r="R135" s="3">
        <v>0.91100000000000003</v>
      </c>
      <c r="S135" s="3">
        <v>0.29299999999999998</v>
      </c>
      <c r="T135" s="3">
        <v>0.86399999999999999</v>
      </c>
      <c r="U135" s="3">
        <v>0.29599999999999999</v>
      </c>
      <c r="V135" s="3">
        <v>0.73499999999999999</v>
      </c>
      <c r="W135" s="3">
        <v>0.58599999999999997</v>
      </c>
      <c r="X135" s="3">
        <v>0.65100000000000002</v>
      </c>
      <c r="Y135" s="3">
        <v>0.27300000000000002</v>
      </c>
      <c r="Z135" s="3">
        <v>0.67600000000000005</v>
      </c>
      <c r="AA135" s="3">
        <v>0.52400000000000002</v>
      </c>
      <c r="AB135" s="3">
        <v>0.59399999999999997</v>
      </c>
      <c r="AC135" s="3">
        <v>0.70899999999999996</v>
      </c>
      <c r="AD135" s="3">
        <v>0.51</v>
      </c>
      <c r="AE135" s="3">
        <v>0.1235</v>
      </c>
      <c r="AF135" s="3">
        <v>0.65400000000000003</v>
      </c>
      <c r="AG135" s="3">
        <v>0.71683333400000004</v>
      </c>
      <c r="AH135" s="3">
        <v>0.89500000000000002</v>
      </c>
      <c r="AI135" s="3">
        <v>0.51049999999999995</v>
      </c>
      <c r="AJ135" s="3">
        <v>0.72466666700000004</v>
      </c>
      <c r="AK135" s="3">
        <v>0.90300000000000002</v>
      </c>
      <c r="AL135" s="3">
        <v>0.63866666699999997</v>
      </c>
      <c r="AM135" s="3">
        <v>0.01</v>
      </c>
      <c r="AN135" s="3">
        <v>0.61533333300000004</v>
      </c>
      <c r="AO135" s="3">
        <v>0.74</v>
      </c>
    </row>
    <row r="136" spans="1:41" x14ac:dyDescent="0.3">
      <c r="A136" s="2" t="s">
        <v>319</v>
      </c>
      <c r="B136" s="2" t="s">
        <v>340</v>
      </c>
      <c r="C136" s="3">
        <v>0.36199999999999999</v>
      </c>
      <c r="D136" s="3">
        <v>0.78</v>
      </c>
      <c r="E136" s="3">
        <v>0.14499999999999999</v>
      </c>
      <c r="F136" s="3">
        <v>0.69</v>
      </c>
      <c r="G136" s="3">
        <v>0.114</v>
      </c>
      <c r="H136" s="3">
        <v>0.69299999999999995</v>
      </c>
      <c r="I136" s="3">
        <v>6.8000000000000005E-2</v>
      </c>
      <c r="J136" s="3">
        <v>0.80300000000000005</v>
      </c>
      <c r="K136" s="3">
        <v>0.23899999999999999</v>
      </c>
      <c r="L136" s="3">
        <v>0.97699999999999998</v>
      </c>
      <c r="M136" s="3">
        <v>0.19</v>
      </c>
      <c r="N136" s="3">
        <v>0.86799999999999999</v>
      </c>
      <c r="O136" s="3">
        <v>0.153</v>
      </c>
      <c r="P136" s="3">
        <v>0.86799999999999999</v>
      </c>
      <c r="Q136" s="3">
        <v>0.24199999999999999</v>
      </c>
      <c r="R136" s="3">
        <v>0.92600000000000005</v>
      </c>
      <c r="S136" s="3">
        <v>0.35799999999999998</v>
      </c>
      <c r="T136" s="3">
        <v>0.89200000000000002</v>
      </c>
      <c r="U136" s="3">
        <v>0.36599999999999999</v>
      </c>
      <c r="V136" s="3">
        <v>0.76800000000000002</v>
      </c>
      <c r="W136" s="3">
        <v>0.63700000000000001</v>
      </c>
      <c r="X136" s="3">
        <v>0.64700000000000002</v>
      </c>
      <c r="Y136" s="3">
        <v>0.40400000000000003</v>
      </c>
      <c r="Z136" s="3">
        <v>0.67500000000000004</v>
      </c>
      <c r="AA136" s="3">
        <v>0.58099999999999996</v>
      </c>
      <c r="AB136" s="3">
        <v>0.58799999999999997</v>
      </c>
      <c r="AC136" s="3">
        <v>0.747</v>
      </c>
      <c r="AD136" s="3">
        <v>0.63349999999999995</v>
      </c>
      <c r="AE136" s="3">
        <v>0.22800000000000001</v>
      </c>
      <c r="AF136" s="3">
        <v>0.69399999999999995</v>
      </c>
      <c r="AG136" s="3">
        <v>0.75249999999999995</v>
      </c>
      <c r="AH136" s="3">
        <v>0.878</v>
      </c>
      <c r="AI136" s="3">
        <v>0.50149999999999995</v>
      </c>
      <c r="AJ136" s="3">
        <v>0.75800000000000001</v>
      </c>
      <c r="AK136" s="3">
        <v>0.87649999999999995</v>
      </c>
      <c r="AL136" s="3">
        <v>0.55200000000000005</v>
      </c>
      <c r="AM136" s="3">
        <v>0.01</v>
      </c>
      <c r="AN136" s="3">
        <v>0.59099999999999997</v>
      </c>
      <c r="AO136" s="3">
        <v>0.66200000000000003</v>
      </c>
    </row>
    <row r="137" spans="1:41" x14ac:dyDescent="0.3">
      <c r="A137" s="2" t="s">
        <v>319</v>
      </c>
      <c r="B137" s="2" t="s">
        <v>341</v>
      </c>
      <c r="C137" s="3">
        <v>0.318</v>
      </c>
      <c r="D137" s="3">
        <v>0.73899999999999999</v>
      </c>
      <c r="E137" s="3">
        <v>0.155</v>
      </c>
      <c r="F137" s="3">
        <v>0.628</v>
      </c>
      <c r="G137" s="3">
        <v>0.10199999999999999</v>
      </c>
      <c r="H137" s="3">
        <v>0.67600000000000005</v>
      </c>
      <c r="I137" s="3">
        <v>8.1000000000000003E-2</v>
      </c>
      <c r="J137" s="3">
        <v>0.76400000000000001</v>
      </c>
      <c r="K137" s="3">
        <v>0.23</v>
      </c>
      <c r="L137" s="3">
        <v>0.97599999999999998</v>
      </c>
      <c r="M137" s="3">
        <v>0.308</v>
      </c>
      <c r="N137" s="3">
        <v>0.85899999999999999</v>
      </c>
      <c r="O137" s="3">
        <v>0.14599999999999999</v>
      </c>
      <c r="P137" s="3">
        <v>0.85899999999999999</v>
      </c>
      <c r="Q137" s="3">
        <v>0.19900000000000001</v>
      </c>
      <c r="R137" s="3">
        <v>0.92</v>
      </c>
      <c r="S137" s="3">
        <v>0.377</v>
      </c>
      <c r="T137" s="3">
        <v>0.879</v>
      </c>
      <c r="U137" s="3">
        <v>0.38600000000000001</v>
      </c>
      <c r="V137" s="3">
        <v>0.77500000000000002</v>
      </c>
      <c r="W137" s="3">
        <v>0.60199999999999998</v>
      </c>
      <c r="X137" s="3">
        <v>0.61799999999999999</v>
      </c>
      <c r="Y137" s="3">
        <v>0.38200000000000001</v>
      </c>
      <c r="Z137" s="3">
        <v>0.66100000000000003</v>
      </c>
      <c r="AA137" s="3">
        <v>0.56799999999999995</v>
      </c>
      <c r="AB137" s="3">
        <v>0.58499999999999996</v>
      </c>
      <c r="AC137" s="3">
        <v>0.77200000000000002</v>
      </c>
      <c r="AD137" s="3">
        <v>0.74150000000000005</v>
      </c>
      <c r="AE137" s="3">
        <v>0.39250000000000002</v>
      </c>
      <c r="AF137" s="3">
        <v>0.73966666700000006</v>
      </c>
      <c r="AG137" s="3">
        <v>0.78166666699999998</v>
      </c>
      <c r="AH137" s="3">
        <v>0.86199999999999999</v>
      </c>
      <c r="AI137" s="3">
        <v>0.50900000000000001</v>
      </c>
      <c r="AJ137" s="3">
        <v>0.79133333299999997</v>
      </c>
      <c r="AK137" s="3">
        <v>0.84699999999999998</v>
      </c>
      <c r="AL137" s="3">
        <v>0.489666667</v>
      </c>
      <c r="AM137" s="3">
        <v>0.01</v>
      </c>
      <c r="AN137" s="3">
        <v>0.56766666700000001</v>
      </c>
      <c r="AO137" s="3">
        <v>0.59899999999999998</v>
      </c>
    </row>
    <row r="138" spans="1:41" x14ac:dyDescent="0.3">
      <c r="A138" s="2" t="s">
        <v>319</v>
      </c>
      <c r="B138" s="2" t="s">
        <v>342</v>
      </c>
      <c r="C138" s="3">
        <v>0.188</v>
      </c>
      <c r="D138" s="3">
        <v>0.60899999999999999</v>
      </c>
      <c r="E138" s="3">
        <v>0.159</v>
      </c>
      <c r="F138" s="3">
        <v>0.62</v>
      </c>
      <c r="G138" s="3">
        <v>7.6999999999999999E-2</v>
      </c>
      <c r="H138" s="3">
        <v>0.67600000000000005</v>
      </c>
      <c r="I138" s="3">
        <v>9.0999999999999998E-2</v>
      </c>
      <c r="J138" s="3">
        <v>0.68</v>
      </c>
      <c r="K138" s="3">
        <v>0.22800000000000001</v>
      </c>
      <c r="L138" s="3">
        <v>0.97299999999999998</v>
      </c>
      <c r="M138" s="3">
        <v>0.371</v>
      </c>
      <c r="N138" s="3">
        <v>0.84199999999999997</v>
      </c>
      <c r="O138" s="3">
        <v>0.152</v>
      </c>
      <c r="P138" s="3">
        <v>0.84199999999999997</v>
      </c>
      <c r="Q138" s="3">
        <v>0.17399999999999999</v>
      </c>
      <c r="R138" s="3">
        <v>0.88700000000000001</v>
      </c>
      <c r="S138" s="3">
        <v>0.33700000000000002</v>
      </c>
      <c r="T138" s="3">
        <v>0.83699999999999997</v>
      </c>
      <c r="U138" s="3">
        <v>0.34799999999999998</v>
      </c>
      <c r="V138" s="3">
        <v>0.75900000000000001</v>
      </c>
      <c r="W138" s="3">
        <v>0.44</v>
      </c>
      <c r="X138" s="3">
        <v>0.58799999999999997</v>
      </c>
      <c r="Y138" s="3">
        <v>0.33800000000000002</v>
      </c>
      <c r="Z138" s="3">
        <v>0.63400000000000001</v>
      </c>
      <c r="AA138" s="3">
        <v>0.48699999999999999</v>
      </c>
      <c r="AB138" s="3">
        <v>0.54900000000000004</v>
      </c>
      <c r="AC138" s="3">
        <v>0.79849999999999999</v>
      </c>
      <c r="AD138" s="3">
        <v>0.82150000000000001</v>
      </c>
      <c r="AE138" s="3">
        <v>0.57550000000000001</v>
      </c>
      <c r="AF138" s="3">
        <v>0.79</v>
      </c>
      <c r="AG138" s="3">
        <v>0.80108333399999998</v>
      </c>
      <c r="AH138" s="3">
        <v>0.85299999999999998</v>
      </c>
      <c r="AI138" s="3">
        <v>0.53149999999999997</v>
      </c>
      <c r="AJ138" s="3">
        <v>0.803666667</v>
      </c>
      <c r="AK138" s="3">
        <v>0.81599999999999995</v>
      </c>
      <c r="AL138" s="3">
        <v>0.44500000000000001</v>
      </c>
      <c r="AM138" s="3">
        <v>0.01</v>
      </c>
      <c r="AN138" s="3">
        <v>0.56299999999999994</v>
      </c>
      <c r="AO138" s="3">
        <v>0.55600000000000005</v>
      </c>
    </row>
    <row r="139" spans="1:41" x14ac:dyDescent="0.3">
      <c r="A139" s="2" t="s">
        <v>319</v>
      </c>
      <c r="B139" s="2" t="s">
        <v>343</v>
      </c>
      <c r="C139" s="3">
        <v>0.13100000000000001</v>
      </c>
      <c r="D139" s="3">
        <v>0.56000000000000005</v>
      </c>
      <c r="E139" s="3">
        <v>0.17599999999999999</v>
      </c>
      <c r="F139" s="3">
        <v>0.61199999999999999</v>
      </c>
      <c r="G139" s="3">
        <v>5.5E-2</v>
      </c>
      <c r="H139" s="3">
        <v>0.66500000000000004</v>
      </c>
      <c r="I139" s="3">
        <v>7.5999999999999998E-2</v>
      </c>
      <c r="J139" s="3">
        <v>0.57999999999999996</v>
      </c>
      <c r="K139" s="3">
        <v>0.188</v>
      </c>
      <c r="L139" s="3">
        <v>0.97</v>
      </c>
      <c r="M139" s="3">
        <v>0.32800000000000001</v>
      </c>
      <c r="N139" s="3">
        <v>0.80600000000000005</v>
      </c>
      <c r="O139" s="3">
        <v>0.16400000000000001</v>
      </c>
      <c r="P139" s="3">
        <v>0.80600000000000005</v>
      </c>
      <c r="Q139" s="3">
        <v>0.13400000000000001</v>
      </c>
      <c r="R139" s="3">
        <v>0.83799999999999997</v>
      </c>
      <c r="S139" s="3">
        <v>0.26100000000000001</v>
      </c>
      <c r="T139" s="3">
        <v>0.77500000000000002</v>
      </c>
      <c r="U139" s="3">
        <v>0.26800000000000002</v>
      </c>
      <c r="V139" s="3">
        <v>0.71199999999999997</v>
      </c>
      <c r="W139" s="3">
        <v>0.22800000000000001</v>
      </c>
      <c r="X139" s="3">
        <v>0.51</v>
      </c>
      <c r="Y139" s="3">
        <v>0.26900000000000002</v>
      </c>
      <c r="Z139" s="3">
        <v>0.58899999999999997</v>
      </c>
      <c r="AA139" s="3">
        <v>0.36699999999999999</v>
      </c>
      <c r="AB139" s="3">
        <v>0.47599999999999998</v>
      </c>
      <c r="AC139" s="3">
        <v>0.81850000000000001</v>
      </c>
      <c r="AD139" s="3">
        <v>0.86350000000000005</v>
      </c>
      <c r="AE139" s="3">
        <v>0.70250000000000001</v>
      </c>
      <c r="AF139" s="3">
        <v>0.82199999999999995</v>
      </c>
      <c r="AG139" s="3">
        <v>0.80774999999999997</v>
      </c>
      <c r="AH139" s="3">
        <v>0.85099999999999998</v>
      </c>
      <c r="AI139" s="3">
        <v>0.55149999999999999</v>
      </c>
      <c r="AJ139" s="3">
        <v>0.79700000000000004</v>
      </c>
      <c r="AK139" s="3">
        <v>0.78049999999999997</v>
      </c>
      <c r="AL139" s="3">
        <v>0.39966666699999998</v>
      </c>
      <c r="AM139" s="3">
        <v>0.01</v>
      </c>
      <c r="AN139" s="3">
        <v>0.557666667</v>
      </c>
      <c r="AO139" s="3">
        <v>0.52100000000000002</v>
      </c>
    </row>
    <row r="140" spans="1:41" x14ac:dyDescent="0.3">
      <c r="A140" s="2" t="s">
        <v>319</v>
      </c>
      <c r="B140" s="2" t="s">
        <v>344</v>
      </c>
      <c r="C140" s="3">
        <v>9.7000000000000003E-2</v>
      </c>
      <c r="D140" s="3">
        <v>0.56200000000000006</v>
      </c>
      <c r="E140" s="3">
        <v>0.11700000000000001</v>
      </c>
      <c r="F140" s="3">
        <v>0.625</v>
      </c>
      <c r="G140" s="3">
        <v>3.5999999999999997E-2</v>
      </c>
      <c r="H140" s="3">
        <v>0.63800000000000001</v>
      </c>
      <c r="I140" s="3">
        <v>5.5E-2</v>
      </c>
      <c r="J140" s="3">
        <v>0.53300000000000003</v>
      </c>
      <c r="K140" s="3">
        <v>0.105</v>
      </c>
      <c r="L140" s="3">
        <v>0.97</v>
      </c>
      <c r="M140" s="3">
        <v>0.187</v>
      </c>
      <c r="N140" s="3">
        <v>0.72599999999999998</v>
      </c>
      <c r="O140" s="3">
        <v>8.1000000000000003E-2</v>
      </c>
      <c r="P140" s="3">
        <v>0.72599999999999998</v>
      </c>
      <c r="Q140" s="3">
        <v>8.6999999999999994E-2</v>
      </c>
      <c r="R140" s="3">
        <v>0.78200000000000003</v>
      </c>
      <c r="S140" s="3">
        <v>0.128</v>
      </c>
      <c r="T140" s="3">
        <v>0.70299999999999996</v>
      </c>
      <c r="U140" s="3">
        <v>0.128</v>
      </c>
      <c r="V140" s="3">
        <v>0.63100000000000001</v>
      </c>
      <c r="W140" s="3">
        <v>0.11600000000000001</v>
      </c>
      <c r="X140" s="3">
        <v>0.45100000000000001</v>
      </c>
      <c r="Y140" s="3">
        <v>0.16900000000000001</v>
      </c>
      <c r="Z140" s="3">
        <v>0.49299999999999999</v>
      </c>
      <c r="AA140" s="3">
        <v>0.221</v>
      </c>
      <c r="AB140" s="3">
        <v>0.40600000000000003</v>
      </c>
      <c r="AC140" s="3">
        <v>0.82399999999999995</v>
      </c>
      <c r="AD140" s="3">
        <v>0.87649999999999995</v>
      </c>
      <c r="AE140" s="3">
        <v>0.76800000000000002</v>
      </c>
      <c r="AF140" s="3">
        <v>0.83299999999999996</v>
      </c>
      <c r="AG140" s="3">
        <v>0.79500000000000004</v>
      </c>
      <c r="AH140" s="3">
        <v>0.84299999999999997</v>
      </c>
      <c r="AI140" s="3">
        <v>0.57699999999999996</v>
      </c>
      <c r="AJ140" s="3">
        <v>0.76600000000000001</v>
      </c>
      <c r="AK140" s="3">
        <v>0.75</v>
      </c>
      <c r="AL140" s="3">
        <v>0.36633333299999998</v>
      </c>
      <c r="AM140" s="3">
        <v>0.01</v>
      </c>
      <c r="AN140" s="3">
        <v>0.54833333299999998</v>
      </c>
      <c r="AO140" s="3">
        <v>0.498</v>
      </c>
    </row>
    <row r="141" spans="1:41" x14ac:dyDescent="0.3">
      <c r="A141" s="2" t="s">
        <v>319</v>
      </c>
      <c r="B141" s="2" t="s">
        <v>345</v>
      </c>
      <c r="C141" s="3">
        <v>4.2000000000000003E-2</v>
      </c>
      <c r="D141" s="3">
        <v>0.58599999999999997</v>
      </c>
      <c r="E141" s="3">
        <v>5.8000000000000003E-2</v>
      </c>
      <c r="F141" s="3">
        <v>0.63300000000000001</v>
      </c>
      <c r="G141" s="3">
        <v>1.7999999999999999E-2</v>
      </c>
      <c r="H141" s="3">
        <v>0.60899999999999999</v>
      </c>
      <c r="I141" s="3">
        <v>2.7E-2</v>
      </c>
      <c r="J141" s="3">
        <v>0.54700000000000004</v>
      </c>
      <c r="K141" s="3">
        <v>3.6999999999999998E-2</v>
      </c>
      <c r="L141" s="3">
        <v>0.96299999999999997</v>
      </c>
      <c r="M141" s="3">
        <v>6.5000000000000002E-2</v>
      </c>
      <c r="N141" s="3">
        <v>0.64300000000000002</v>
      </c>
      <c r="O141" s="3">
        <v>2.5000000000000001E-2</v>
      </c>
      <c r="P141" s="3">
        <v>0.64300000000000002</v>
      </c>
      <c r="Q141" s="3">
        <v>0.03</v>
      </c>
      <c r="R141" s="3">
        <v>0.72899999999999998</v>
      </c>
      <c r="S141" s="3">
        <v>3.6999999999999998E-2</v>
      </c>
      <c r="T141" s="3">
        <v>0.64800000000000002</v>
      </c>
      <c r="U141" s="3">
        <v>3.6999999999999998E-2</v>
      </c>
      <c r="V141" s="3">
        <v>0.55600000000000005</v>
      </c>
      <c r="W141" s="3">
        <v>4.9000000000000002E-2</v>
      </c>
      <c r="X141" s="3">
        <v>0.42899999999999999</v>
      </c>
      <c r="Y141" s="3">
        <v>6.2E-2</v>
      </c>
      <c r="Z141" s="3">
        <v>0.41499999999999998</v>
      </c>
      <c r="AA141" s="3">
        <v>9.5000000000000001E-2</v>
      </c>
      <c r="AB141" s="3">
        <v>0.377</v>
      </c>
      <c r="AC141" s="3">
        <v>0.80249999999999999</v>
      </c>
      <c r="AD141" s="3">
        <v>0.87450000000000006</v>
      </c>
      <c r="AE141" s="3">
        <v>0.80649999999999999</v>
      </c>
      <c r="AF141" s="3">
        <v>0.82899999999999996</v>
      </c>
      <c r="AG141" s="3">
        <v>0.76341666699999999</v>
      </c>
      <c r="AH141" s="3">
        <v>0.81499999999999995</v>
      </c>
      <c r="AI141" s="3">
        <v>0.61650000000000005</v>
      </c>
      <c r="AJ141" s="3">
        <v>0.72433333300000002</v>
      </c>
      <c r="AK141" s="3">
        <v>0.73750000000000004</v>
      </c>
      <c r="AL141" s="3">
        <v>0.34100000000000003</v>
      </c>
      <c r="AM141" s="3">
        <v>0.01</v>
      </c>
      <c r="AN141" s="3">
        <v>0.52</v>
      </c>
      <c r="AO141" s="3">
        <v>0.48399999999999999</v>
      </c>
    </row>
    <row r="142" spans="1:41" x14ac:dyDescent="0.3">
      <c r="A142" s="2" t="s">
        <v>319</v>
      </c>
      <c r="B142" s="2" t="s">
        <v>346</v>
      </c>
      <c r="C142" s="3">
        <v>0</v>
      </c>
      <c r="D142" s="3">
        <v>0.61599999999999999</v>
      </c>
      <c r="E142" s="3">
        <v>2E-3</v>
      </c>
      <c r="F142" s="3">
        <v>0.64300000000000002</v>
      </c>
      <c r="G142" s="3">
        <v>0</v>
      </c>
      <c r="H142" s="3">
        <v>0.58699999999999997</v>
      </c>
      <c r="I142" s="3">
        <v>1E-3</v>
      </c>
      <c r="J142" s="3">
        <v>0.54300000000000004</v>
      </c>
      <c r="K142" s="3">
        <v>0</v>
      </c>
      <c r="L142" s="3">
        <v>0.96</v>
      </c>
      <c r="M142" s="3">
        <v>4.0000000000000001E-3</v>
      </c>
      <c r="N142" s="3">
        <v>0.64</v>
      </c>
      <c r="O142" s="3">
        <v>1E-3</v>
      </c>
      <c r="P142" s="3">
        <v>0.64</v>
      </c>
      <c r="Q142" s="3">
        <v>0</v>
      </c>
      <c r="R142" s="3">
        <v>0.67</v>
      </c>
      <c r="S142" s="3">
        <v>1E-3</v>
      </c>
      <c r="T142" s="3">
        <v>0.625</v>
      </c>
      <c r="U142" s="3">
        <v>1E-3</v>
      </c>
      <c r="V142" s="3">
        <v>0.47899999999999998</v>
      </c>
      <c r="W142" s="3">
        <v>4.0000000000000001E-3</v>
      </c>
      <c r="X142" s="3">
        <v>0.439</v>
      </c>
      <c r="Y142" s="3">
        <v>4.0000000000000001E-3</v>
      </c>
      <c r="Z142" s="3">
        <v>0.377</v>
      </c>
      <c r="AA142" s="3">
        <v>1.0999999999999999E-2</v>
      </c>
      <c r="AB142" s="3">
        <v>0.37</v>
      </c>
      <c r="AC142" s="3">
        <v>0.77800000000000002</v>
      </c>
      <c r="AD142" s="3">
        <v>0.875</v>
      </c>
      <c r="AE142" s="3">
        <v>0.82299999999999995</v>
      </c>
      <c r="AF142" s="3">
        <v>0.81233333299999999</v>
      </c>
      <c r="AG142" s="3">
        <v>0.73566666700000005</v>
      </c>
      <c r="AH142" s="3">
        <v>0.77600000000000002</v>
      </c>
      <c r="AI142" s="3">
        <v>0.66500000000000004</v>
      </c>
      <c r="AJ142" s="3">
        <v>0.693333333</v>
      </c>
      <c r="AK142" s="3">
        <v>0.747</v>
      </c>
      <c r="AL142" s="3">
        <v>0.327333333</v>
      </c>
      <c r="AM142" s="3">
        <v>0.01</v>
      </c>
      <c r="AN142" s="3">
        <v>0.50433333300000005</v>
      </c>
      <c r="AO142" s="3">
        <v>0.48399999999999999</v>
      </c>
    </row>
    <row r="143" spans="1:41" x14ac:dyDescent="0.3">
      <c r="A143" s="2" t="s">
        <v>319</v>
      </c>
      <c r="B143" s="2" t="s">
        <v>347</v>
      </c>
      <c r="C143" s="3">
        <v>0</v>
      </c>
      <c r="D143" s="3">
        <v>0.621</v>
      </c>
      <c r="E143" s="3">
        <v>0</v>
      </c>
      <c r="F143" s="3">
        <v>0.61199999999999999</v>
      </c>
      <c r="G143" s="3">
        <v>0</v>
      </c>
      <c r="H143" s="3">
        <v>0.54600000000000004</v>
      </c>
      <c r="I143" s="3">
        <v>0</v>
      </c>
      <c r="J143" s="3">
        <v>0.48299999999999998</v>
      </c>
      <c r="K143" s="3">
        <v>0</v>
      </c>
      <c r="L143" s="3">
        <v>0.95</v>
      </c>
      <c r="M143" s="3">
        <v>0</v>
      </c>
      <c r="N143" s="3">
        <v>0.63</v>
      </c>
      <c r="O143" s="3">
        <v>0</v>
      </c>
      <c r="P143" s="3">
        <v>0.63</v>
      </c>
      <c r="Q143" s="3">
        <v>0</v>
      </c>
      <c r="R143" s="3">
        <v>0.626</v>
      </c>
      <c r="S143" s="3">
        <v>0</v>
      </c>
      <c r="T143" s="3">
        <v>0.60399999999999998</v>
      </c>
      <c r="U143" s="3">
        <v>0</v>
      </c>
      <c r="V143" s="3">
        <v>0.41099999999999998</v>
      </c>
      <c r="W143" s="3">
        <v>0</v>
      </c>
      <c r="X143" s="3">
        <v>0.45400000000000001</v>
      </c>
      <c r="Y143" s="3">
        <v>0</v>
      </c>
      <c r="Z143" s="3">
        <v>0.35199999999999998</v>
      </c>
      <c r="AA143" s="3">
        <v>0</v>
      </c>
      <c r="AB143" s="3">
        <v>0.32300000000000001</v>
      </c>
      <c r="AC143" s="3">
        <v>0.75600000000000001</v>
      </c>
      <c r="AD143" s="3">
        <v>0.86150000000000004</v>
      </c>
      <c r="AE143" s="3">
        <v>0.81599999999999995</v>
      </c>
      <c r="AF143" s="3">
        <v>0.77800000000000002</v>
      </c>
      <c r="AG143" s="3">
        <v>0.71183333400000004</v>
      </c>
      <c r="AH143" s="3">
        <v>0.73699999999999999</v>
      </c>
      <c r="AI143" s="3">
        <v>0.68799999999999994</v>
      </c>
      <c r="AJ143" s="3">
        <v>0.66766666699999999</v>
      </c>
      <c r="AK143" s="3">
        <v>0.73399999999999999</v>
      </c>
      <c r="AL143" s="3">
        <v>0.30533333299999998</v>
      </c>
      <c r="AM143" s="3">
        <v>0.01</v>
      </c>
      <c r="AN143" s="3">
        <v>0.49566666700000001</v>
      </c>
      <c r="AO143" s="3">
        <v>0.47299999999999998</v>
      </c>
    </row>
    <row r="144" spans="1:41" x14ac:dyDescent="0.3">
      <c r="A144" s="2" t="s">
        <v>319</v>
      </c>
      <c r="B144" s="2" t="s">
        <v>348</v>
      </c>
      <c r="C144" s="3">
        <v>0</v>
      </c>
      <c r="D144" s="3">
        <v>0.65800000000000003</v>
      </c>
      <c r="E144" s="3">
        <v>0</v>
      </c>
      <c r="F144" s="3">
        <v>0.54100000000000004</v>
      </c>
      <c r="G144" s="3">
        <v>0</v>
      </c>
      <c r="H144" s="3">
        <v>0.54300000000000004</v>
      </c>
      <c r="I144" s="3">
        <v>0</v>
      </c>
      <c r="J144" s="3">
        <v>0.46899999999999997</v>
      </c>
      <c r="K144" s="3">
        <v>0</v>
      </c>
      <c r="L144" s="3">
        <v>0.93600000000000005</v>
      </c>
      <c r="M144" s="3">
        <v>0</v>
      </c>
      <c r="N144" s="3">
        <v>0.60599999999999998</v>
      </c>
      <c r="O144" s="3">
        <v>0</v>
      </c>
      <c r="P144" s="3">
        <v>0.60599999999999998</v>
      </c>
      <c r="Q144" s="3">
        <v>0</v>
      </c>
      <c r="R144" s="3">
        <v>0.59699999999999998</v>
      </c>
      <c r="S144" s="3">
        <v>0</v>
      </c>
      <c r="T144" s="3">
        <v>0.52600000000000002</v>
      </c>
      <c r="U144" s="3">
        <v>0</v>
      </c>
      <c r="V144" s="3">
        <v>0.38500000000000001</v>
      </c>
      <c r="W144" s="3">
        <v>0</v>
      </c>
      <c r="X144" s="3">
        <v>0.42299999999999999</v>
      </c>
      <c r="Y144" s="3">
        <v>0</v>
      </c>
      <c r="Z144" s="3">
        <v>0.34</v>
      </c>
      <c r="AA144" s="3">
        <v>0</v>
      </c>
      <c r="AB144" s="3">
        <v>0.26900000000000002</v>
      </c>
      <c r="AC144" s="3">
        <v>0.71250000000000002</v>
      </c>
      <c r="AD144" s="3">
        <v>0.84250000000000003</v>
      </c>
      <c r="AE144" s="3">
        <v>0.80500000000000005</v>
      </c>
      <c r="AF144" s="3">
        <v>0.71799999999999997</v>
      </c>
      <c r="AG144" s="3">
        <v>0.67474999999999996</v>
      </c>
      <c r="AH144" s="3">
        <v>0.67700000000000005</v>
      </c>
      <c r="AI144" s="3">
        <v>0.68100000000000005</v>
      </c>
      <c r="AJ144" s="3">
        <v>0.63700000000000001</v>
      </c>
      <c r="AK144" s="3">
        <v>0.71499999999999997</v>
      </c>
      <c r="AL144" s="3">
        <v>0.28999999999999998</v>
      </c>
      <c r="AM144" s="3">
        <v>0.01</v>
      </c>
      <c r="AN144" s="3">
        <v>0.48633333299999998</v>
      </c>
      <c r="AO144" s="3">
        <v>0.45300000000000001</v>
      </c>
    </row>
    <row r="145" spans="1:41" x14ac:dyDescent="0.3">
      <c r="A145" s="2" t="s">
        <v>319</v>
      </c>
      <c r="B145" s="2" t="s">
        <v>349</v>
      </c>
      <c r="C145" s="3">
        <v>0</v>
      </c>
      <c r="D145" s="3">
        <v>0.55900000000000005</v>
      </c>
      <c r="E145" s="3">
        <v>0</v>
      </c>
      <c r="F145" s="3">
        <v>0.52</v>
      </c>
      <c r="G145" s="3">
        <v>0</v>
      </c>
      <c r="H145" s="3">
        <v>0.55100000000000005</v>
      </c>
      <c r="I145" s="3">
        <v>0</v>
      </c>
      <c r="J145" s="3">
        <v>0.46700000000000003</v>
      </c>
      <c r="K145" s="3">
        <v>0</v>
      </c>
      <c r="L145" s="3">
        <v>0.91500000000000004</v>
      </c>
      <c r="M145" s="3">
        <v>0</v>
      </c>
      <c r="N145" s="3">
        <v>0.57999999999999996</v>
      </c>
      <c r="O145" s="3">
        <v>0</v>
      </c>
      <c r="P145" s="3">
        <v>0.57999999999999996</v>
      </c>
      <c r="Q145" s="3">
        <v>0</v>
      </c>
      <c r="R145" s="3">
        <v>0.54200000000000004</v>
      </c>
      <c r="S145" s="3">
        <v>0</v>
      </c>
      <c r="T145" s="3">
        <v>0.45</v>
      </c>
      <c r="U145" s="3">
        <v>0</v>
      </c>
      <c r="V145" s="3">
        <v>0.40300000000000002</v>
      </c>
      <c r="W145" s="3">
        <v>0</v>
      </c>
      <c r="X145" s="3">
        <v>0.40300000000000002</v>
      </c>
      <c r="Y145" s="3">
        <v>0</v>
      </c>
      <c r="Z145" s="3">
        <v>0.32400000000000001</v>
      </c>
      <c r="AA145" s="3">
        <v>0</v>
      </c>
      <c r="AB145" s="3">
        <v>0.26100000000000001</v>
      </c>
      <c r="AC145" s="3">
        <v>0.66549999999999998</v>
      </c>
      <c r="AD145" s="3">
        <v>0.80400000000000005</v>
      </c>
      <c r="AE145" s="3">
        <v>0.755</v>
      </c>
      <c r="AF145" s="3">
        <v>0.64166666699999997</v>
      </c>
      <c r="AG145" s="3">
        <v>0.62975000000000003</v>
      </c>
      <c r="AH145" s="3">
        <v>0.61199999999999999</v>
      </c>
      <c r="AI145" s="3">
        <v>0.65849999999999997</v>
      </c>
      <c r="AJ145" s="3">
        <v>0.59399999999999997</v>
      </c>
      <c r="AK145" s="3">
        <v>0.69350000000000001</v>
      </c>
      <c r="AL145" s="3">
        <v>0.27900000000000003</v>
      </c>
      <c r="AM145" s="3">
        <v>0.01</v>
      </c>
      <c r="AN145" s="3">
        <v>0.47599999999999998</v>
      </c>
      <c r="AO145" s="3">
        <v>0.43</v>
      </c>
    </row>
    <row r="146" spans="1:41" x14ac:dyDescent="0.3">
      <c r="A146" s="2" t="s">
        <v>319</v>
      </c>
      <c r="B146" s="2" t="s">
        <v>350</v>
      </c>
      <c r="C146" s="3">
        <v>0</v>
      </c>
      <c r="D146" s="3">
        <v>0.53300000000000003</v>
      </c>
      <c r="E146" s="3">
        <v>0</v>
      </c>
      <c r="F146" s="3">
        <v>0.51300000000000001</v>
      </c>
      <c r="G146" s="3">
        <v>0</v>
      </c>
      <c r="H146" s="3">
        <v>0.54600000000000004</v>
      </c>
      <c r="I146" s="3">
        <v>0</v>
      </c>
      <c r="J146" s="3">
        <v>0.44800000000000001</v>
      </c>
      <c r="K146" s="3">
        <v>0</v>
      </c>
      <c r="L146" s="3">
        <v>0.89700000000000002</v>
      </c>
      <c r="M146" s="3">
        <v>0</v>
      </c>
      <c r="N146" s="3">
        <v>0.53300000000000003</v>
      </c>
      <c r="O146" s="3">
        <v>0</v>
      </c>
      <c r="P146" s="3">
        <v>0.53300000000000003</v>
      </c>
      <c r="Q146" s="3">
        <v>0</v>
      </c>
      <c r="R146" s="3">
        <v>0.52300000000000002</v>
      </c>
      <c r="S146" s="3">
        <v>0</v>
      </c>
      <c r="T146" s="3">
        <v>0.44700000000000001</v>
      </c>
      <c r="U146" s="3">
        <v>0</v>
      </c>
      <c r="V146" s="3">
        <v>0.433</v>
      </c>
      <c r="W146" s="3">
        <v>0</v>
      </c>
      <c r="X146" s="3">
        <v>0.41599999999999998</v>
      </c>
      <c r="Y146" s="3">
        <v>0</v>
      </c>
      <c r="Z146" s="3">
        <v>0.311</v>
      </c>
      <c r="AA146" s="3">
        <v>0</v>
      </c>
      <c r="AB146" s="3">
        <v>0.254</v>
      </c>
      <c r="AC146" s="3">
        <v>0.62350000000000005</v>
      </c>
      <c r="AD146" s="3">
        <v>0.76249999999999996</v>
      </c>
      <c r="AE146" s="3">
        <v>0.69399999999999995</v>
      </c>
      <c r="AF146" s="3">
        <v>0.55533333299999998</v>
      </c>
      <c r="AG146" s="3">
        <v>0.58408333400000001</v>
      </c>
      <c r="AH146" s="3">
        <v>0.52100000000000002</v>
      </c>
      <c r="AI146" s="3">
        <v>0.65400000000000003</v>
      </c>
      <c r="AJ146" s="3">
        <v>0.54466666699999999</v>
      </c>
      <c r="AK146" s="3">
        <v>0.66600000000000004</v>
      </c>
      <c r="AL146" s="3">
        <v>0.24766666700000001</v>
      </c>
      <c r="AM146" s="3">
        <v>0.01</v>
      </c>
      <c r="AN146" s="3">
        <v>0.45600000000000002</v>
      </c>
      <c r="AO146" s="3">
        <v>0.39200000000000002</v>
      </c>
    </row>
    <row r="147" spans="1:41" x14ac:dyDescent="0.3">
      <c r="A147" s="2" t="s">
        <v>319</v>
      </c>
      <c r="B147" s="2" t="s">
        <v>351</v>
      </c>
      <c r="C147" s="3">
        <v>0</v>
      </c>
      <c r="D147" s="3">
        <v>0.53</v>
      </c>
      <c r="E147" s="3">
        <v>0</v>
      </c>
      <c r="F147" s="3">
        <v>0.5</v>
      </c>
      <c r="G147" s="3">
        <v>0</v>
      </c>
      <c r="H147" s="3">
        <v>0.52</v>
      </c>
      <c r="I147" s="3">
        <v>0</v>
      </c>
      <c r="J147" s="3">
        <v>0.41299999999999998</v>
      </c>
      <c r="K147" s="3">
        <v>0</v>
      </c>
      <c r="L147" s="3">
        <v>0.88</v>
      </c>
      <c r="M147" s="3">
        <v>0</v>
      </c>
      <c r="N147" s="3">
        <v>0.502</v>
      </c>
      <c r="O147" s="3">
        <v>0</v>
      </c>
      <c r="P147" s="3">
        <v>0.502</v>
      </c>
      <c r="Q147" s="3">
        <v>0</v>
      </c>
      <c r="R147" s="3">
        <v>0.51900000000000002</v>
      </c>
      <c r="S147" s="3">
        <v>0</v>
      </c>
      <c r="T147" s="3">
        <v>0.439</v>
      </c>
      <c r="U147" s="3">
        <v>0</v>
      </c>
      <c r="V147" s="3">
        <v>0.42699999999999999</v>
      </c>
      <c r="W147" s="3">
        <v>0</v>
      </c>
      <c r="X147" s="3">
        <v>0.39200000000000002</v>
      </c>
      <c r="Y147" s="3">
        <v>0</v>
      </c>
      <c r="Z147" s="3">
        <v>0.29299999999999998</v>
      </c>
      <c r="AA147" s="3">
        <v>0</v>
      </c>
      <c r="AB147" s="3">
        <v>0.24199999999999999</v>
      </c>
      <c r="AC147" s="3">
        <v>0.58150000000000002</v>
      </c>
      <c r="AD147" s="3">
        <v>0.73199999999999998</v>
      </c>
      <c r="AE147" s="3">
        <v>0.65500000000000003</v>
      </c>
      <c r="AF147" s="3">
        <v>0.47333333300000002</v>
      </c>
      <c r="AG147" s="3">
        <v>0.54341666700000002</v>
      </c>
      <c r="AH147" s="3">
        <v>0.41799999999999998</v>
      </c>
      <c r="AI147" s="3">
        <v>0.65300000000000002</v>
      </c>
      <c r="AJ147" s="3">
        <v>0.50533333300000005</v>
      </c>
      <c r="AK147" s="3">
        <v>0.60550000000000004</v>
      </c>
      <c r="AL147" s="3">
        <v>0.20699999999999999</v>
      </c>
      <c r="AM147" s="3">
        <v>0.01</v>
      </c>
      <c r="AN147" s="3">
        <v>0.43966666700000001</v>
      </c>
      <c r="AO147" s="3">
        <v>0.34499999999999997</v>
      </c>
    </row>
    <row r="148" spans="1:41" x14ac:dyDescent="0.3">
      <c r="A148" s="2" t="s">
        <v>319</v>
      </c>
      <c r="B148" s="2" t="s">
        <v>352</v>
      </c>
      <c r="C148" s="3">
        <v>0</v>
      </c>
      <c r="D148" s="3">
        <v>0.51</v>
      </c>
      <c r="E148" s="3">
        <v>0</v>
      </c>
      <c r="F148" s="3">
        <v>0.47299999999999998</v>
      </c>
      <c r="G148" s="3">
        <v>0</v>
      </c>
      <c r="H148" s="3">
        <v>0.48699999999999999</v>
      </c>
      <c r="I148" s="3">
        <v>0</v>
      </c>
      <c r="J148" s="3">
        <v>0.42</v>
      </c>
      <c r="K148" s="3">
        <v>0</v>
      </c>
      <c r="L148" s="3">
        <v>0.86399999999999999</v>
      </c>
      <c r="M148" s="3">
        <v>0</v>
      </c>
      <c r="N148" s="3">
        <v>0.47699999999999998</v>
      </c>
      <c r="O148" s="3">
        <v>0</v>
      </c>
      <c r="P148" s="3">
        <v>0.47699999999999998</v>
      </c>
      <c r="Q148" s="3">
        <v>0</v>
      </c>
      <c r="R148" s="3">
        <v>0.51</v>
      </c>
      <c r="S148" s="3">
        <v>0</v>
      </c>
      <c r="T148" s="3">
        <v>0.42299999999999999</v>
      </c>
      <c r="U148" s="3">
        <v>0</v>
      </c>
      <c r="V148" s="3">
        <v>0.41299999999999998</v>
      </c>
      <c r="W148" s="3">
        <v>0</v>
      </c>
      <c r="X148" s="3">
        <v>0.36699999999999999</v>
      </c>
      <c r="Y148" s="3">
        <v>0</v>
      </c>
      <c r="Z148" s="3">
        <v>0.28499999999999998</v>
      </c>
      <c r="AA148" s="3">
        <v>0</v>
      </c>
      <c r="AB148" s="3">
        <v>0.245</v>
      </c>
      <c r="AC148" s="3">
        <v>0.54449999999999998</v>
      </c>
      <c r="AD148" s="3">
        <v>0.69699999999999995</v>
      </c>
      <c r="AE148" s="3">
        <v>0.624</v>
      </c>
      <c r="AF148" s="3">
        <v>0.40933333300000002</v>
      </c>
      <c r="AG148" s="3">
        <v>0.50708333400000005</v>
      </c>
      <c r="AH148" s="3">
        <v>0.33600000000000002</v>
      </c>
      <c r="AI148" s="3">
        <v>0.65500000000000003</v>
      </c>
      <c r="AJ148" s="3">
        <v>0.46966666699999998</v>
      </c>
      <c r="AK148" s="3">
        <v>0.53849999999999998</v>
      </c>
      <c r="AL148" s="3">
        <v>0.17899999999999999</v>
      </c>
      <c r="AM148" s="3">
        <v>0.01</v>
      </c>
      <c r="AN148" s="3">
        <v>0.41433333300000003</v>
      </c>
      <c r="AO148" s="3">
        <v>0.29599999999999999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1EA8-9789-46E3-93ED-95C686BCD4C8}">
  <dimension ref="B1:C49"/>
  <sheetViews>
    <sheetView tabSelected="1" workbookViewId="0">
      <selection activeCell="B1" sqref="B1:C49"/>
    </sheetView>
  </sheetViews>
  <sheetFormatPr defaultRowHeight="14.4" x14ac:dyDescent="0.3"/>
  <sheetData>
    <row r="1" spans="2:3" x14ac:dyDescent="0.3">
      <c r="B1" s="15" t="s">
        <v>798</v>
      </c>
    </row>
    <row r="2" spans="2:3" x14ac:dyDescent="0.3">
      <c r="B2" s="15" t="s">
        <v>799</v>
      </c>
      <c r="C2" s="131" t="s">
        <v>800</v>
      </c>
    </row>
    <row r="3" spans="2:3" x14ac:dyDescent="0.3">
      <c r="B3" s="15" t="s">
        <v>801</v>
      </c>
      <c r="C3" s="131" t="s">
        <v>802</v>
      </c>
    </row>
    <row r="4" spans="2:3" x14ac:dyDescent="0.3">
      <c r="B4" s="15" t="s">
        <v>803</v>
      </c>
      <c r="C4" s="131" t="s">
        <v>804</v>
      </c>
    </row>
    <row r="5" spans="2:3" x14ac:dyDescent="0.3">
      <c r="B5" s="15" t="s">
        <v>805</v>
      </c>
      <c r="C5" s="131" t="s">
        <v>281</v>
      </c>
    </row>
    <row r="6" spans="2:3" x14ac:dyDescent="0.3">
      <c r="B6" s="15" t="s">
        <v>806</v>
      </c>
      <c r="C6" s="131" t="s">
        <v>282</v>
      </c>
    </row>
    <row r="7" spans="2:3" x14ac:dyDescent="0.3">
      <c r="B7" s="15" t="s">
        <v>807</v>
      </c>
      <c r="C7" s="131" t="s">
        <v>582</v>
      </c>
    </row>
    <row r="8" spans="2:3" x14ac:dyDescent="0.3">
      <c r="B8" s="15" t="s">
        <v>808</v>
      </c>
      <c r="C8" s="131" t="s">
        <v>586</v>
      </c>
    </row>
    <row r="9" spans="2:3" x14ac:dyDescent="0.3">
      <c r="B9" s="15" t="s">
        <v>809</v>
      </c>
      <c r="C9" s="131" t="s">
        <v>810</v>
      </c>
    </row>
    <row r="10" spans="2:3" x14ac:dyDescent="0.3">
      <c r="B10" s="15" t="s">
        <v>811</v>
      </c>
      <c r="C10" s="131" t="s">
        <v>812</v>
      </c>
    </row>
    <row r="11" spans="2:3" x14ac:dyDescent="0.3">
      <c r="B11" s="15" t="s">
        <v>813</v>
      </c>
      <c r="C11" s="131" t="s">
        <v>460</v>
      </c>
    </row>
    <row r="12" spans="2:3" x14ac:dyDescent="0.3">
      <c r="B12" s="15" t="s">
        <v>814</v>
      </c>
      <c r="C12" s="131" t="s">
        <v>815</v>
      </c>
    </row>
    <row r="13" spans="2:3" x14ac:dyDescent="0.3">
      <c r="B13" s="15" t="s">
        <v>816</v>
      </c>
      <c r="C13" s="131" t="s">
        <v>566</v>
      </c>
    </row>
    <row r="14" spans="2:3" x14ac:dyDescent="0.3">
      <c r="B14" s="15" t="s">
        <v>817</v>
      </c>
      <c r="C14" s="132" t="s">
        <v>818</v>
      </c>
    </row>
    <row r="15" spans="2:3" x14ac:dyDescent="0.3">
      <c r="B15" s="15" t="s">
        <v>819</v>
      </c>
      <c r="C15" s="132" t="s">
        <v>820</v>
      </c>
    </row>
    <row r="16" spans="2:3" x14ac:dyDescent="0.3">
      <c r="B16" s="15" t="s">
        <v>821</v>
      </c>
      <c r="C16" s="131" t="s">
        <v>822</v>
      </c>
    </row>
    <row r="17" spans="2:3" x14ac:dyDescent="0.3">
      <c r="B17" s="15" t="s">
        <v>823</v>
      </c>
      <c r="C17" s="131" t="s">
        <v>607</v>
      </c>
    </row>
    <row r="18" spans="2:3" x14ac:dyDescent="0.3">
      <c r="B18" s="15" t="s">
        <v>824</v>
      </c>
      <c r="C18" s="131" t="s">
        <v>608</v>
      </c>
    </row>
    <row r="19" spans="2:3" x14ac:dyDescent="0.3">
      <c r="B19" s="15" t="s">
        <v>825</v>
      </c>
      <c r="C19" s="131" t="s">
        <v>609</v>
      </c>
    </row>
    <row r="20" spans="2:3" x14ac:dyDescent="0.3">
      <c r="B20" s="15" t="s">
        <v>826</v>
      </c>
      <c r="C20" s="131" t="s">
        <v>827</v>
      </c>
    </row>
    <row r="21" spans="2:3" x14ac:dyDescent="0.3">
      <c r="B21" s="15" t="s">
        <v>828</v>
      </c>
      <c r="C21" s="133" t="s">
        <v>257</v>
      </c>
    </row>
    <row r="22" spans="2:3" x14ac:dyDescent="0.3">
      <c r="B22" s="15" t="s">
        <v>829</v>
      </c>
      <c r="C22" s="131" t="s">
        <v>557</v>
      </c>
    </row>
    <row r="23" spans="2:3" x14ac:dyDescent="0.3">
      <c r="B23" s="15" t="s">
        <v>830</v>
      </c>
      <c r="C23" s="131" t="s">
        <v>749</v>
      </c>
    </row>
    <row r="24" spans="2:3" x14ac:dyDescent="0.3">
      <c r="B24" s="15" t="s">
        <v>831</v>
      </c>
      <c r="C24" s="131" t="s">
        <v>747</v>
      </c>
    </row>
    <row r="25" spans="2:3" x14ac:dyDescent="0.3">
      <c r="B25" s="15" t="s">
        <v>832</v>
      </c>
      <c r="C25" s="131" t="s">
        <v>557</v>
      </c>
    </row>
    <row r="26" spans="2:3" x14ac:dyDescent="0.3">
      <c r="B26" s="15" t="s">
        <v>833</v>
      </c>
      <c r="C26" s="131" t="s">
        <v>741</v>
      </c>
    </row>
    <row r="27" spans="2:3" x14ac:dyDescent="0.3">
      <c r="B27" s="15" t="s">
        <v>834</v>
      </c>
      <c r="C27" s="131" t="s">
        <v>426</v>
      </c>
    </row>
    <row r="28" spans="2:3" x14ac:dyDescent="0.3">
      <c r="B28" s="15" t="s">
        <v>835</v>
      </c>
      <c r="C28" s="131" t="s">
        <v>634</v>
      </c>
    </row>
    <row r="29" spans="2:3" x14ac:dyDescent="0.3">
      <c r="B29" s="15" t="s">
        <v>836</v>
      </c>
      <c r="C29" t="s">
        <v>837</v>
      </c>
    </row>
    <row r="30" spans="2:3" x14ac:dyDescent="0.3">
      <c r="B30" s="15" t="s">
        <v>838</v>
      </c>
      <c r="C30" s="131" t="s">
        <v>639</v>
      </c>
    </row>
    <row r="31" spans="2:3" x14ac:dyDescent="0.3">
      <c r="B31" s="15" t="s">
        <v>838</v>
      </c>
      <c r="C31" s="131" t="s">
        <v>638</v>
      </c>
    </row>
    <row r="32" spans="2:3" x14ac:dyDescent="0.3">
      <c r="B32" s="15" t="s">
        <v>839</v>
      </c>
      <c r="C32" s="131" t="s">
        <v>840</v>
      </c>
    </row>
    <row r="33" spans="2:3" x14ac:dyDescent="0.3">
      <c r="B33" s="15" t="s">
        <v>841</v>
      </c>
      <c r="C33" s="131" t="s">
        <v>429</v>
      </c>
    </row>
    <row r="34" spans="2:3" x14ac:dyDescent="0.3">
      <c r="B34" s="15" t="s">
        <v>842</v>
      </c>
      <c r="C34" s="131" t="s">
        <v>456</v>
      </c>
    </row>
    <row r="35" spans="2:3" x14ac:dyDescent="0.3">
      <c r="B35" s="15" t="s">
        <v>843</v>
      </c>
      <c r="C35" s="131" t="s">
        <v>576</v>
      </c>
    </row>
    <row r="36" spans="2:3" x14ac:dyDescent="0.3">
      <c r="B36" s="15" t="s">
        <v>844</v>
      </c>
      <c r="C36" s="131" t="s">
        <v>529</v>
      </c>
    </row>
    <row r="37" spans="2:3" x14ac:dyDescent="0.3">
      <c r="B37" s="15" t="s">
        <v>845</v>
      </c>
      <c r="C37" s="131" t="s">
        <v>530</v>
      </c>
    </row>
    <row r="38" spans="2:3" x14ac:dyDescent="0.3">
      <c r="B38" s="15" t="s">
        <v>846</v>
      </c>
      <c r="C38" t="s">
        <v>847</v>
      </c>
    </row>
    <row r="39" spans="2:3" x14ac:dyDescent="0.3">
      <c r="B39" s="15" t="s">
        <v>845</v>
      </c>
      <c r="C39" s="134" t="s">
        <v>848</v>
      </c>
    </row>
    <row r="40" spans="2:3" x14ac:dyDescent="0.3">
      <c r="B40" s="15" t="s">
        <v>849</v>
      </c>
      <c r="C40" t="s">
        <v>759</v>
      </c>
    </row>
    <row r="41" spans="2:3" x14ac:dyDescent="0.3">
      <c r="B41" s="15" t="s">
        <v>850</v>
      </c>
      <c r="C41" s="131" t="s">
        <v>851</v>
      </c>
    </row>
    <row r="42" spans="2:3" x14ac:dyDescent="0.3">
      <c r="B42" s="15" t="s">
        <v>852</v>
      </c>
      <c r="C42" t="s">
        <v>748</v>
      </c>
    </row>
    <row r="43" spans="2:3" x14ac:dyDescent="0.3">
      <c r="B43" s="15" t="s">
        <v>853</v>
      </c>
      <c r="C43" s="131" t="s">
        <v>592</v>
      </c>
    </row>
    <row r="44" spans="2:3" x14ac:dyDescent="0.3">
      <c r="B44" s="15" t="s">
        <v>854</v>
      </c>
      <c r="C44" s="131" t="s">
        <v>855</v>
      </c>
    </row>
    <row r="45" spans="2:3" x14ac:dyDescent="0.3">
      <c r="B45" s="15" t="s">
        <v>850</v>
      </c>
      <c r="C45" s="131" t="s">
        <v>856</v>
      </c>
    </row>
    <row r="46" spans="2:3" x14ac:dyDescent="0.3">
      <c r="B46" s="15" t="s">
        <v>857</v>
      </c>
      <c r="C46" s="131" t="s">
        <v>800</v>
      </c>
    </row>
    <row r="47" spans="2:3" x14ac:dyDescent="0.3">
      <c r="B47" s="15" t="s">
        <v>858</v>
      </c>
      <c r="C47" s="131" t="s">
        <v>859</v>
      </c>
    </row>
    <row r="48" spans="2:3" x14ac:dyDescent="0.3">
      <c r="B48" s="15" t="s">
        <v>860</v>
      </c>
      <c r="C48" s="131" t="s">
        <v>460</v>
      </c>
    </row>
    <row r="49" spans="2:3" x14ac:dyDescent="0.3">
      <c r="B49" s="15" t="s">
        <v>861</v>
      </c>
      <c r="C49" s="131" t="s">
        <v>862</v>
      </c>
    </row>
  </sheetData>
  <hyperlinks>
    <hyperlink ref="C39" r:id="rId1" xr:uid="{0715BDE6-C5C4-4CCB-B213-83D25D46EA72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3BCD0-5F52-46FE-B9F4-429121255A69}">
  <dimension ref="A1:AS61"/>
  <sheetViews>
    <sheetView topLeftCell="A39" workbookViewId="0">
      <selection activeCell="J56" sqref="J56:J61"/>
    </sheetView>
  </sheetViews>
  <sheetFormatPr defaultColWidth="9.109375" defaultRowHeight="14.4" x14ac:dyDescent="0.3"/>
  <cols>
    <col min="1" max="2" width="9.109375" style="3"/>
    <col min="3" max="3" width="9.88671875" style="3" customWidth="1"/>
    <col min="4" max="16384" width="9.109375" style="3"/>
  </cols>
  <sheetData>
    <row r="1" spans="1:45" customFormat="1" ht="18" x14ac:dyDescent="0.35">
      <c r="A1" s="64" t="s">
        <v>507</v>
      </c>
    </row>
    <row r="2" spans="1:45" customFormat="1" x14ac:dyDescent="0.3">
      <c r="A2" s="55"/>
      <c r="B2" s="55"/>
      <c r="C2" s="56">
        <v>2020</v>
      </c>
      <c r="D2" s="56">
        <v>2021</v>
      </c>
      <c r="E2" s="56">
        <v>2022</v>
      </c>
      <c r="F2" s="56">
        <v>2023</v>
      </c>
      <c r="G2" s="56">
        <v>2024</v>
      </c>
      <c r="H2" s="56">
        <v>2025</v>
      </c>
      <c r="I2" s="56">
        <v>2026</v>
      </c>
      <c r="J2" s="56">
        <v>2027</v>
      </c>
      <c r="K2" s="56">
        <v>2028</v>
      </c>
      <c r="L2" s="56">
        <v>2029</v>
      </c>
      <c r="M2" s="56">
        <v>2030</v>
      </c>
      <c r="N2" s="56">
        <v>2031</v>
      </c>
      <c r="O2" s="56">
        <v>2032</v>
      </c>
      <c r="P2" s="56">
        <v>2033</v>
      </c>
      <c r="Q2" s="56">
        <v>2034</v>
      </c>
      <c r="R2" s="56">
        <v>2035</v>
      </c>
      <c r="S2" s="56">
        <v>2036</v>
      </c>
      <c r="T2" s="56">
        <v>2037</v>
      </c>
      <c r="U2" s="56">
        <v>2038</v>
      </c>
      <c r="V2" s="56">
        <v>2039</v>
      </c>
      <c r="W2" s="56">
        <v>2040</v>
      </c>
      <c r="X2" s="56">
        <v>2041</v>
      </c>
      <c r="Y2" s="56">
        <v>2042</v>
      </c>
      <c r="Z2" s="56">
        <v>2043</v>
      </c>
      <c r="AA2" s="56">
        <v>2044</v>
      </c>
      <c r="AB2" s="56">
        <v>2045</v>
      </c>
      <c r="AC2" s="56">
        <v>2046</v>
      </c>
      <c r="AD2" s="56">
        <v>2047</v>
      </c>
      <c r="AE2" s="56">
        <v>2048</v>
      </c>
      <c r="AF2" s="56">
        <v>2049</v>
      </c>
      <c r="AG2" s="56">
        <v>2050</v>
      </c>
    </row>
    <row r="3" spans="1:45" customFormat="1" x14ac:dyDescent="0.3">
      <c r="A3" s="54" t="s">
        <v>502</v>
      </c>
      <c r="B3" s="54"/>
      <c r="C3" s="54">
        <v>92.476805811156993</v>
      </c>
      <c r="D3" s="54">
        <v>91.343742760930752</v>
      </c>
      <c r="E3" s="54">
        <v>89.988817150479832</v>
      </c>
      <c r="F3" s="54">
        <v>88.318711287649649</v>
      </c>
      <c r="G3" s="54">
        <v>86.586151034716664</v>
      </c>
      <c r="H3" s="54">
        <v>84.420443375674637</v>
      </c>
      <c r="I3" s="54">
        <v>81.716360777718165</v>
      </c>
      <c r="J3" s="54">
        <v>78.443109937643456</v>
      </c>
      <c r="K3" s="54">
        <v>74.340025191940811</v>
      </c>
      <c r="L3" s="54">
        <v>70.432198157247527</v>
      </c>
      <c r="M3" s="54">
        <v>66.445015621343302</v>
      </c>
      <c r="N3" s="54">
        <v>63.220032459661617</v>
      </c>
      <c r="O3" s="54">
        <v>59.766920812833391</v>
      </c>
      <c r="P3" s="54">
        <v>55.874780594526506</v>
      </c>
      <c r="Q3" s="54">
        <v>51.535883623083016</v>
      </c>
      <c r="R3" s="54">
        <v>47.196244520171128</v>
      </c>
      <c r="S3" s="54">
        <v>43.058870179074894</v>
      </c>
      <c r="T3" s="54">
        <v>39.065887269112928</v>
      </c>
      <c r="U3" s="54">
        <v>35.044576231294265</v>
      </c>
      <c r="V3" s="54">
        <v>30.901904735340466</v>
      </c>
      <c r="W3" s="54">
        <v>26.630456294395138</v>
      </c>
      <c r="X3" s="54">
        <v>22.119680306740673</v>
      </c>
      <c r="Y3" s="54">
        <v>18.05378408110894</v>
      </c>
      <c r="Z3" s="54">
        <v>14.425170479315263</v>
      </c>
      <c r="AA3" s="54">
        <v>11.210173947830572</v>
      </c>
      <c r="AB3" s="54">
        <v>8.4719156838589047</v>
      </c>
      <c r="AC3" s="54">
        <v>6.0488995270128312</v>
      </c>
      <c r="AD3" s="54">
        <v>3.675503849361708</v>
      </c>
      <c r="AE3" s="54">
        <v>1.824580522757083</v>
      </c>
      <c r="AF3" s="54">
        <v>1.3557066207722706</v>
      </c>
      <c r="AG3" s="54">
        <v>1.1136548827048178</v>
      </c>
    </row>
    <row r="4" spans="1:45" customFormat="1" x14ac:dyDescent="0.3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</row>
    <row r="5" spans="1:45" customFormat="1" x14ac:dyDescent="0.3">
      <c r="A5" s="54" t="s">
        <v>503</v>
      </c>
      <c r="B5" s="54"/>
      <c r="C5" s="54">
        <v>51.263272514783218</v>
      </c>
      <c r="D5" s="54">
        <v>49.712941138375037</v>
      </c>
      <c r="E5" s="54">
        <v>48.479938885120937</v>
      </c>
      <c r="F5" s="54">
        <v>44.014273155995056</v>
      </c>
      <c r="G5" s="54">
        <v>44.436683718569597</v>
      </c>
      <c r="H5" s="54">
        <v>41.650080823645638</v>
      </c>
      <c r="I5" s="54">
        <v>32.364326552715603</v>
      </c>
      <c r="J5" s="54">
        <v>26.698395298828899</v>
      </c>
      <c r="K5" s="54">
        <v>23.753320044898835</v>
      </c>
      <c r="L5" s="54">
        <v>22.398434583544109</v>
      </c>
      <c r="M5" s="54">
        <v>18.553338879217417</v>
      </c>
      <c r="N5" s="54">
        <v>15.771201315518802</v>
      </c>
      <c r="O5" s="54">
        <v>12.090756801856742</v>
      </c>
      <c r="P5" s="54">
        <v>9.8571636825490643</v>
      </c>
      <c r="Q5" s="54">
        <v>8.004075039569738</v>
      </c>
      <c r="R5" s="54">
        <v>6.2011041979169237</v>
      </c>
      <c r="S5" s="54">
        <v>6.0132847826151306</v>
      </c>
      <c r="T5" s="54">
        <v>5.6654216901094134</v>
      </c>
      <c r="U5" s="54">
        <v>5.5231677189366923</v>
      </c>
      <c r="V5" s="54">
        <v>5.3894278129443851</v>
      </c>
      <c r="W5" s="54">
        <v>5.1051981267769087</v>
      </c>
      <c r="X5" s="54">
        <v>3.752184628141185</v>
      </c>
      <c r="Y5" s="54">
        <v>3.4523586987314405</v>
      </c>
      <c r="Z5" s="54">
        <v>3.3231410598262334</v>
      </c>
      <c r="AA5" s="54">
        <v>3.149805104228288</v>
      </c>
      <c r="AB5" s="54">
        <v>2.267351149440938</v>
      </c>
      <c r="AC5" s="54">
        <v>2.0162687158702113</v>
      </c>
      <c r="AD5" s="54">
        <v>1.605366273937157</v>
      </c>
      <c r="AE5" s="54">
        <v>1.489110131465341</v>
      </c>
      <c r="AF5" s="54">
        <v>1.3318718922897106</v>
      </c>
      <c r="AG5" s="54">
        <v>1.2054586224522785</v>
      </c>
    </row>
    <row r="6" spans="1:45" customFormat="1" x14ac:dyDescent="0.3">
      <c r="A6" s="57" t="s">
        <v>504</v>
      </c>
      <c r="B6" s="57"/>
      <c r="C6" s="57">
        <v>2020</v>
      </c>
      <c r="D6" s="57">
        <v>2021</v>
      </c>
      <c r="E6" s="57">
        <v>2022</v>
      </c>
      <c r="F6" s="57">
        <v>2023</v>
      </c>
      <c r="G6" s="57">
        <v>2024</v>
      </c>
      <c r="H6" s="57">
        <v>2025</v>
      </c>
      <c r="I6" s="57">
        <v>2026</v>
      </c>
      <c r="J6" s="57">
        <v>2027</v>
      </c>
      <c r="K6" s="57">
        <v>2028</v>
      </c>
      <c r="L6" s="57">
        <v>2029</v>
      </c>
      <c r="M6" s="57">
        <v>2030</v>
      </c>
      <c r="N6" s="57">
        <v>2031</v>
      </c>
      <c r="O6" s="57">
        <v>2032</v>
      </c>
      <c r="P6" s="57">
        <v>2033</v>
      </c>
      <c r="Q6" s="57">
        <v>2034</v>
      </c>
      <c r="R6" s="57">
        <v>2035</v>
      </c>
      <c r="S6" s="57">
        <v>2036</v>
      </c>
      <c r="T6" s="57">
        <v>2037</v>
      </c>
      <c r="U6" s="57">
        <v>2038</v>
      </c>
      <c r="V6" s="57">
        <v>2039</v>
      </c>
      <c r="W6" s="57">
        <v>2040</v>
      </c>
      <c r="X6" s="57">
        <v>2041</v>
      </c>
      <c r="Y6" s="57">
        <v>2042</v>
      </c>
      <c r="Z6" s="57">
        <v>2043</v>
      </c>
      <c r="AA6" s="57">
        <v>2044</v>
      </c>
      <c r="AB6" s="57">
        <v>2045</v>
      </c>
      <c r="AC6" s="57">
        <v>2046</v>
      </c>
      <c r="AD6" s="57">
        <v>2047</v>
      </c>
      <c r="AE6" s="57">
        <v>2048</v>
      </c>
      <c r="AF6" s="57">
        <v>2049</v>
      </c>
      <c r="AG6" s="57">
        <v>2050</v>
      </c>
    </row>
    <row r="7" spans="1:45" customFormat="1" x14ac:dyDescent="0.3">
      <c r="A7" s="59" t="s">
        <v>505</v>
      </c>
      <c r="B7" s="58"/>
      <c r="C7" s="60">
        <v>0</v>
      </c>
      <c r="D7" s="60">
        <v>0</v>
      </c>
      <c r="E7" s="60">
        <v>0</v>
      </c>
      <c r="F7" s="60">
        <v>0</v>
      </c>
      <c r="G7" s="60">
        <v>0</v>
      </c>
      <c r="H7" s="60">
        <v>0</v>
      </c>
      <c r="I7" s="60">
        <v>0</v>
      </c>
      <c r="J7" s="60">
        <v>1.0149903352990937</v>
      </c>
      <c r="K7" s="60">
        <v>0.97586238214637078</v>
      </c>
      <c r="L7" s="60">
        <v>3.5616338878128588</v>
      </c>
      <c r="M7" s="60">
        <v>3.4476626164383899</v>
      </c>
      <c r="N7" s="60">
        <v>4.203601516913924</v>
      </c>
      <c r="O7" s="60">
        <v>7.9297718487205771</v>
      </c>
      <c r="P7" s="60">
        <v>11.752028937111131</v>
      </c>
      <c r="Q7" s="60">
        <v>13.724774425996003</v>
      </c>
      <c r="R7" s="60">
        <v>14.374511173128713</v>
      </c>
      <c r="S7" s="60">
        <v>14.935872433454882</v>
      </c>
      <c r="T7" s="60">
        <v>15.72369622364114</v>
      </c>
      <c r="U7" s="60">
        <v>16.681362780654485</v>
      </c>
      <c r="V7" s="60">
        <v>17.728960023049606</v>
      </c>
      <c r="W7" s="60">
        <v>18.412247929155697</v>
      </c>
      <c r="X7" s="60">
        <v>18.537021036054455</v>
      </c>
      <c r="Y7" s="60">
        <v>18.378377144347823</v>
      </c>
      <c r="Z7" s="60">
        <v>18.38121796159303</v>
      </c>
      <c r="AA7" s="60">
        <v>18.684756175392454</v>
      </c>
      <c r="AB7" s="60">
        <v>18.698526972975269</v>
      </c>
      <c r="AC7" s="60">
        <v>18.779750258672038</v>
      </c>
      <c r="AD7" s="60">
        <v>18.852481290331934</v>
      </c>
      <c r="AE7" s="60">
        <v>19.023765758424005</v>
      </c>
      <c r="AF7" s="60">
        <v>19.288394888157448</v>
      </c>
      <c r="AG7" s="60">
        <v>19.106303690749428</v>
      </c>
    </row>
    <row r="8" spans="1:45" customFormat="1" x14ac:dyDescent="0.3">
      <c r="A8" s="59" t="s">
        <v>506</v>
      </c>
      <c r="B8" s="59"/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0.51607742787744482</v>
      </c>
      <c r="N8" s="60">
        <v>1.0097752956851331</v>
      </c>
      <c r="O8" s="60">
        <v>1.5353980685654283</v>
      </c>
      <c r="P8" s="60">
        <v>2.0978316798924457</v>
      </c>
      <c r="Q8" s="60">
        <v>2.6581634788961281</v>
      </c>
      <c r="R8" s="60">
        <v>3.2311660063177436</v>
      </c>
      <c r="S8" s="60">
        <v>3.7815896676011116</v>
      </c>
      <c r="T8" s="60">
        <v>4.3982414862462527</v>
      </c>
      <c r="U8" s="60">
        <v>5.0805625449369138</v>
      </c>
      <c r="V8" s="60">
        <v>5.8132968598635681</v>
      </c>
      <c r="W8" s="60">
        <v>6.4440476119217278</v>
      </c>
      <c r="X8" s="60">
        <v>7.1525816580267225</v>
      </c>
      <c r="Y8" s="60">
        <v>7.7669764915729793</v>
      </c>
      <c r="Z8" s="60">
        <v>8.458135882861697</v>
      </c>
      <c r="AA8" s="60">
        <v>9.3128377590246956</v>
      </c>
      <c r="AB8" s="60">
        <v>10.053729129977146</v>
      </c>
      <c r="AC8" s="60">
        <v>10.851093902965987</v>
      </c>
      <c r="AD8" s="60">
        <v>11.667408827433096</v>
      </c>
      <c r="AE8" s="60">
        <v>12.572172491172536</v>
      </c>
      <c r="AF8" s="60">
        <v>13.575171947663113</v>
      </c>
      <c r="AG8" s="60">
        <v>14.291390876685723</v>
      </c>
    </row>
    <row r="9" spans="1:45" customFormat="1" x14ac:dyDescent="0.3"/>
    <row r="10" spans="1:45" customFormat="1" x14ac:dyDescent="0.3">
      <c r="A10" t="s">
        <v>508</v>
      </c>
      <c r="C10" s="36">
        <f>C3-C8</f>
        <v>92.476805811156993</v>
      </c>
      <c r="D10" s="36">
        <f t="shared" ref="D10:AG10" si="0">D3-D8</f>
        <v>91.343742760930752</v>
      </c>
      <c r="E10" s="36">
        <f t="shared" si="0"/>
        <v>89.988817150479832</v>
      </c>
      <c r="F10" s="36">
        <f t="shared" si="0"/>
        <v>88.318711287649649</v>
      </c>
      <c r="G10" s="36">
        <f t="shared" si="0"/>
        <v>86.586151034716664</v>
      </c>
      <c r="H10" s="36">
        <f t="shared" si="0"/>
        <v>84.420443375674637</v>
      </c>
      <c r="I10" s="36">
        <f t="shared" si="0"/>
        <v>81.716360777718165</v>
      </c>
      <c r="J10" s="36">
        <f t="shared" si="0"/>
        <v>78.443109937643456</v>
      </c>
      <c r="K10" s="36">
        <f t="shared" si="0"/>
        <v>74.340025191940811</v>
      </c>
      <c r="L10" s="36">
        <f t="shared" si="0"/>
        <v>70.432198157247527</v>
      </c>
      <c r="M10" s="36">
        <f t="shared" si="0"/>
        <v>65.928938193465854</v>
      </c>
      <c r="N10" s="36">
        <f t="shared" si="0"/>
        <v>62.210257163976486</v>
      </c>
      <c r="O10" s="36">
        <f t="shared" si="0"/>
        <v>58.231522744267963</v>
      </c>
      <c r="P10" s="36">
        <f t="shared" si="0"/>
        <v>53.776948914634062</v>
      </c>
      <c r="Q10" s="36">
        <f t="shared" si="0"/>
        <v>48.877720144186888</v>
      </c>
      <c r="R10" s="36">
        <f t="shared" si="0"/>
        <v>43.965078513853385</v>
      </c>
      <c r="S10" s="36">
        <f t="shared" si="0"/>
        <v>39.277280511473784</v>
      </c>
      <c r="T10" s="36">
        <f t="shared" si="0"/>
        <v>34.667645782866671</v>
      </c>
      <c r="U10" s="36">
        <f t="shared" si="0"/>
        <v>29.964013686357351</v>
      </c>
      <c r="V10" s="36">
        <f t="shared" si="0"/>
        <v>25.088607875476896</v>
      </c>
      <c r="W10" s="36">
        <f t="shared" si="0"/>
        <v>20.186408682473409</v>
      </c>
      <c r="X10" s="36">
        <f>X3-X8</f>
        <v>14.96709864871395</v>
      </c>
      <c r="Y10" s="36">
        <f t="shared" si="0"/>
        <v>10.286807589535961</v>
      </c>
      <c r="Z10" s="36">
        <f t="shared" si="0"/>
        <v>5.9670345964535656</v>
      </c>
      <c r="AA10" s="36">
        <f t="shared" si="0"/>
        <v>1.8973361888058768</v>
      </c>
      <c r="AB10" s="36">
        <f t="shared" si="0"/>
        <v>-1.5818134461182414</v>
      </c>
      <c r="AC10" s="36">
        <f t="shared" si="0"/>
        <v>-4.8021943759531558</v>
      </c>
      <c r="AD10" s="36">
        <f t="shared" si="0"/>
        <v>-7.9919049780713882</v>
      </c>
      <c r="AE10" s="36">
        <f t="shared" si="0"/>
        <v>-10.747591968415453</v>
      </c>
      <c r="AF10" s="36">
        <f t="shared" si="0"/>
        <v>-12.219465326890843</v>
      </c>
      <c r="AG10" s="36">
        <f t="shared" si="0"/>
        <v>-13.177735993980905</v>
      </c>
    </row>
    <row r="11" spans="1:45" customFormat="1" x14ac:dyDescent="0.3">
      <c r="A11" t="s">
        <v>509</v>
      </c>
      <c r="C11" s="36">
        <f>C5-C8</f>
        <v>51.263272514783218</v>
      </c>
      <c r="D11" s="36">
        <f>D5-D8</f>
        <v>49.712941138375037</v>
      </c>
      <c r="E11" s="36">
        <f>E5-E8</f>
        <v>48.479938885120937</v>
      </c>
      <c r="F11" s="36">
        <f>F5-F8</f>
        <v>44.014273155995056</v>
      </c>
      <c r="G11" s="36">
        <f t="shared" ref="G11:AG11" si="1">G5-G8</f>
        <v>44.436683718569597</v>
      </c>
      <c r="H11" s="36">
        <f t="shared" si="1"/>
        <v>41.650080823645638</v>
      </c>
      <c r="I11" s="36">
        <f t="shared" si="1"/>
        <v>32.364326552715603</v>
      </c>
      <c r="J11" s="36">
        <f t="shared" si="1"/>
        <v>26.698395298828899</v>
      </c>
      <c r="K11" s="36">
        <f t="shared" si="1"/>
        <v>23.753320044898835</v>
      </c>
      <c r="L11" s="36">
        <f t="shared" si="1"/>
        <v>22.398434583544109</v>
      </c>
      <c r="M11" s="36">
        <f t="shared" si="1"/>
        <v>18.037261451339972</v>
      </c>
      <c r="N11" s="36">
        <f t="shared" si="1"/>
        <v>14.761426019833669</v>
      </c>
      <c r="O11" s="36">
        <f t="shared" si="1"/>
        <v>10.555358733291314</v>
      </c>
      <c r="P11" s="36">
        <f t="shared" si="1"/>
        <v>7.7593320026566186</v>
      </c>
      <c r="Q11" s="36">
        <f t="shared" si="1"/>
        <v>5.3459115606736098</v>
      </c>
      <c r="R11" s="36">
        <f t="shared" si="1"/>
        <v>2.96993819159918</v>
      </c>
      <c r="S11" s="36">
        <f t="shared" si="1"/>
        <v>2.231695115014019</v>
      </c>
      <c r="T11" s="36">
        <f t="shared" si="1"/>
        <v>1.2671802038631608</v>
      </c>
      <c r="U11" s="36">
        <f t="shared" si="1"/>
        <v>0.4426051739997785</v>
      </c>
      <c r="V11" s="36">
        <f>V5-V8</f>
        <v>-0.42386904691918303</v>
      </c>
      <c r="W11" s="36">
        <f t="shared" si="1"/>
        <v>-1.3388494851448192</v>
      </c>
      <c r="X11" s="36">
        <f t="shared" si="1"/>
        <v>-3.4003970298855375</v>
      </c>
      <c r="Y11" s="36">
        <f t="shared" si="1"/>
        <v>-4.3146177928415383</v>
      </c>
      <c r="Z11" s="36">
        <f t="shared" si="1"/>
        <v>-5.1349948230354636</v>
      </c>
      <c r="AA11" s="36">
        <f t="shared" si="1"/>
        <v>-6.1630326547964076</v>
      </c>
      <c r="AB11" s="36">
        <f t="shared" si="1"/>
        <v>-7.7863779805362086</v>
      </c>
      <c r="AC11" s="36">
        <f t="shared" si="1"/>
        <v>-8.8348251870957757</v>
      </c>
      <c r="AD11" s="36">
        <f t="shared" si="1"/>
        <v>-10.062042553495939</v>
      </c>
      <c r="AE11" s="36">
        <f t="shared" si="1"/>
        <v>-11.083062359707196</v>
      </c>
      <c r="AF11" s="36">
        <f t="shared" si="1"/>
        <v>-12.243300055373403</v>
      </c>
      <c r="AG11" s="36">
        <f t="shared" si="1"/>
        <v>-13.085932254233445</v>
      </c>
    </row>
    <row r="12" spans="1:45" customFormat="1" x14ac:dyDescent="0.3"/>
    <row r="13" spans="1:45" customFormat="1" x14ac:dyDescent="0.3"/>
    <row r="14" spans="1:45" customFormat="1" x14ac:dyDescent="0.3"/>
    <row r="15" spans="1:45" customFormat="1" x14ac:dyDescent="0.3"/>
    <row r="16" spans="1:45" customForma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customFormat="1" ht="18" x14ac:dyDescent="0.35">
      <c r="A17" s="66" t="s">
        <v>648</v>
      </c>
      <c r="B17" s="3"/>
      <c r="C17" s="3"/>
      <c r="D17" s="3" t="s">
        <v>536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customForma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customForma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customFormat="1" x14ac:dyDescent="0.3">
      <c r="A20" s="3"/>
      <c r="B20" s="3"/>
      <c r="C20" s="72" t="s">
        <v>509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customFormat="1" x14ac:dyDescent="0.3">
      <c r="A21" s="3"/>
      <c r="B21" s="3"/>
      <c r="C21" s="69" t="s">
        <v>537</v>
      </c>
      <c r="D21" s="69" t="s">
        <v>538</v>
      </c>
      <c r="E21" s="69" t="s">
        <v>539</v>
      </c>
      <c r="F21" s="69" t="s">
        <v>540</v>
      </c>
      <c r="G21" s="69" t="s">
        <v>541</v>
      </c>
      <c r="H21" s="69" t="s">
        <v>542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customFormat="1" x14ac:dyDescent="0.3">
      <c r="A22" s="3"/>
      <c r="B22" s="29" t="s">
        <v>543</v>
      </c>
      <c r="C22" s="67">
        <v>250.67599999999999</v>
      </c>
      <c r="D22" s="67">
        <v>269.75700000000001</v>
      </c>
      <c r="E22" s="67">
        <v>317.73</v>
      </c>
      <c r="F22" s="67">
        <v>366.41300000000001</v>
      </c>
      <c r="G22" s="67">
        <v>385.209</v>
      </c>
      <c r="H22" s="67">
        <v>386.447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customFormat="1" x14ac:dyDescent="0.3">
      <c r="A23" s="3"/>
      <c r="B23" s="29"/>
      <c r="C23" s="67"/>
      <c r="D23" s="67"/>
      <c r="E23" s="67"/>
      <c r="F23" s="67"/>
      <c r="G23" s="67"/>
      <c r="H23" s="6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 customFormat="1" x14ac:dyDescent="0.3">
      <c r="A24" s="3"/>
      <c r="B24" s="29">
        <v>2015</v>
      </c>
      <c r="C24" s="28">
        <v>1</v>
      </c>
      <c r="D24" s="28">
        <v>2</v>
      </c>
      <c r="E24" s="28">
        <v>3</v>
      </c>
      <c r="F24" s="28">
        <v>4</v>
      </c>
      <c r="G24" s="28">
        <v>5</v>
      </c>
      <c r="H24" s="28">
        <v>6</v>
      </c>
      <c r="I24" s="3"/>
      <c r="J24" s="29">
        <v>2017</v>
      </c>
      <c r="K24" s="28">
        <v>1</v>
      </c>
      <c r="L24" s="28">
        <v>2</v>
      </c>
      <c r="M24" s="28">
        <v>3</v>
      </c>
      <c r="N24" s="28">
        <v>4</v>
      </c>
      <c r="O24" s="28">
        <v>5</v>
      </c>
      <c r="P24" s="28">
        <v>6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customFormat="1" x14ac:dyDescent="0.3">
      <c r="A25" s="3"/>
      <c r="B25" s="29"/>
      <c r="C25" s="70">
        <v>0.85728380097988099</v>
      </c>
      <c r="D25" s="70">
        <v>0.92253868061134603</v>
      </c>
      <c r="E25" s="70">
        <v>1.0866009593472754</v>
      </c>
      <c r="F25" s="70">
        <v>1.2530913584405414</v>
      </c>
      <c r="G25" s="70">
        <v>1.3173715700412445</v>
      </c>
      <c r="H25" s="70">
        <v>1.321605391171361</v>
      </c>
      <c r="I25" s="3"/>
      <c r="J25" s="70"/>
      <c r="K25" s="70">
        <v>0.90295502763389768</v>
      </c>
      <c r="L25" s="70">
        <v>0.97168631775454117</v>
      </c>
      <c r="M25" s="70">
        <v>1.1444889057194081</v>
      </c>
      <c r="N25" s="70">
        <v>1.3198489705453229</v>
      </c>
      <c r="O25" s="70">
        <v>1.3875536678414611</v>
      </c>
      <c r="P25" s="70">
        <v>1.3920130429879083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 customFormat="1" x14ac:dyDescent="0.3">
      <c r="A26" s="3"/>
      <c r="B26" s="29"/>
      <c r="C26" s="70"/>
      <c r="D26" s="70"/>
      <c r="E26" s="70"/>
      <c r="F26" s="70"/>
      <c r="G26" s="70"/>
      <c r="H26" s="70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customFormat="1" x14ac:dyDescent="0.3">
      <c r="A27" s="3"/>
      <c r="B27" s="29"/>
      <c r="C27" s="67"/>
      <c r="D27" s="67"/>
      <c r="E27" s="67"/>
      <c r="F27" s="67"/>
      <c r="G27" s="67"/>
      <c r="H27" s="6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 customForma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customFormat="1" x14ac:dyDescent="0.3">
      <c r="A29" s="3"/>
      <c r="B29" s="3"/>
      <c r="C29" s="71" t="s">
        <v>544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customFormat="1" x14ac:dyDescent="0.3">
      <c r="A30" s="3"/>
      <c r="B30" s="3"/>
      <c r="C30" s="65" t="s">
        <v>537</v>
      </c>
      <c r="D30" s="65" t="s">
        <v>538</v>
      </c>
      <c r="E30" s="65" t="s">
        <v>539</v>
      </c>
      <c r="F30" s="65" t="s">
        <v>540</v>
      </c>
      <c r="G30" s="65" t="s">
        <v>541</v>
      </c>
      <c r="H30" s="65" t="s">
        <v>542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customFormat="1" x14ac:dyDescent="0.3">
      <c r="A31" s="3"/>
      <c r="B31" s="29" t="s">
        <v>543</v>
      </c>
      <c r="C31" s="68">
        <v>340.47936612255131</v>
      </c>
      <c r="D31" s="68">
        <v>324.61869519372306</v>
      </c>
      <c r="E31" s="68">
        <v>315.8935801316461</v>
      </c>
      <c r="F31" s="68">
        <v>379.24354360528923</v>
      </c>
      <c r="G31" s="68">
        <v>440.47413115277635</v>
      </c>
      <c r="H31" s="68">
        <v>481.21310383602872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customForma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customFormat="1" x14ac:dyDescent="0.3">
      <c r="A33" s="3"/>
      <c r="B33" s="29">
        <v>2015</v>
      </c>
      <c r="C33" s="28">
        <v>1</v>
      </c>
      <c r="D33" s="28">
        <v>2</v>
      </c>
      <c r="E33" s="28">
        <v>3</v>
      </c>
      <c r="F33" s="28">
        <v>4</v>
      </c>
      <c r="G33" s="28">
        <v>5</v>
      </c>
      <c r="H33" s="28">
        <v>6</v>
      </c>
      <c r="I33" s="3"/>
      <c r="J33" s="29">
        <v>2017</v>
      </c>
      <c r="K33" s="28">
        <v>1</v>
      </c>
      <c r="L33" s="28">
        <v>2</v>
      </c>
      <c r="M33" s="28">
        <v>3</v>
      </c>
      <c r="N33" s="28">
        <v>4</v>
      </c>
      <c r="O33" s="28">
        <v>5</v>
      </c>
      <c r="P33" s="28">
        <v>6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 customFormat="1" x14ac:dyDescent="0.3">
      <c r="A34" s="3"/>
      <c r="B34" s="3"/>
      <c r="C34" s="70">
        <v>1.3237271259554788</v>
      </c>
      <c r="D34" s="70">
        <v>1.2620634763092724</v>
      </c>
      <c r="E34" s="70">
        <v>1.2281416806472212</v>
      </c>
      <c r="F34" s="70">
        <v>1.4744357983593837</v>
      </c>
      <c r="G34" s="70">
        <v>1.7124901350959794</v>
      </c>
      <c r="H34" s="70">
        <v>1.8708764826697408</v>
      </c>
      <c r="I34" s="3"/>
      <c r="J34" s="3"/>
      <c r="K34" s="70">
        <v>1.307810391691226</v>
      </c>
      <c r="L34" s="70">
        <v>1.2468881969158445</v>
      </c>
      <c r="M34" s="70">
        <v>1.2133742830571741</v>
      </c>
      <c r="N34" s="70">
        <v>1.4567069157732178</v>
      </c>
      <c r="O34" s="70">
        <v>1.6918988441297218</v>
      </c>
      <c r="P34" s="70">
        <v>1.8483807256273672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customFormat="1" x14ac:dyDescent="0.3">
      <c r="A35" s="3"/>
      <c r="B35" s="3"/>
      <c r="C35" s="70"/>
      <c r="D35" s="70"/>
      <c r="E35" s="70"/>
      <c r="F35" s="70"/>
      <c r="G35" s="70"/>
      <c r="H35" s="70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 customForma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customFormat="1" ht="18" x14ac:dyDescent="0.35">
      <c r="A37" s="66" t="s">
        <v>649</v>
      </c>
      <c r="B37" s="3"/>
      <c r="C37" s="3"/>
      <c r="D37" s="3" t="s">
        <v>536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customForma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customForma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customFormat="1" x14ac:dyDescent="0.3">
      <c r="A40" s="3"/>
      <c r="B40" s="3"/>
      <c r="C40" s="28">
        <v>1</v>
      </c>
      <c r="D40" s="28">
        <v>2</v>
      </c>
      <c r="E40" s="28">
        <v>3</v>
      </c>
      <c r="F40" s="28">
        <v>4</v>
      </c>
      <c r="G40" s="28">
        <v>5</v>
      </c>
      <c r="H40" s="28">
        <v>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customFormat="1" x14ac:dyDescent="0.3">
      <c r="A41" s="3"/>
      <c r="B41" s="3"/>
      <c r="C41" s="98">
        <v>0.85731953461011434</v>
      </c>
      <c r="D41" s="98">
        <v>0.92854863310214109</v>
      </c>
      <c r="E41" s="98">
        <v>1.075729417276349</v>
      </c>
      <c r="F41" s="99">
        <v>1.2239362994952288</v>
      </c>
      <c r="G41" s="99">
        <v>1.271968819018567</v>
      </c>
      <c r="H41" s="99">
        <v>1.2647329432775254</v>
      </c>
      <c r="I41" s="3"/>
      <c r="J41" s="3"/>
      <c r="K41" s="3"/>
      <c r="L41" s="3"/>
      <c r="M41" s="3"/>
      <c r="N41" s="3"/>
      <c r="O41" s="3"/>
      <c r="P41" s="28">
        <v>1</v>
      </c>
      <c r="Q41" s="3">
        <v>0.86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customForma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28">
        <v>2</v>
      </c>
      <c r="Q42" s="3">
        <v>0.93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customFormat="1" x14ac:dyDescent="0.3">
      <c r="A43" s="3"/>
      <c r="B43" s="3"/>
      <c r="C43" s="3"/>
      <c r="D43" s="3"/>
      <c r="E43" s="3"/>
      <c r="F43" s="3"/>
      <c r="G43" s="3"/>
      <c r="H43" s="3"/>
      <c r="I43" s="3"/>
      <c r="J43" s="3" t="s">
        <v>758</v>
      </c>
      <c r="K43" s="3"/>
      <c r="L43" s="3"/>
      <c r="M43" s="3"/>
      <c r="N43" s="3"/>
      <c r="O43" s="3"/>
      <c r="P43" s="28">
        <v>3</v>
      </c>
      <c r="Q43" s="3">
        <v>1.08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customFormat="1" x14ac:dyDescent="0.3">
      <c r="A44" s="3"/>
      <c r="B44" s="3"/>
      <c r="C44" s="28">
        <v>1</v>
      </c>
      <c r="D44" s="28">
        <v>2</v>
      </c>
      <c r="E44" s="28">
        <v>3</v>
      </c>
      <c r="F44" s="28">
        <v>4</v>
      </c>
      <c r="G44" s="28">
        <v>5</v>
      </c>
      <c r="H44" s="28">
        <v>6</v>
      </c>
      <c r="I44" s="3"/>
      <c r="J44" s="28">
        <v>1</v>
      </c>
      <c r="K44" s="28">
        <v>2</v>
      </c>
      <c r="L44" s="28">
        <v>3</v>
      </c>
      <c r="M44" s="28">
        <v>4</v>
      </c>
      <c r="N44" s="28">
        <v>5</v>
      </c>
      <c r="O44" s="28">
        <v>6</v>
      </c>
      <c r="P44" s="28">
        <v>4</v>
      </c>
      <c r="Q44" s="3">
        <v>1.22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customFormat="1" x14ac:dyDescent="0.3">
      <c r="A45" s="3"/>
      <c r="B45" s="3"/>
      <c r="C45" s="98">
        <v>0.97963837336512916</v>
      </c>
      <c r="D45" s="98">
        <v>0.91154915444907547</v>
      </c>
      <c r="E45" s="98">
        <v>0.93476985986219718</v>
      </c>
      <c r="F45" s="98">
        <v>1.0978358648391009</v>
      </c>
      <c r="G45" s="98">
        <v>1.2776728388052929</v>
      </c>
      <c r="H45" s="99">
        <v>1.3971245113916475</v>
      </c>
      <c r="I45" s="3"/>
      <c r="J45" s="98">
        <v>0.97963837336512916</v>
      </c>
      <c r="K45" s="98">
        <v>0.93476985986219718</v>
      </c>
      <c r="L45" s="98">
        <v>0.91154915444907547</v>
      </c>
      <c r="M45" s="98">
        <v>1.0978358648391009</v>
      </c>
      <c r="N45" s="98">
        <v>1.2776728388052929</v>
      </c>
      <c r="O45" s="99">
        <v>1.3971245113916475</v>
      </c>
      <c r="P45" s="28">
        <v>5</v>
      </c>
      <c r="Q45" s="3">
        <v>1.27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customForma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28">
        <v>6</v>
      </c>
      <c r="Q46" s="3">
        <v>1.26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customForma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customFormat="1" ht="18" x14ac:dyDescent="0.35">
      <c r="A48" s="66" t="s">
        <v>649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 customFormat="1" x14ac:dyDescent="0.3">
      <c r="A49" s="3"/>
      <c r="B49" s="3"/>
      <c r="C49" s="28">
        <v>1</v>
      </c>
      <c r="D49" s="28">
        <v>2</v>
      </c>
      <c r="E49" s="28">
        <v>3</v>
      </c>
      <c r="F49" s="28">
        <v>4</v>
      </c>
      <c r="G49" s="28">
        <v>5</v>
      </c>
      <c r="H49" s="28">
        <v>6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customFormat="1" x14ac:dyDescent="0.3">
      <c r="A50" s="3"/>
      <c r="B50" s="3"/>
      <c r="C50" s="98">
        <v>0.86868678060932691</v>
      </c>
      <c r="D50" s="98">
        <v>0.97481061769241584</v>
      </c>
      <c r="E50" s="98">
        <v>1.1672544023094635</v>
      </c>
      <c r="F50" s="99">
        <v>1.3562088788604245</v>
      </c>
      <c r="G50" s="99">
        <v>1.4452599017087255</v>
      </c>
      <c r="H50" s="99">
        <v>1.464104321377685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customForma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customFormat="1" x14ac:dyDescent="0.3">
      <c r="A52" s="3"/>
      <c r="B52" s="3" t="s">
        <v>707</v>
      </c>
      <c r="C52" s="28">
        <v>1</v>
      </c>
      <c r="D52" s="28">
        <v>2</v>
      </c>
      <c r="E52" s="28">
        <v>3</v>
      </c>
      <c r="F52" s="28">
        <v>4</v>
      </c>
      <c r="G52" s="28">
        <v>5</v>
      </c>
      <c r="H52" s="28">
        <v>6</v>
      </c>
      <c r="I52" s="3" t="s">
        <v>708</v>
      </c>
      <c r="J52" s="28">
        <v>1</v>
      </c>
      <c r="K52" s="28">
        <v>2</v>
      </c>
      <c r="L52" s="28">
        <v>3</v>
      </c>
      <c r="M52" s="28">
        <v>4</v>
      </c>
      <c r="N52" s="28">
        <v>5</v>
      </c>
      <c r="O52" s="28">
        <v>6</v>
      </c>
      <c r="P52" s="3" t="s">
        <v>709</v>
      </c>
      <c r="Q52" s="28">
        <v>1</v>
      </c>
      <c r="R52" s="28">
        <v>2</v>
      </c>
      <c r="S52" s="28">
        <v>3</v>
      </c>
      <c r="T52" s="28">
        <v>4</v>
      </c>
      <c r="U52" s="28">
        <v>5</v>
      </c>
      <c r="V52" s="28">
        <v>6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customFormat="1" x14ac:dyDescent="0.3">
      <c r="A53" s="3"/>
      <c r="B53" s="3"/>
      <c r="C53" s="98">
        <v>1.209332634135049</v>
      </c>
      <c r="D53" s="98">
        <v>1.114340915855266</v>
      </c>
      <c r="E53" s="98">
        <v>1.1778926352688843</v>
      </c>
      <c r="F53" s="98">
        <v>1.319705051707603</v>
      </c>
      <c r="G53" s="98">
        <v>1.5107398179249871</v>
      </c>
      <c r="H53" s="99">
        <v>1.7274781335185261</v>
      </c>
      <c r="I53" s="3"/>
      <c r="J53" s="98">
        <v>1.2790719241670325</v>
      </c>
      <c r="K53" s="98">
        <v>1.3384163422756008</v>
      </c>
      <c r="L53" s="98">
        <v>1.3890768430557612</v>
      </c>
      <c r="M53" s="98">
        <v>1.5694729117559914</v>
      </c>
      <c r="N53" s="98">
        <v>1.8370417904738829</v>
      </c>
      <c r="O53" s="99">
        <v>2.1106399615915055</v>
      </c>
      <c r="P53" s="3"/>
      <c r="Q53" s="117">
        <v>1</v>
      </c>
      <c r="R53" s="117">
        <v>1.01</v>
      </c>
      <c r="S53" s="117">
        <v>1.05</v>
      </c>
      <c r="T53" s="117">
        <v>1.1599999999999999</v>
      </c>
      <c r="U53" s="117">
        <v>1.26</v>
      </c>
      <c r="V53" s="118">
        <v>1.39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customForma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customFormat="1" x14ac:dyDescent="0.3">
      <c r="A55" s="3"/>
      <c r="B55" s="3"/>
      <c r="C55" s="3" t="s">
        <v>758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 customFormat="1" x14ac:dyDescent="0.3">
      <c r="A56" s="3"/>
      <c r="B56" s="3"/>
      <c r="C56" s="28">
        <v>1</v>
      </c>
      <c r="D56" s="28">
        <v>2</v>
      </c>
      <c r="E56" s="28">
        <v>3</v>
      </c>
      <c r="F56" s="28">
        <v>4</v>
      </c>
      <c r="G56" s="28">
        <v>5</v>
      </c>
      <c r="H56" s="28">
        <v>6</v>
      </c>
      <c r="I56" s="3"/>
      <c r="J56" s="28">
        <v>1</v>
      </c>
      <c r="K56" s="3">
        <v>1.21</v>
      </c>
      <c r="L56" s="3">
        <v>1.28</v>
      </c>
      <c r="M56" s="3">
        <v>1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customFormat="1" x14ac:dyDescent="0.3">
      <c r="A57" s="3"/>
      <c r="B57" s="3"/>
      <c r="C57" s="98">
        <v>1.209332634135049</v>
      </c>
      <c r="D57" s="98">
        <v>1.1778926352688843</v>
      </c>
      <c r="E57" s="98">
        <v>1.114340915855266</v>
      </c>
      <c r="F57" s="98">
        <v>1.319705051707603</v>
      </c>
      <c r="G57" s="98">
        <v>1.5107398179249871</v>
      </c>
      <c r="H57" s="99">
        <v>1.7274781335185261</v>
      </c>
      <c r="I57" s="3"/>
      <c r="J57" s="28">
        <v>2</v>
      </c>
      <c r="K57" s="3">
        <v>1.1100000000000001</v>
      </c>
      <c r="L57" s="3">
        <v>1.34</v>
      </c>
      <c r="M57" s="3">
        <v>1.01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 x14ac:dyDescent="0.3">
      <c r="J58" s="28">
        <v>3</v>
      </c>
      <c r="K58" s="3">
        <v>1.18</v>
      </c>
      <c r="L58" s="3">
        <v>1.39</v>
      </c>
      <c r="M58" s="3">
        <v>1.05</v>
      </c>
    </row>
    <row r="59" spans="1:45" x14ac:dyDescent="0.3">
      <c r="J59" s="28">
        <v>4</v>
      </c>
      <c r="K59" s="3">
        <v>1.32</v>
      </c>
      <c r="L59" s="3">
        <v>1.57</v>
      </c>
      <c r="M59" s="3">
        <v>1.1599999999999999</v>
      </c>
    </row>
    <row r="60" spans="1:45" x14ac:dyDescent="0.3">
      <c r="J60" s="28">
        <v>5</v>
      </c>
      <c r="K60" s="3">
        <v>1.51</v>
      </c>
      <c r="L60" s="3">
        <v>1.84</v>
      </c>
      <c r="M60" s="3">
        <v>1.26</v>
      </c>
    </row>
    <row r="61" spans="1:45" x14ac:dyDescent="0.3">
      <c r="J61" s="28">
        <v>6</v>
      </c>
      <c r="K61" s="3">
        <v>1.73</v>
      </c>
      <c r="L61" s="3">
        <v>2.11</v>
      </c>
      <c r="M61" s="3">
        <v>1.39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Index</vt:lpstr>
      <vt:lpstr>Sets</vt:lpstr>
      <vt:lpstr>Distances</vt:lpstr>
      <vt:lpstr>TechData</vt:lpstr>
      <vt:lpstr>HeatTech</vt:lpstr>
      <vt:lpstr>CostTech</vt:lpstr>
      <vt:lpstr>Regions</vt:lpstr>
      <vt:lpstr>LandAvailability</vt:lpstr>
      <vt:lpstr>InitCap</vt:lpstr>
      <vt:lpstr>General</vt:lpstr>
      <vt:lpstr>Trans_Inter</vt:lpstr>
      <vt:lpstr>ClusteredDataSTOR</vt:lpstr>
      <vt:lpstr>DC</vt:lpstr>
      <vt:lpstr>ClusteredData</vt:lpstr>
      <vt:lpstr>Fuels</vt:lpstr>
      <vt:lpstr>Biomass</vt:lpstr>
      <vt:lpstr>Transportation</vt:lpstr>
      <vt:lpstr>CO2Reservoirs</vt:lpstr>
      <vt:lpstr>Emissions</vt:lpstr>
      <vt:lpstr>Pipelines</vt:lpstr>
      <vt:lpstr>AV</vt:lpstr>
      <vt:lpstr>References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Margarita Eftymiadou</dc:creator>
  <cp:lastModifiedBy>Mohammad Hemmati</cp:lastModifiedBy>
  <dcterms:created xsi:type="dcterms:W3CDTF">2022-06-21T19:19:59Z</dcterms:created>
  <dcterms:modified xsi:type="dcterms:W3CDTF">2026-05-28T17:54:32Z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d7b6b67940604f7da11de59138ea59f7</vt:lpwstr>
  </property>
</Properties>
</file>